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m\Downloads\FoundryVTT-WindowsPortable-13.351\Data\systems\merc\sources\compendium\"/>
    </mc:Choice>
  </mc:AlternateContent>
  <xr:revisionPtr revIDLastSave="0" documentId="13_ncr:1_{5640E0F0-73E1-45B9-BDAD-9CF92D1346FA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Munition" sheetId="1" r:id="rId1"/>
    <sheet name="Weapon" sheetId="3" r:id="rId2"/>
    <sheet name="Feature" sheetId="6" r:id="rId3"/>
    <sheet name="Armor" sheetId="7" r:id="rId4"/>
    <sheet name="Equipement" sheetId="8" r:id="rId5"/>
    <sheet name="Data Balistique" sheetId="5" state="hidden" r:id="rId6"/>
  </sheets>
  <definedNames>
    <definedName name="_xlnm._FilterDatabase" localSheetId="3" hidden="1">Armor!$A$1:$Z$21</definedName>
    <definedName name="_xlnm._FilterDatabase" localSheetId="5" hidden="1">'Data Balistique'!$A$1:$AU$58</definedName>
    <definedName name="_xlnm._FilterDatabase" localSheetId="4" hidden="1">Equipement!$A$1:$G$188</definedName>
    <definedName name="_xlnm._FilterDatabase" localSheetId="0" hidden="1">Munition!$A$1:$M$125</definedName>
    <definedName name="_xlnm._FilterDatabase" localSheetId="1" hidden="1">Weapon!$A$1:$AK$381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59" i="5" l="1"/>
  <c r="K59" i="5"/>
  <c r="F59" i="5"/>
  <c r="G59" i="5" s="1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Z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X175" i="3"/>
  <c r="Y175" i="3"/>
  <c r="X176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X224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X245" i="3"/>
  <c r="Y245" i="3"/>
  <c r="Z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Z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X357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2" i="3"/>
  <c r="S3" i="3"/>
  <c r="T3" i="3"/>
  <c r="V3" i="3"/>
  <c r="S4" i="3"/>
  <c r="T4" i="3"/>
  <c r="V4" i="3"/>
  <c r="S5" i="3"/>
  <c r="T5" i="3"/>
  <c r="V5" i="3"/>
  <c r="S6" i="3"/>
  <c r="T6" i="3"/>
  <c r="V6" i="3"/>
  <c r="S7" i="3"/>
  <c r="T7" i="3"/>
  <c r="V7" i="3"/>
  <c r="S8" i="3"/>
  <c r="T8" i="3"/>
  <c r="V8" i="3"/>
  <c r="S9" i="3"/>
  <c r="T9" i="3"/>
  <c r="V9" i="3"/>
  <c r="S10" i="3"/>
  <c r="T10" i="3"/>
  <c r="V10" i="3"/>
  <c r="S11" i="3"/>
  <c r="T11" i="3"/>
  <c r="V11" i="3"/>
  <c r="S12" i="3"/>
  <c r="T12" i="3"/>
  <c r="V12" i="3"/>
  <c r="S13" i="3"/>
  <c r="T13" i="3"/>
  <c r="V13" i="3"/>
  <c r="S14" i="3"/>
  <c r="T14" i="3"/>
  <c r="V14" i="3"/>
  <c r="S15" i="3"/>
  <c r="T15" i="3"/>
  <c r="V15" i="3"/>
  <c r="S16" i="3"/>
  <c r="T16" i="3"/>
  <c r="V16" i="3"/>
  <c r="S17" i="3"/>
  <c r="T17" i="3"/>
  <c r="V17" i="3"/>
  <c r="S18" i="3"/>
  <c r="T18" i="3"/>
  <c r="V18" i="3"/>
  <c r="S19" i="3"/>
  <c r="T19" i="3"/>
  <c r="V19" i="3"/>
  <c r="S20" i="3"/>
  <c r="T20" i="3"/>
  <c r="V20" i="3"/>
  <c r="S21" i="3"/>
  <c r="T21" i="3"/>
  <c r="V21" i="3"/>
  <c r="S22" i="3"/>
  <c r="T22" i="3"/>
  <c r="V22" i="3"/>
  <c r="S23" i="3"/>
  <c r="T23" i="3"/>
  <c r="V23" i="3"/>
  <c r="S24" i="3"/>
  <c r="T24" i="3"/>
  <c r="V24" i="3"/>
  <c r="S25" i="3"/>
  <c r="T25" i="3"/>
  <c r="V25" i="3"/>
  <c r="S26" i="3"/>
  <c r="T26" i="3"/>
  <c r="V26" i="3"/>
  <c r="S27" i="3"/>
  <c r="T27" i="3"/>
  <c r="V27" i="3"/>
  <c r="S28" i="3"/>
  <c r="T28" i="3"/>
  <c r="V28" i="3"/>
  <c r="S29" i="3"/>
  <c r="T29" i="3"/>
  <c r="V29" i="3"/>
  <c r="S30" i="3"/>
  <c r="T30" i="3"/>
  <c r="V30" i="3"/>
  <c r="S31" i="3"/>
  <c r="T31" i="3"/>
  <c r="V31" i="3"/>
  <c r="S32" i="3"/>
  <c r="T32" i="3"/>
  <c r="V32" i="3"/>
  <c r="S33" i="3"/>
  <c r="T33" i="3"/>
  <c r="V33" i="3"/>
  <c r="S34" i="3"/>
  <c r="T34" i="3"/>
  <c r="V34" i="3"/>
  <c r="S35" i="3"/>
  <c r="T35" i="3"/>
  <c r="V35" i="3"/>
  <c r="S36" i="3"/>
  <c r="T36" i="3"/>
  <c r="V36" i="3"/>
  <c r="S37" i="3"/>
  <c r="T37" i="3"/>
  <c r="V37" i="3"/>
  <c r="S38" i="3"/>
  <c r="T38" i="3"/>
  <c r="V38" i="3"/>
  <c r="S39" i="3"/>
  <c r="T39" i="3"/>
  <c r="V39" i="3"/>
  <c r="S40" i="3"/>
  <c r="T40" i="3"/>
  <c r="V40" i="3"/>
  <c r="S41" i="3"/>
  <c r="T41" i="3"/>
  <c r="V41" i="3"/>
  <c r="S42" i="3"/>
  <c r="T42" i="3"/>
  <c r="V42" i="3"/>
  <c r="S43" i="3"/>
  <c r="T43" i="3"/>
  <c r="V43" i="3"/>
  <c r="S44" i="3"/>
  <c r="T44" i="3"/>
  <c r="V44" i="3"/>
  <c r="S45" i="3"/>
  <c r="T45" i="3"/>
  <c r="V45" i="3"/>
  <c r="S46" i="3"/>
  <c r="T46" i="3"/>
  <c r="V46" i="3"/>
  <c r="S47" i="3"/>
  <c r="T47" i="3"/>
  <c r="V47" i="3"/>
  <c r="S48" i="3"/>
  <c r="T48" i="3"/>
  <c r="V48" i="3"/>
  <c r="S49" i="3"/>
  <c r="T49" i="3"/>
  <c r="V49" i="3"/>
  <c r="S50" i="3"/>
  <c r="T50" i="3"/>
  <c r="V50" i="3"/>
  <c r="S51" i="3"/>
  <c r="T51" i="3"/>
  <c r="V51" i="3"/>
  <c r="S52" i="3"/>
  <c r="T52" i="3"/>
  <c r="V52" i="3"/>
  <c r="S53" i="3"/>
  <c r="T53" i="3"/>
  <c r="V53" i="3"/>
  <c r="S54" i="3"/>
  <c r="T54" i="3"/>
  <c r="V54" i="3"/>
  <c r="S55" i="3"/>
  <c r="T55" i="3"/>
  <c r="V55" i="3"/>
  <c r="S56" i="3"/>
  <c r="T56" i="3"/>
  <c r="V56" i="3"/>
  <c r="S57" i="3"/>
  <c r="T57" i="3"/>
  <c r="V57" i="3"/>
  <c r="S58" i="3"/>
  <c r="T58" i="3"/>
  <c r="V58" i="3"/>
  <c r="S59" i="3"/>
  <c r="T59" i="3"/>
  <c r="V59" i="3"/>
  <c r="S60" i="3"/>
  <c r="T60" i="3"/>
  <c r="V60" i="3"/>
  <c r="S61" i="3"/>
  <c r="T61" i="3"/>
  <c r="V61" i="3"/>
  <c r="S62" i="3"/>
  <c r="T62" i="3"/>
  <c r="V62" i="3"/>
  <c r="S63" i="3"/>
  <c r="T63" i="3"/>
  <c r="V63" i="3"/>
  <c r="S64" i="3"/>
  <c r="T64" i="3"/>
  <c r="V64" i="3"/>
  <c r="S65" i="3"/>
  <c r="T65" i="3"/>
  <c r="V65" i="3"/>
  <c r="S66" i="3"/>
  <c r="T66" i="3"/>
  <c r="V66" i="3"/>
  <c r="S67" i="3"/>
  <c r="T67" i="3"/>
  <c r="V67" i="3"/>
  <c r="S68" i="3"/>
  <c r="T68" i="3"/>
  <c r="V68" i="3"/>
  <c r="S69" i="3"/>
  <c r="T69" i="3"/>
  <c r="V69" i="3"/>
  <c r="S70" i="3"/>
  <c r="T70" i="3"/>
  <c r="V70" i="3"/>
  <c r="S71" i="3"/>
  <c r="T71" i="3"/>
  <c r="V71" i="3"/>
  <c r="S72" i="3"/>
  <c r="T72" i="3"/>
  <c r="V72" i="3"/>
  <c r="S73" i="3"/>
  <c r="T73" i="3"/>
  <c r="V73" i="3"/>
  <c r="S74" i="3"/>
  <c r="T74" i="3"/>
  <c r="V74" i="3"/>
  <c r="S75" i="3"/>
  <c r="T75" i="3"/>
  <c r="V75" i="3"/>
  <c r="S76" i="3"/>
  <c r="T76" i="3"/>
  <c r="V76" i="3"/>
  <c r="S77" i="3"/>
  <c r="T77" i="3"/>
  <c r="V77" i="3"/>
  <c r="S78" i="3"/>
  <c r="T78" i="3"/>
  <c r="V78" i="3"/>
  <c r="S79" i="3"/>
  <c r="T79" i="3"/>
  <c r="V79" i="3"/>
  <c r="S80" i="3"/>
  <c r="T80" i="3"/>
  <c r="V80" i="3"/>
  <c r="S81" i="3"/>
  <c r="T81" i="3"/>
  <c r="V81" i="3"/>
  <c r="S82" i="3"/>
  <c r="T82" i="3"/>
  <c r="V82" i="3"/>
  <c r="S83" i="3"/>
  <c r="T83" i="3"/>
  <c r="V83" i="3"/>
  <c r="S84" i="3"/>
  <c r="T84" i="3"/>
  <c r="V84" i="3"/>
  <c r="S85" i="3"/>
  <c r="T85" i="3"/>
  <c r="V85" i="3"/>
  <c r="S86" i="3"/>
  <c r="T86" i="3"/>
  <c r="V86" i="3"/>
  <c r="S87" i="3"/>
  <c r="T87" i="3"/>
  <c r="V87" i="3"/>
  <c r="S88" i="3"/>
  <c r="T88" i="3"/>
  <c r="V88" i="3"/>
  <c r="S89" i="3"/>
  <c r="T89" i="3"/>
  <c r="V89" i="3"/>
  <c r="S90" i="3"/>
  <c r="T90" i="3"/>
  <c r="V90" i="3"/>
  <c r="S91" i="3"/>
  <c r="T91" i="3"/>
  <c r="V91" i="3"/>
  <c r="S92" i="3"/>
  <c r="T92" i="3"/>
  <c r="V92" i="3"/>
  <c r="S93" i="3"/>
  <c r="T93" i="3"/>
  <c r="V93" i="3"/>
  <c r="S94" i="3"/>
  <c r="T94" i="3"/>
  <c r="V94" i="3"/>
  <c r="S95" i="3"/>
  <c r="T95" i="3"/>
  <c r="V95" i="3"/>
  <c r="S96" i="3"/>
  <c r="T96" i="3"/>
  <c r="V96" i="3"/>
  <c r="S97" i="3"/>
  <c r="T97" i="3"/>
  <c r="V97" i="3"/>
  <c r="S98" i="3"/>
  <c r="T98" i="3"/>
  <c r="V98" i="3"/>
  <c r="S99" i="3"/>
  <c r="T99" i="3"/>
  <c r="V99" i="3"/>
  <c r="S100" i="3"/>
  <c r="T100" i="3"/>
  <c r="V100" i="3"/>
  <c r="S101" i="3"/>
  <c r="T101" i="3"/>
  <c r="V101" i="3"/>
  <c r="S102" i="3"/>
  <c r="T102" i="3"/>
  <c r="V102" i="3"/>
  <c r="S103" i="3"/>
  <c r="T103" i="3"/>
  <c r="V103" i="3"/>
  <c r="S104" i="3"/>
  <c r="T104" i="3"/>
  <c r="V104" i="3"/>
  <c r="S105" i="3"/>
  <c r="T105" i="3"/>
  <c r="V105" i="3"/>
  <c r="S106" i="3"/>
  <c r="T106" i="3"/>
  <c r="V106" i="3"/>
  <c r="S107" i="3"/>
  <c r="T107" i="3"/>
  <c r="V107" i="3"/>
  <c r="S108" i="3"/>
  <c r="T108" i="3"/>
  <c r="V108" i="3"/>
  <c r="S109" i="3"/>
  <c r="T109" i="3"/>
  <c r="V109" i="3"/>
  <c r="S110" i="3"/>
  <c r="T110" i="3"/>
  <c r="V110" i="3"/>
  <c r="S111" i="3"/>
  <c r="T111" i="3"/>
  <c r="V111" i="3"/>
  <c r="S112" i="3"/>
  <c r="T112" i="3"/>
  <c r="V112" i="3"/>
  <c r="S113" i="3"/>
  <c r="T113" i="3"/>
  <c r="V113" i="3"/>
  <c r="S114" i="3"/>
  <c r="T114" i="3"/>
  <c r="V114" i="3"/>
  <c r="S115" i="3"/>
  <c r="T115" i="3"/>
  <c r="V115" i="3"/>
  <c r="S116" i="3"/>
  <c r="T116" i="3"/>
  <c r="V116" i="3"/>
  <c r="S117" i="3"/>
  <c r="T117" i="3"/>
  <c r="V117" i="3"/>
  <c r="S118" i="3"/>
  <c r="T118" i="3"/>
  <c r="V118" i="3"/>
  <c r="S119" i="3"/>
  <c r="T119" i="3"/>
  <c r="V119" i="3"/>
  <c r="S120" i="3"/>
  <c r="T120" i="3"/>
  <c r="V120" i="3"/>
  <c r="S121" i="3"/>
  <c r="T121" i="3"/>
  <c r="V121" i="3"/>
  <c r="S122" i="3"/>
  <c r="T122" i="3"/>
  <c r="V122" i="3"/>
  <c r="S123" i="3"/>
  <c r="T123" i="3"/>
  <c r="V123" i="3"/>
  <c r="S124" i="3"/>
  <c r="T124" i="3"/>
  <c r="V124" i="3"/>
  <c r="S125" i="3"/>
  <c r="T125" i="3"/>
  <c r="V125" i="3"/>
  <c r="S126" i="3"/>
  <c r="T126" i="3"/>
  <c r="V126" i="3"/>
  <c r="S127" i="3"/>
  <c r="T127" i="3"/>
  <c r="V127" i="3"/>
  <c r="S128" i="3"/>
  <c r="T128" i="3"/>
  <c r="V128" i="3"/>
  <c r="S129" i="3"/>
  <c r="T129" i="3"/>
  <c r="V129" i="3"/>
  <c r="S130" i="3"/>
  <c r="T130" i="3"/>
  <c r="V130" i="3"/>
  <c r="S131" i="3"/>
  <c r="T131" i="3"/>
  <c r="V131" i="3"/>
  <c r="S132" i="3"/>
  <c r="T132" i="3"/>
  <c r="V132" i="3"/>
  <c r="S133" i="3"/>
  <c r="T133" i="3"/>
  <c r="V133" i="3"/>
  <c r="S134" i="3"/>
  <c r="T134" i="3"/>
  <c r="V134" i="3"/>
  <c r="S135" i="3"/>
  <c r="T135" i="3"/>
  <c r="V135" i="3"/>
  <c r="S136" i="3"/>
  <c r="T136" i="3"/>
  <c r="V136" i="3"/>
  <c r="S137" i="3"/>
  <c r="T137" i="3"/>
  <c r="V137" i="3"/>
  <c r="S138" i="3"/>
  <c r="T138" i="3"/>
  <c r="V138" i="3"/>
  <c r="S139" i="3"/>
  <c r="T139" i="3"/>
  <c r="V139" i="3"/>
  <c r="S140" i="3"/>
  <c r="T140" i="3"/>
  <c r="V140" i="3"/>
  <c r="S141" i="3"/>
  <c r="T141" i="3"/>
  <c r="V141" i="3"/>
  <c r="S142" i="3"/>
  <c r="T142" i="3"/>
  <c r="V142" i="3"/>
  <c r="S143" i="3"/>
  <c r="T143" i="3"/>
  <c r="V143" i="3"/>
  <c r="S144" i="3"/>
  <c r="T144" i="3"/>
  <c r="V144" i="3"/>
  <c r="S145" i="3"/>
  <c r="T145" i="3"/>
  <c r="V145" i="3"/>
  <c r="S146" i="3"/>
  <c r="T146" i="3"/>
  <c r="V146" i="3"/>
  <c r="S147" i="3"/>
  <c r="T147" i="3"/>
  <c r="V147" i="3"/>
  <c r="S148" i="3"/>
  <c r="T148" i="3"/>
  <c r="V148" i="3"/>
  <c r="S149" i="3"/>
  <c r="T149" i="3"/>
  <c r="V149" i="3"/>
  <c r="S150" i="3"/>
  <c r="T150" i="3"/>
  <c r="V150" i="3"/>
  <c r="S151" i="3"/>
  <c r="T151" i="3"/>
  <c r="V151" i="3"/>
  <c r="S152" i="3"/>
  <c r="T152" i="3"/>
  <c r="V152" i="3"/>
  <c r="S153" i="3"/>
  <c r="T153" i="3"/>
  <c r="V153" i="3"/>
  <c r="S154" i="3"/>
  <c r="T154" i="3"/>
  <c r="V154" i="3"/>
  <c r="S155" i="3"/>
  <c r="T155" i="3"/>
  <c r="V155" i="3"/>
  <c r="S156" i="3"/>
  <c r="T156" i="3"/>
  <c r="V156" i="3"/>
  <c r="S157" i="3"/>
  <c r="T157" i="3"/>
  <c r="V157" i="3"/>
  <c r="S158" i="3"/>
  <c r="T158" i="3"/>
  <c r="V158" i="3"/>
  <c r="S159" i="3"/>
  <c r="T159" i="3"/>
  <c r="V159" i="3"/>
  <c r="S160" i="3"/>
  <c r="T160" i="3"/>
  <c r="V160" i="3"/>
  <c r="S161" i="3"/>
  <c r="T161" i="3"/>
  <c r="V161" i="3"/>
  <c r="S162" i="3"/>
  <c r="T162" i="3"/>
  <c r="V162" i="3"/>
  <c r="S163" i="3"/>
  <c r="T163" i="3"/>
  <c r="V163" i="3"/>
  <c r="S164" i="3"/>
  <c r="T164" i="3"/>
  <c r="V164" i="3"/>
  <c r="S165" i="3"/>
  <c r="T165" i="3"/>
  <c r="V165" i="3"/>
  <c r="S166" i="3"/>
  <c r="T166" i="3"/>
  <c r="V166" i="3"/>
  <c r="S167" i="3"/>
  <c r="T167" i="3"/>
  <c r="V167" i="3"/>
  <c r="S168" i="3"/>
  <c r="T168" i="3"/>
  <c r="V168" i="3"/>
  <c r="S169" i="3"/>
  <c r="T169" i="3"/>
  <c r="V169" i="3"/>
  <c r="S170" i="3"/>
  <c r="T170" i="3"/>
  <c r="V170" i="3"/>
  <c r="S171" i="3"/>
  <c r="T171" i="3"/>
  <c r="V171" i="3"/>
  <c r="S172" i="3"/>
  <c r="T172" i="3"/>
  <c r="V172" i="3"/>
  <c r="S173" i="3"/>
  <c r="T173" i="3"/>
  <c r="V173" i="3"/>
  <c r="S174" i="3"/>
  <c r="T174" i="3"/>
  <c r="V174" i="3"/>
  <c r="S175" i="3"/>
  <c r="T175" i="3"/>
  <c r="V175" i="3"/>
  <c r="S176" i="3"/>
  <c r="T176" i="3"/>
  <c r="V176" i="3"/>
  <c r="S177" i="3"/>
  <c r="T177" i="3"/>
  <c r="V177" i="3"/>
  <c r="S178" i="3"/>
  <c r="T178" i="3"/>
  <c r="V178" i="3"/>
  <c r="S179" i="3"/>
  <c r="T179" i="3"/>
  <c r="V179" i="3"/>
  <c r="S180" i="3"/>
  <c r="T180" i="3"/>
  <c r="V180" i="3"/>
  <c r="S181" i="3"/>
  <c r="T181" i="3"/>
  <c r="V181" i="3"/>
  <c r="S182" i="3"/>
  <c r="T182" i="3"/>
  <c r="V182" i="3"/>
  <c r="S183" i="3"/>
  <c r="T183" i="3"/>
  <c r="V183" i="3"/>
  <c r="S184" i="3"/>
  <c r="T184" i="3"/>
  <c r="V184" i="3"/>
  <c r="S185" i="3"/>
  <c r="T185" i="3"/>
  <c r="V185" i="3"/>
  <c r="S186" i="3"/>
  <c r="T186" i="3"/>
  <c r="V186" i="3"/>
  <c r="S187" i="3"/>
  <c r="T187" i="3"/>
  <c r="V187" i="3"/>
  <c r="S188" i="3"/>
  <c r="T188" i="3"/>
  <c r="V188" i="3"/>
  <c r="S189" i="3"/>
  <c r="T189" i="3"/>
  <c r="V189" i="3"/>
  <c r="S190" i="3"/>
  <c r="T190" i="3"/>
  <c r="V190" i="3"/>
  <c r="S191" i="3"/>
  <c r="T191" i="3"/>
  <c r="V191" i="3"/>
  <c r="S192" i="3"/>
  <c r="T192" i="3"/>
  <c r="V192" i="3"/>
  <c r="S193" i="3"/>
  <c r="T193" i="3"/>
  <c r="V193" i="3"/>
  <c r="S194" i="3"/>
  <c r="T194" i="3"/>
  <c r="V194" i="3"/>
  <c r="S195" i="3"/>
  <c r="T195" i="3"/>
  <c r="V195" i="3"/>
  <c r="S196" i="3"/>
  <c r="T196" i="3"/>
  <c r="V196" i="3"/>
  <c r="S197" i="3"/>
  <c r="T197" i="3"/>
  <c r="V197" i="3"/>
  <c r="S198" i="3"/>
  <c r="T198" i="3"/>
  <c r="V198" i="3"/>
  <c r="S199" i="3"/>
  <c r="T199" i="3"/>
  <c r="V199" i="3"/>
  <c r="S200" i="3"/>
  <c r="T200" i="3"/>
  <c r="V200" i="3"/>
  <c r="S201" i="3"/>
  <c r="T201" i="3"/>
  <c r="V201" i="3"/>
  <c r="S202" i="3"/>
  <c r="T202" i="3"/>
  <c r="V202" i="3"/>
  <c r="S203" i="3"/>
  <c r="T203" i="3"/>
  <c r="V203" i="3"/>
  <c r="S204" i="3"/>
  <c r="T204" i="3"/>
  <c r="V204" i="3"/>
  <c r="S205" i="3"/>
  <c r="T205" i="3"/>
  <c r="V205" i="3"/>
  <c r="S206" i="3"/>
  <c r="T206" i="3"/>
  <c r="V206" i="3"/>
  <c r="S207" i="3"/>
  <c r="T207" i="3"/>
  <c r="V207" i="3"/>
  <c r="S208" i="3"/>
  <c r="T208" i="3"/>
  <c r="V208" i="3"/>
  <c r="S209" i="3"/>
  <c r="T209" i="3"/>
  <c r="V209" i="3"/>
  <c r="S210" i="3"/>
  <c r="T210" i="3"/>
  <c r="V210" i="3"/>
  <c r="S211" i="3"/>
  <c r="T211" i="3"/>
  <c r="V211" i="3"/>
  <c r="S212" i="3"/>
  <c r="T212" i="3"/>
  <c r="V212" i="3"/>
  <c r="S213" i="3"/>
  <c r="T213" i="3"/>
  <c r="V213" i="3"/>
  <c r="S214" i="3"/>
  <c r="T214" i="3"/>
  <c r="V214" i="3"/>
  <c r="S215" i="3"/>
  <c r="T215" i="3"/>
  <c r="V215" i="3"/>
  <c r="S216" i="3"/>
  <c r="T216" i="3"/>
  <c r="V216" i="3"/>
  <c r="S217" i="3"/>
  <c r="T217" i="3"/>
  <c r="V217" i="3"/>
  <c r="S218" i="3"/>
  <c r="T218" i="3"/>
  <c r="V218" i="3"/>
  <c r="S219" i="3"/>
  <c r="T219" i="3"/>
  <c r="V219" i="3"/>
  <c r="S220" i="3"/>
  <c r="T220" i="3"/>
  <c r="V220" i="3"/>
  <c r="S221" i="3"/>
  <c r="T221" i="3"/>
  <c r="V221" i="3"/>
  <c r="S222" i="3"/>
  <c r="T222" i="3"/>
  <c r="V222" i="3"/>
  <c r="S223" i="3"/>
  <c r="T223" i="3"/>
  <c r="V223" i="3"/>
  <c r="S224" i="3"/>
  <c r="T224" i="3"/>
  <c r="V224" i="3"/>
  <c r="S225" i="3"/>
  <c r="T225" i="3"/>
  <c r="V225" i="3"/>
  <c r="S226" i="3"/>
  <c r="T226" i="3"/>
  <c r="V226" i="3"/>
  <c r="S227" i="3"/>
  <c r="T227" i="3"/>
  <c r="V227" i="3"/>
  <c r="S228" i="3"/>
  <c r="T228" i="3"/>
  <c r="V228" i="3"/>
  <c r="S229" i="3"/>
  <c r="T229" i="3"/>
  <c r="V229" i="3"/>
  <c r="S230" i="3"/>
  <c r="T230" i="3"/>
  <c r="V230" i="3"/>
  <c r="S231" i="3"/>
  <c r="T231" i="3"/>
  <c r="V231" i="3"/>
  <c r="S232" i="3"/>
  <c r="T232" i="3"/>
  <c r="V232" i="3"/>
  <c r="S233" i="3"/>
  <c r="T233" i="3"/>
  <c r="V233" i="3"/>
  <c r="S234" i="3"/>
  <c r="T234" i="3"/>
  <c r="V234" i="3"/>
  <c r="S235" i="3"/>
  <c r="T235" i="3"/>
  <c r="V235" i="3"/>
  <c r="S236" i="3"/>
  <c r="T236" i="3"/>
  <c r="V236" i="3"/>
  <c r="S237" i="3"/>
  <c r="T237" i="3"/>
  <c r="V237" i="3"/>
  <c r="S238" i="3"/>
  <c r="T238" i="3"/>
  <c r="V238" i="3"/>
  <c r="S239" i="3"/>
  <c r="T239" i="3"/>
  <c r="V239" i="3"/>
  <c r="S240" i="3"/>
  <c r="T240" i="3"/>
  <c r="V240" i="3"/>
  <c r="S241" i="3"/>
  <c r="T241" i="3"/>
  <c r="V241" i="3"/>
  <c r="S242" i="3"/>
  <c r="T242" i="3"/>
  <c r="V242" i="3"/>
  <c r="S243" i="3"/>
  <c r="T243" i="3"/>
  <c r="V243" i="3"/>
  <c r="S244" i="3"/>
  <c r="T244" i="3"/>
  <c r="V244" i="3"/>
  <c r="S245" i="3"/>
  <c r="T245" i="3"/>
  <c r="V245" i="3"/>
  <c r="S246" i="3"/>
  <c r="T246" i="3"/>
  <c r="V246" i="3"/>
  <c r="S247" i="3"/>
  <c r="T247" i="3"/>
  <c r="V247" i="3"/>
  <c r="S248" i="3"/>
  <c r="T248" i="3"/>
  <c r="V248" i="3"/>
  <c r="S249" i="3"/>
  <c r="T249" i="3"/>
  <c r="V249" i="3"/>
  <c r="S250" i="3"/>
  <c r="T250" i="3"/>
  <c r="V250" i="3"/>
  <c r="S251" i="3"/>
  <c r="T251" i="3"/>
  <c r="V251" i="3"/>
  <c r="S252" i="3"/>
  <c r="T252" i="3"/>
  <c r="V252" i="3"/>
  <c r="S253" i="3"/>
  <c r="T253" i="3"/>
  <c r="V253" i="3"/>
  <c r="S254" i="3"/>
  <c r="T254" i="3"/>
  <c r="V254" i="3"/>
  <c r="S255" i="3"/>
  <c r="T255" i="3"/>
  <c r="V255" i="3"/>
  <c r="S256" i="3"/>
  <c r="T256" i="3"/>
  <c r="V256" i="3"/>
  <c r="S257" i="3"/>
  <c r="T257" i="3"/>
  <c r="V257" i="3"/>
  <c r="S258" i="3"/>
  <c r="T258" i="3"/>
  <c r="V258" i="3"/>
  <c r="S259" i="3"/>
  <c r="T259" i="3"/>
  <c r="V259" i="3"/>
  <c r="S260" i="3"/>
  <c r="T260" i="3"/>
  <c r="V260" i="3"/>
  <c r="S261" i="3"/>
  <c r="T261" i="3"/>
  <c r="V261" i="3"/>
  <c r="S262" i="3"/>
  <c r="T262" i="3"/>
  <c r="V262" i="3"/>
  <c r="S263" i="3"/>
  <c r="T263" i="3"/>
  <c r="V263" i="3"/>
  <c r="S264" i="3"/>
  <c r="T264" i="3"/>
  <c r="V264" i="3"/>
  <c r="S265" i="3"/>
  <c r="T265" i="3"/>
  <c r="V265" i="3"/>
  <c r="S266" i="3"/>
  <c r="T266" i="3"/>
  <c r="V266" i="3"/>
  <c r="S267" i="3"/>
  <c r="T267" i="3"/>
  <c r="V267" i="3"/>
  <c r="S268" i="3"/>
  <c r="T268" i="3"/>
  <c r="V268" i="3"/>
  <c r="S269" i="3"/>
  <c r="T269" i="3"/>
  <c r="V269" i="3"/>
  <c r="S270" i="3"/>
  <c r="T270" i="3"/>
  <c r="V270" i="3"/>
  <c r="S271" i="3"/>
  <c r="T271" i="3"/>
  <c r="V271" i="3"/>
  <c r="S272" i="3"/>
  <c r="T272" i="3"/>
  <c r="V272" i="3"/>
  <c r="S273" i="3"/>
  <c r="T273" i="3"/>
  <c r="V273" i="3"/>
  <c r="S274" i="3"/>
  <c r="T274" i="3"/>
  <c r="V274" i="3"/>
  <c r="S275" i="3"/>
  <c r="T275" i="3"/>
  <c r="V275" i="3"/>
  <c r="S276" i="3"/>
  <c r="T276" i="3"/>
  <c r="V276" i="3"/>
  <c r="S277" i="3"/>
  <c r="T277" i="3"/>
  <c r="V277" i="3"/>
  <c r="S278" i="3"/>
  <c r="T278" i="3"/>
  <c r="V278" i="3"/>
  <c r="S279" i="3"/>
  <c r="T279" i="3"/>
  <c r="V279" i="3"/>
  <c r="S280" i="3"/>
  <c r="T280" i="3"/>
  <c r="V280" i="3"/>
  <c r="S281" i="3"/>
  <c r="T281" i="3"/>
  <c r="V281" i="3"/>
  <c r="S282" i="3"/>
  <c r="T282" i="3"/>
  <c r="V282" i="3"/>
  <c r="S283" i="3"/>
  <c r="T283" i="3"/>
  <c r="V283" i="3"/>
  <c r="S284" i="3"/>
  <c r="T284" i="3"/>
  <c r="V284" i="3"/>
  <c r="S285" i="3"/>
  <c r="T285" i="3"/>
  <c r="V285" i="3"/>
  <c r="S286" i="3"/>
  <c r="T286" i="3"/>
  <c r="V286" i="3"/>
  <c r="S287" i="3"/>
  <c r="T287" i="3"/>
  <c r="V287" i="3"/>
  <c r="S288" i="3"/>
  <c r="T288" i="3"/>
  <c r="V288" i="3"/>
  <c r="S289" i="3"/>
  <c r="T289" i="3"/>
  <c r="V289" i="3"/>
  <c r="S290" i="3"/>
  <c r="T290" i="3"/>
  <c r="V290" i="3"/>
  <c r="S291" i="3"/>
  <c r="T291" i="3"/>
  <c r="V291" i="3"/>
  <c r="S292" i="3"/>
  <c r="T292" i="3"/>
  <c r="V292" i="3"/>
  <c r="S293" i="3"/>
  <c r="T293" i="3"/>
  <c r="V293" i="3"/>
  <c r="S294" i="3"/>
  <c r="T294" i="3"/>
  <c r="V294" i="3"/>
  <c r="S295" i="3"/>
  <c r="T295" i="3"/>
  <c r="V295" i="3"/>
  <c r="S296" i="3"/>
  <c r="T296" i="3"/>
  <c r="V296" i="3"/>
  <c r="S297" i="3"/>
  <c r="T297" i="3"/>
  <c r="V297" i="3"/>
  <c r="S298" i="3"/>
  <c r="T298" i="3"/>
  <c r="V298" i="3"/>
  <c r="S299" i="3"/>
  <c r="T299" i="3"/>
  <c r="V299" i="3"/>
  <c r="S300" i="3"/>
  <c r="T300" i="3"/>
  <c r="V300" i="3"/>
  <c r="S301" i="3"/>
  <c r="T301" i="3"/>
  <c r="V301" i="3"/>
  <c r="S302" i="3"/>
  <c r="T302" i="3"/>
  <c r="V302" i="3"/>
  <c r="S303" i="3"/>
  <c r="T303" i="3"/>
  <c r="V303" i="3"/>
  <c r="S304" i="3"/>
  <c r="T304" i="3"/>
  <c r="V304" i="3"/>
  <c r="S305" i="3"/>
  <c r="T305" i="3"/>
  <c r="V305" i="3"/>
  <c r="S306" i="3"/>
  <c r="T306" i="3"/>
  <c r="V306" i="3"/>
  <c r="S307" i="3"/>
  <c r="T307" i="3"/>
  <c r="V307" i="3"/>
  <c r="S308" i="3"/>
  <c r="T308" i="3"/>
  <c r="V308" i="3"/>
  <c r="S309" i="3"/>
  <c r="T309" i="3"/>
  <c r="V309" i="3"/>
  <c r="S310" i="3"/>
  <c r="T310" i="3"/>
  <c r="V310" i="3"/>
  <c r="S311" i="3"/>
  <c r="T311" i="3"/>
  <c r="V311" i="3"/>
  <c r="S312" i="3"/>
  <c r="T312" i="3"/>
  <c r="V312" i="3"/>
  <c r="S313" i="3"/>
  <c r="T313" i="3"/>
  <c r="V313" i="3"/>
  <c r="S314" i="3"/>
  <c r="T314" i="3"/>
  <c r="V314" i="3"/>
  <c r="S315" i="3"/>
  <c r="T315" i="3"/>
  <c r="V315" i="3"/>
  <c r="S316" i="3"/>
  <c r="T316" i="3"/>
  <c r="V316" i="3"/>
  <c r="S317" i="3"/>
  <c r="T317" i="3"/>
  <c r="V317" i="3"/>
  <c r="S318" i="3"/>
  <c r="T318" i="3"/>
  <c r="V318" i="3"/>
  <c r="S319" i="3"/>
  <c r="T319" i="3"/>
  <c r="V319" i="3"/>
  <c r="S320" i="3"/>
  <c r="T320" i="3"/>
  <c r="V320" i="3"/>
  <c r="S321" i="3"/>
  <c r="T321" i="3"/>
  <c r="V321" i="3"/>
  <c r="S322" i="3"/>
  <c r="T322" i="3"/>
  <c r="V322" i="3"/>
  <c r="S323" i="3"/>
  <c r="T323" i="3"/>
  <c r="V323" i="3"/>
  <c r="S324" i="3"/>
  <c r="T324" i="3"/>
  <c r="V324" i="3"/>
  <c r="S325" i="3"/>
  <c r="T325" i="3"/>
  <c r="V325" i="3"/>
  <c r="S326" i="3"/>
  <c r="T326" i="3"/>
  <c r="V326" i="3"/>
  <c r="S327" i="3"/>
  <c r="T327" i="3"/>
  <c r="V327" i="3"/>
  <c r="S328" i="3"/>
  <c r="T328" i="3"/>
  <c r="V328" i="3"/>
  <c r="S329" i="3"/>
  <c r="T329" i="3"/>
  <c r="V329" i="3"/>
  <c r="S330" i="3"/>
  <c r="T330" i="3"/>
  <c r="V330" i="3"/>
  <c r="S331" i="3"/>
  <c r="T331" i="3"/>
  <c r="V331" i="3"/>
  <c r="S332" i="3"/>
  <c r="T332" i="3"/>
  <c r="V332" i="3"/>
  <c r="S333" i="3"/>
  <c r="T333" i="3"/>
  <c r="V333" i="3"/>
  <c r="S334" i="3"/>
  <c r="T334" i="3"/>
  <c r="V334" i="3"/>
  <c r="S335" i="3"/>
  <c r="T335" i="3"/>
  <c r="V335" i="3"/>
  <c r="S336" i="3"/>
  <c r="T336" i="3"/>
  <c r="V336" i="3"/>
  <c r="S337" i="3"/>
  <c r="T337" i="3"/>
  <c r="V337" i="3"/>
  <c r="S338" i="3"/>
  <c r="T338" i="3"/>
  <c r="V338" i="3"/>
  <c r="S339" i="3"/>
  <c r="T339" i="3"/>
  <c r="V339" i="3"/>
  <c r="S340" i="3"/>
  <c r="T340" i="3"/>
  <c r="V340" i="3"/>
  <c r="S341" i="3"/>
  <c r="T341" i="3"/>
  <c r="V341" i="3"/>
  <c r="S342" i="3"/>
  <c r="T342" i="3"/>
  <c r="V342" i="3"/>
  <c r="S343" i="3"/>
  <c r="T343" i="3"/>
  <c r="V343" i="3"/>
  <c r="S344" i="3"/>
  <c r="T344" i="3"/>
  <c r="V344" i="3"/>
  <c r="S345" i="3"/>
  <c r="T345" i="3"/>
  <c r="V345" i="3"/>
  <c r="S346" i="3"/>
  <c r="T346" i="3"/>
  <c r="V346" i="3"/>
  <c r="S347" i="3"/>
  <c r="T347" i="3"/>
  <c r="V347" i="3"/>
  <c r="S348" i="3"/>
  <c r="T348" i="3"/>
  <c r="V348" i="3"/>
  <c r="S349" i="3"/>
  <c r="T349" i="3"/>
  <c r="V349" i="3"/>
  <c r="S350" i="3"/>
  <c r="T350" i="3"/>
  <c r="V350" i="3"/>
  <c r="S351" i="3"/>
  <c r="T351" i="3"/>
  <c r="V351" i="3"/>
  <c r="S352" i="3"/>
  <c r="T352" i="3"/>
  <c r="V352" i="3"/>
  <c r="S353" i="3"/>
  <c r="T353" i="3"/>
  <c r="V353" i="3"/>
  <c r="S354" i="3"/>
  <c r="T354" i="3"/>
  <c r="V354" i="3"/>
  <c r="S355" i="3"/>
  <c r="T355" i="3"/>
  <c r="V355" i="3"/>
  <c r="S356" i="3"/>
  <c r="T356" i="3"/>
  <c r="V356" i="3"/>
  <c r="S357" i="3"/>
  <c r="T357" i="3"/>
  <c r="V357" i="3"/>
  <c r="S358" i="3"/>
  <c r="T358" i="3"/>
  <c r="V358" i="3"/>
  <c r="S359" i="3"/>
  <c r="T359" i="3"/>
  <c r="V359" i="3"/>
  <c r="S360" i="3"/>
  <c r="T360" i="3"/>
  <c r="V360" i="3"/>
  <c r="S361" i="3"/>
  <c r="T361" i="3"/>
  <c r="V361" i="3"/>
  <c r="S362" i="3"/>
  <c r="T362" i="3"/>
  <c r="V362" i="3"/>
  <c r="S363" i="3"/>
  <c r="T363" i="3"/>
  <c r="V363" i="3"/>
  <c r="S364" i="3"/>
  <c r="T364" i="3"/>
  <c r="V364" i="3"/>
  <c r="S365" i="3"/>
  <c r="T365" i="3"/>
  <c r="V365" i="3"/>
  <c r="S366" i="3"/>
  <c r="T366" i="3"/>
  <c r="V366" i="3"/>
  <c r="S367" i="3"/>
  <c r="T367" i="3"/>
  <c r="V367" i="3"/>
  <c r="S368" i="3"/>
  <c r="T368" i="3"/>
  <c r="V368" i="3"/>
  <c r="S369" i="3"/>
  <c r="T369" i="3"/>
  <c r="V369" i="3"/>
  <c r="S370" i="3"/>
  <c r="T370" i="3"/>
  <c r="V370" i="3"/>
  <c r="S371" i="3"/>
  <c r="T371" i="3"/>
  <c r="V371" i="3"/>
  <c r="S372" i="3"/>
  <c r="T372" i="3"/>
  <c r="V372" i="3"/>
  <c r="S373" i="3"/>
  <c r="T373" i="3"/>
  <c r="V373" i="3"/>
  <c r="S374" i="3"/>
  <c r="T374" i="3"/>
  <c r="V374" i="3"/>
  <c r="S375" i="3"/>
  <c r="T375" i="3"/>
  <c r="V375" i="3"/>
  <c r="S376" i="3"/>
  <c r="T376" i="3"/>
  <c r="V376" i="3"/>
  <c r="S377" i="3"/>
  <c r="T377" i="3"/>
  <c r="V377" i="3"/>
  <c r="S378" i="3"/>
  <c r="T378" i="3"/>
  <c r="V378" i="3"/>
  <c r="S379" i="3"/>
  <c r="T379" i="3"/>
  <c r="V379" i="3"/>
  <c r="S380" i="3"/>
  <c r="T380" i="3"/>
  <c r="V380" i="3"/>
  <c r="S381" i="3"/>
  <c r="T381" i="3"/>
  <c r="V381" i="3"/>
  <c r="V2" i="3"/>
  <c r="T2" i="3"/>
  <c r="S2" i="3"/>
  <c r="AA2" i="5"/>
  <c r="N3" i="1"/>
  <c r="O3" i="1" s="1"/>
  <c r="P3" i="1"/>
  <c r="N4" i="1"/>
  <c r="O4" i="1" s="1"/>
  <c r="Z5" i="3" s="1"/>
  <c r="P4" i="1"/>
  <c r="X344" i="3" s="1"/>
  <c r="N5" i="1"/>
  <c r="O5" i="1"/>
  <c r="Z236" i="3" s="1"/>
  <c r="P5" i="1"/>
  <c r="X239" i="3" s="1"/>
  <c r="N6" i="1"/>
  <c r="O6" i="1" s="1"/>
  <c r="P6" i="1"/>
  <c r="N7" i="1"/>
  <c r="O7" i="1"/>
  <c r="P7" i="1"/>
  <c r="N8" i="1"/>
  <c r="O8" i="1" s="1"/>
  <c r="P8" i="1"/>
  <c r="N9" i="1"/>
  <c r="O9" i="1" s="1"/>
  <c r="Z363" i="3" s="1"/>
  <c r="P9" i="1"/>
  <c r="X363" i="3" s="1"/>
  <c r="N10" i="1"/>
  <c r="O10" i="1" s="1"/>
  <c r="P10" i="1"/>
  <c r="N11" i="1"/>
  <c r="O11" i="1" s="1"/>
  <c r="P11" i="1"/>
  <c r="N12" i="1"/>
  <c r="O12" i="1" s="1"/>
  <c r="P12" i="1"/>
  <c r="N13" i="1"/>
  <c r="O13" i="1"/>
  <c r="Z160" i="3" s="1"/>
  <c r="P13" i="1"/>
  <c r="X160" i="3" s="1"/>
  <c r="N14" i="1"/>
  <c r="O14" i="1"/>
  <c r="P14" i="1"/>
  <c r="N15" i="1"/>
  <c r="O15" i="1" s="1"/>
  <c r="Z221" i="3" s="1"/>
  <c r="P15" i="1"/>
  <c r="N16" i="1"/>
  <c r="O16" i="1"/>
  <c r="P16" i="1"/>
  <c r="N17" i="1"/>
  <c r="O17" i="1" s="1"/>
  <c r="P17" i="1"/>
  <c r="N18" i="1"/>
  <c r="O18" i="1"/>
  <c r="P18" i="1"/>
  <c r="N19" i="1"/>
  <c r="O19" i="1" s="1"/>
  <c r="Z273" i="3" s="1"/>
  <c r="P19" i="1"/>
  <c r="X251" i="3" s="1"/>
  <c r="N20" i="1"/>
  <c r="O20" i="1" s="1"/>
  <c r="P20" i="1"/>
  <c r="N21" i="1"/>
  <c r="O21" i="1"/>
  <c r="P21" i="1"/>
  <c r="N22" i="1"/>
  <c r="O22" i="1" s="1"/>
  <c r="P22" i="1"/>
  <c r="N23" i="1"/>
  <c r="O23" i="1"/>
  <c r="Z192" i="3" s="1"/>
  <c r="P23" i="1"/>
  <c r="X191" i="3" s="1"/>
  <c r="N24" i="1"/>
  <c r="O24" i="1" s="1"/>
  <c r="P24" i="1"/>
  <c r="N25" i="1"/>
  <c r="O25" i="1" s="1"/>
  <c r="P25" i="1"/>
  <c r="N26" i="1"/>
  <c r="O26" i="1" s="1"/>
  <c r="P26" i="1"/>
  <c r="N27" i="1"/>
  <c r="O27" i="1" s="1"/>
  <c r="Z319" i="3" s="1"/>
  <c r="P27" i="1"/>
  <c r="X319" i="3" s="1"/>
  <c r="N28" i="1"/>
  <c r="O28" i="1" s="1"/>
  <c r="P28" i="1"/>
  <c r="N29" i="1"/>
  <c r="O29" i="1" s="1"/>
  <c r="P29" i="1"/>
  <c r="N30" i="1"/>
  <c r="O30" i="1" s="1"/>
  <c r="Z208" i="3" s="1"/>
  <c r="P30" i="1"/>
  <c r="N31" i="1"/>
  <c r="O31" i="1" s="1"/>
  <c r="Z96" i="3" s="1"/>
  <c r="P31" i="1"/>
  <c r="X311" i="3" s="1"/>
  <c r="N32" i="1"/>
  <c r="O32" i="1" s="1"/>
  <c r="P32" i="1"/>
  <c r="N33" i="1"/>
  <c r="O33" i="1"/>
  <c r="P33" i="1"/>
  <c r="N34" i="1"/>
  <c r="O34" i="1" s="1"/>
  <c r="P34" i="1"/>
  <c r="N35" i="1"/>
  <c r="O35" i="1" s="1"/>
  <c r="P35" i="1"/>
  <c r="N36" i="1"/>
  <c r="O36" i="1"/>
  <c r="P36" i="1"/>
  <c r="N37" i="1"/>
  <c r="O37" i="1" s="1"/>
  <c r="P37" i="1"/>
  <c r="N38" i="1"/>
  <c r="O38" i="1" s="1"/>
  <c r="Z282" i="3" s="1"/>
  <c r="P38" i="1"/>
  <c r="X282" i="3" s="1"/>
  <c r="N39" i="1"/>
  <c r="O39" i="1" s="1"/>
  <c r="P39" i="1"/>
  <c r="N40" i="1"/>
  <c r="O40" i="1" s="1"/>
  <c r="P40" i="1"/>
  <c r="X48" i="3" s="1"/>
  <c r="N41" i="1"/>
  <c r="O41" i="1" s="1"/>
  <c r="Z377" i="3" s="1"/>
  <c r="P41" i="1"/>
  <c r="X377" i="3" s="1"/>
  <c r="N42" i="1"/>
  <c r="O42" i="1"/>
  <c r="Z44" i="3" s="1"/>
  <c r="P42" i="1"/>
  <c r="N43" i="1"/>
  <c r="O43" i="1" s="1"/>
  <c r="Z207" i="3" s="1"/>
  <c r="P43" i="1"/>
  <c r="X207" i="3" s="1"/>
  <c r="N44" i="1"/>
  <c r="O44" i="1" s="1"/>
  <c r="P44" i="1"/>
  <c r="N45" i="1"/>
  <c r="O45" i="1" s="1"/>
  <c r="Z31" i="3" s="1"/>
  <c r="P45" i="1"/>
  <c r="X301" i="3" s="1"/>
  <c r="N46" i="1"/>
  <c r="O46" i="1"/>
  <c r="Z228" i="3" s="1"/>
  <c r="P46" i="1"/>
  <c r="N47" i="1"/>
  <c r="O47" i="1" s="1"/>
  <c r="P47" i="1"/>
  <c r="N48" i="1"/>
  <c r="O48" i="1" s="1"/>
  <c r="P48" i="1"/>
  <c r="N49" i="1"/>
  <c r="O49" i="1" s="1"/>
  <c r="P49" i="1"/>
  <c r="X87" i="3" s="1"/>
  <c r="N50" i="1"/>
  <c r="O50" i="1" s="1"/>
  <c r="P50" i="1"/>
  <c r="N51" i="1"/>
  <c r="O51" i="1" s="1"/>
  <c r="P51" i="1"/>
  <c r="N52" i="1"/>
  <c r="O52" i="1" s="1"/>
  <c r="P52" i="1"/>
  <c r="N53" i="1"/>
  <c r="O53" i="1" s="1"/>
  <c r="Z59" i="3" s="1"/>
  <c r="P53" i="1"/>
  <c r="X59" i="3" s="1"/>
  <c r="N54" i="1"/>
  <c r="O54" i="1" s="1"/>
  <c r="P54" i="1"/>
  <c r="N55" i="1"/>
  <c r="O55" i="1"/>
  <c r="P55" i="1"/>
  <c r="N56" i="1"/>
  <c r="O56" i="1" s="1"/>
  <c r="P56" i="1"/>
  <c r="N57" i="1"/>
  <c r="O57" i="1" s="1"/>
  <c r="P57" i="1"/>
  <c r="N59" i="1"/>
  <c r="O59" i="1" s="1"/>
  <c r="P59" i="1"/>
  <c r="N60" i="1"/>
  <c r="O60" i="1" s="1"/>
  <c r="P60" i="1"/>
  <c r="N61" i="1"/>
  <c r="O61" i="1" s="1"/>
  <c r="P61" i="1"/>
  <c r="N62" i="1"/>
  <c r="O62" i="1"/>
  <c r="Z232" i="3" s="1"/>
  <c r="P62" i="1"/>
  <c r="X327" i="3" s="1"/>
  <c r="N63" i="1"/>
  <c r="O63" i="1" s="1"/>
  <c r="P63" i="1"/>
  <c r="N64" i="1"/>
  <c r="O64" i="1"/>
  <c r="P64" i="1"/>
  <c r="N65" i="1"/>
  <c r="O65" i="1" s="1"/>
  <c r="P65" i="1"/>
  <c r="N66" i="1"/>
  <c r="O66" i="1"/>
  <c r="P66" i="1"/>
  <c r="N67" i="1"/>
  <c r="O67" i="1" s="1"/>
  <c r="P67" i="1"/>
  <c r="N68" i="1"/>
  <c r="O68" i="1" s="1"/>
  <c r="P68" i="1"/>
  <c r="N69" i="1"/>
  <c r="O69" i="1"/>
  <c r="Z227" i="3" s="1"/>
  <c r="P69" i="1"/>
  <c r="X295" i="3" s="1"/>
  <c r="N70" i="1"/>
  <c r="O70" i="1" s="1"/>
  <c r="Z12" i="3" s="1"/>
  <c r="P70" i="1"/>
  <c r="X12" i="3" s="1"/>
  <c r="N71" i="1"/>
  <c r="O71" i="1"/>
  <c r="Z150" i="3" s="1"/>
  <c r="P71" i="1"/>
  <c r="X303" i="3" s="1"/>
  <c r="N72" i="1"/>
  <c r="O72" i="1" s="1"/>
  <c r="Z62" i="3" s="1"/>
  <c r="P72" i="1"/>
  <c r="X71" i="3" s="1"/>
  <c r="N73" i="1"/>
  <c r="O73" i="1"/>
  <c r="P73" i="1"/>
  <c r="N74" i="1"/>
  <c r="O74" i="1" s="1"/>
  <c r="P74" i="1"/>
  <c r="N75" i="1"/>
  <c r="O75" i="1" s="1"/>
  <c r="P75" i="1"/>
  <c r="N76" i="1"/>
  <c r="O76" i="1" s="1"/>
  <c r="Z352" i="3" s="1"/>
  <c r="P76" i="1"/>
  <c r="X194" i="3" s="1"/>
  <c r="N77" i="1"/>
  <c r="O77" i="1"/>
  <c r="P77" i="1"/>
  <c r="N78" i="1"/>
  <c r="O78" i="1" s="1"/>
  <c r="Z2" i="3" s="1"/>
  <c r="P78" i="1"/>
  <c r="X2" i="3" s="1"/>
  <c r="N79" i="1"/>
  <c r="O79" i="1" s="1"/>
  <c r="P79" i="1"/>
  <c r="N80" i="1"/>
  <c r="O80" i="1" s="1"/>
  <c r="P80" i="1"/>
  <c r="N81" i="1"/>
  <c r="O81" i="1" s="1"/>
  <c r="P81" i="1"/>
  <c r="N82" i="1"/>
  <c r="O82" i="1"/>
  <c r="P82" i="1"/>
  <c r="N83" i="1"/>
  <c r="O83" i="1" s="1"/>
  <c r="P83" i="1"/>
  <c r="N84" i="1"/>
  <c r="O84" i="1" s="1"/>
  <c r="P84" i="1"/>
  <c r="N85" i="1"/>
  <c r="O85" i="1" s="1"/>
  <c r="Z93" i="3" s="1"/>
  <c r="P85" i="1"/>
  <c r="X93" i="3" s="1"/>
  <c r="N86" i="1"/>
  <c r="O86" i="1" s="1"/>
  <c r="P86" i="1"/>
  <c r="N87" i="1"/>
  <c r="O87" i="1"/>
  <c r="P87" i="1"/>
  <c r="N88" i="1"/>
  <c r="O88" i="1" s="1"/>
  <c r="Z269" i="3" s="1"/>
  <c r="P88" i="1"/>
  <c r="X269" i="3" s="1"/>
  <c r="N89" i="1"/>
  <c r="O89" i="1" s="1"/>
  <c r="P89" i="1"/>
  <c r="N90" i="1"/>
  <c r="O90" i="1" s="1"/>
  <c r="P90" i="1"/>
  <c r="X16" i="3" s="1"/>
  <c r="N91" i="1"/>
  <c r="O91" i="1" s="1"/>
  <c r="P91" i="1"/>
  <c r="N92" i="1"/>
  <c r="O92" i="1" s="1"/>
  <c r="P92" i="1"/>
  <c r="N93" i="1"/>
  <c r="O93" i="1" s="1"/>
  <c r="P93" i="1"/>
  <c r="N94" i="1"/>
  <c r="O94" i="1" s="1"/>
  <c r="Z201" i="3" s="1"/>
  <c r="P94" i="1"/>
  <c r="X201" i="3" s="1"/>
  <c r="N95" i="1"/>
  <c r="O95" i="1" s="1"/>
  <c r="P95" i="1"/>
  <c r="N96" i="1"/>
  <c r="O96" i="1"/>
  <c r="P96" i="1"/>
  <c r="N97" i="1"/>
  <c r="O97" i="1" s="1"/>
  <c r="P97" i="1"/>
  <c r="N98" i="1"/>
  <c r="O98" i="1" s="1"/>
  <c r="P98" i="1"/>
  <c r="N99" i="1"/>
  <c r="O99" i="1" s="1"/>
  <c r="Z274" i="3" s="1"/>
  <c r="P99" i="1"/>
  <c r="X359" i="3" s="1"/>
  <c r="N100" i="1"/>
  <c r="O100" i="1" s="1"/>
  <c r="P100" i="1"/>
  <c r="N101" i="1"/>
  <c r="O101" i="1" s="1"/>
  <c r="P101" i="1"/>
  <c r="N102" i="1"/>
  <c r="O102" i="1" s="1"/>
  <c r="P102" i="1"/>
  <c r="N103" i="1"/>
  <c r="O103" i="1" s="1"/>
  <c r="P103" i="1"/>
  <c r="N104" i="1"/>
  <c r="O104" i="1" s="1"/>
  <c r="P104" i="1"/>
  <c r="N105" i="1"/>
  <c r="O105" i="1" s="1"/>
  <c r="P105" i="1"/>
  <c r="N106" i="1"/>
  <c r="O106" i="1" s="1"/>
  <c r="Z4" i="3" s="1"/>
  <c r="P106" i="1"/>
  <c r="X4" i="3" s="1"/>
  <c r="N107" i="1"/>
  <c r="O107" i="1" s="1"/>
  <c r="Z151" i="3" s="1"/>
  <c r="P107" i="1"/>
  <c r="X151" i="3" s="1"/>
  <c r="N108" i="1"/>
  <c r="O108" i="1" s="1"/>
  <c r="Z200" i="3" s="1"/>
  <c r="P108" i="1"/>
  <c r="X103" i="3" s="1"/>
  <c r="N109" i="1"/>
  <c r="O109" i="1" s="1"/>
  <c r="P109" i="1"/>
  <c r="N110" i="1"/>
  <c r="O110" i="1" s="1"/>
  <c r="Z130" i="3" s="1"/>
  <c r="P110" i="1"/>
  <c r="X130" i="3" s="1"/>
  <c r="N111" i="1"/>
  <c r="O111" i="1"/>
  <c r="P111" i="1"/>
  <c r="N112" i="1"/>
  <c r="O112" i="1" s="1"/>
  <c r="Z119" i="3" s="1"/>
  <c r="P112" i="1"/>
  <c r="X119" i="3" s="1"/>
  <c r="N113" i="1"/>
  <c r="O113" i="1" s="1"/>
  <c r="P113" i="1"/>
  <c r="N114" i="1"/>
  <c r="O114" i="1" s="1"/>
  <c r="Z258" i="3" s="1"/>
  <c r="P114" i="1"/>
  <c r="X258" i="3" s="1"/>
  <c r="N115" i="1"/>
  <c r="O115" i="1" s="1"/>
  <c r="P115" i="1"/>
  <c r="N116" i="1"/>
  <c r="O116" i="1"/>
  <c r="P116" i="1"/>
  <c r="N117" i="1"/>
  <c r="O117" i="1" s="1"/>
  <c r="Z366" i="3" s="1"/>
  <c r="P117" i="1"/>
  <c r="X366" i="3" s="1"/>
  <c r="N118" i="1"/>
  <c r="O118" i="1"/>
  <c r="Z286" i="3" s="1"/>
  <c r="P118" i="1"/>
  <c r="X286" i="3" s="1"/>
  <c r="N119" i="1"/>
  <c r="O119" i="1"/>
  <c r="P119" i="1"/>
  <c r="N120" i="1"/>
  <c r="O120" i="1" s="1"/>
  <c r="Z225" i="3" s="1"/>
  <c r="P120" i="1"/>
  <c r="X225" i="3" s="1"/>
  <c r="N121" i="1"/>
  <c r="O121" i="1"/>
  <c r="Z54" i="3" s="1"/>
  <c r="P121" i="1"/>
  <c r="X54" i="3" s="1"/>
  <c r="N122" i="1"/>
  <c r="O122" i="1" s="1"/>
  <c r="P122" i="1"/>
  <c r="N123" i="1"/>
  <c r="O123" i="1" s="1"/>
  <c r="Z298" i="3" s="1"/>
  <c r="P123" i="1"/>
  <c r="X298" i="3" s="1"/>
  <c r="N124" i="1"/>
  <c r="O124" i="1"/>
  <c r="Z249" i="3" s="1"/>
  <c r="P124" i="1"/>
  <c r="X249" i="3" s="1"/>
  <c r="N125" i="1"/>
  <c r="O125" i="1" s="1"/>
  <c r="P125" i="1"/>
  <c r="P58" i="1"/>
  <c r="N2" i="1"/>
  <c r="O2" i="1" s="1"/>
  <c r="Z197" i="3" s="1"/>
  <c r="AF2" i="5"/>
  <c r="Z293" i="3" l="1"/>
  <c r="X293" i="3"/>
  <c r="Z134" i="3"/>
  <c r="X285" i="3"/>
  <c r="X368" i="3"/>
  <c r="Z256" i="3"/>
  <c r="X7" i="3"/>
  <c r="X143" i="3"/>
  <c r="Z120" i="3"/>
  <c r="X343" i="3"/>
  <c r="X120" i="3"/>
  <c r="X309" i="3"/>
  <c r="X341" i="3"/>
  <c r="X95" i="3"/>
  <c r="U341" i="3"/>
  <c r="Z30" i="3"/>
  <c r="Z88" i="3"/>
  <c r="Z213" i="3"/>
  <c r="Z229" i="3"/>
  <c r="Z263" i="3"/>
  <c r="Z144" i="3"/>
  <c r="Z214" i="3"/>
  <c r="Z358" i="3"/>
  <c r="Z367" i="3"/>
  <c r="Z230" i="3"/>
  <c r="Z21" i="3"/>
  <c r="Z22" i="3"/>
  <c r="Z77" i="3"/>
  <c r="Z167" i="3"/>
  <c r="Z23" i="3"/>
  <c r="Z199" i="3"/>
  <c r="Z149" i="3"/>
  <c r="Z334" i="3"/>
  <c r="Z87" i="3"/>
  <c r="Z174" i="3"/>
  <c r="Z342" i="3"/>
  <c r="Z168" i="3"/>
  <c r="Z118" i="3"/>
  <c r="Z302" i="3"/>
  <c r="Z277" i="3"/>
  <c r="Z184" i="3"/>
  <c r="Z224" i="3"/>
  <c r="Z341" i="3"/>
  <c r="Z368" i="3"/>
  <c r="Z143" i="3"/>
  <c r="Z381" i="3"/>
  <c r="Z222" i="3"/>
  <c r="Z48" i="3"/>
  <c r="Z3" i="3"/>
  <c r="Z37" i="3"/>
  <c r="Z373" i="3"/>
  <c r="Z280" i="3"/>
  <c r="Z288" i="3"/>
  <c r="Z287" i="3"/>
  <c r="Z326" i="3"/>
  <c r="Z327" i="3"/>
  <c r="X279" i="3"/>
  <c r="X263" i="3"/>
  <c r="Z176" i="3"/>
  <c r="Z189" i="3"/>
  <c r="Z175" i="3"/>
  <c r="X277" i="3"/>
  <c r="X159" i="3"/>
  <c r="Z13" i="3"/>
  <c r="X367" i="3"/>
  <c r="X351" i="3"/>
  <c r="Z320" i="3"/>
  <c r="Z303" i="3"/>
  <c r="X256" i="3"/>
  <c r="Z80" i="3"/>
  <c r="Z63" i="3"/>
  <c r="Z350" i="3"/>
  <c r="Z255" i="3"/>
  <c r="X136" i="3"/>
  <c r="Z8" i="3"/>
  <c r="X320" i="3"/>
  <c r="X271" i="3"/>
  <c r="X184" i="3"/>
  <c r="Z135" i="3"/>
  <c r="X80" i="3"/>
  <c r="Z24" i="3"/>
  <c r="X350" i="3"/>
  <c r="Z270" i="3"/>
  <c r="X255" i="3"/>
  <c r="Z183" i="3"/>
  <c r="Z79" i="3"/>
  <c r="Z7" i="3"/>
  <c r="Z46" i="3"/>
  <c r="X381" i="3"/>
  <c r="Z349" i="3"/>
  <c r="X335" i="3"/>
  <c r="Z318" i="3"/>
  <c r="Z254" i="3"/>
  <c r="X135" i="3"/>
  <c r="X24" i="3"/>
  <c r="X183" i="3"/>
  <c r="X352" i="3"/>
  <c r="X349" i="3"/>
  <c r="Z317" i="3"/>
  <c r="Z253" i="3"/>
  <c r="Z216" i="3"/>
  <c r="Z182" i="3"/>
  <c r="X168" i="3"/>
  <c r="Z94" i="3"/>
  <c r="Z78" i="3"/>
  <c r="X79" i="3"/>
  <c r="Z333" i="3"/>
  <c r="X199" i="3"/>
  <c r="Z133" i="3"/>
  <c r="X40" i="3"/>
  <c r="X23" i="3"/>
  <c r="X360" i="3"/>
  <c r="X317" i="3"/>
  <c r="X253" i="3"/>
  <c r="Z231" i="3"/>
  <c r="X216" i="3"/>
  <c r="Z181" i="3"/>
  <c r="Z359" i="3"/>
  <c r="X333" i="3"/>
  <c r="Z215" i="3"/>
  <c r="X39" i="3"/>
  <c r="X296" i="3"/>
  <c r="X231" i="3"/>
  <c r="X181" i="3"/>
  <c r="Z38" i="3"/>
  <c r="Z344" i="3"/>
  <c r="Z295" i="3"/>
  <c r="X215" i="3"/>
  <c r="Z47" i="3"/>
  <c r="X47" i="3"/>
  <c r="X280" i="3"/>
  <c r="Z53" i="3"/>
  <c r="Z279" i="3"/>
  <c r="Z109" i="3"/>
  <c r="X373" i="3"/>
  <c r="Z357" i="3"/>
  <c r="Z343" i="3"/>
  <c r="Z294" i="3"/>
  <c r="X144" i="3"/>
  <c r="Z90" i="3"/>
  <c r="Z75" i="3"/>
  <c r="Z85" i="3"/>
  <c r="Z86" i="3"/>
  <c r="X232" i="3"/>
  <c r="Z205" i="3"/>
  <c r="Z95" i="3"/>
  <c r="X55" i="3"/>
  <c r="Z173" i="3"/>
  <c r="X104" i="3"/>
  <c r="X8" i="3"/>
  <c r="Z241" i="3"/>
  <c r="Z321" i="3"/>
  <c r="Z322" i="3"/>
  <c r="Z243" i="3"/>
  <c r="Z244" i="3"/>
  <c r="Z328" i="3"/>
  <c r="Z278" i="3"/>
  <c r="Z264" i="3"/>
  <c r="Z239" i="3"/>
  <c r="Z158" i="3"/>
  <c r="Z117" i="3"/>
  <c r="X186" i="3"/>
  <c r="X91" i="3"/>
  <c r="X195" i="3"/>
  <c r="X275" i="3"/>
  <c r="X323" i="3"/>
  <c r="X355" i="3"/>
  <c r="X196" i="3"/>
  <c r="X45" i="3"/>
  <c r="Z198" i="3"/>
  <c r="Z82" i="3"/>
  <c r="Z115" i="3"/>
  <c r="Z163" i="3"/>
  <c r="Z324" i="3"/>
  <c r="X44" i="3"/>
  <c r="X254" i="3"/>
  <c r="X26" i="3"/>
  <c r="X50" i="3"/>
  <c r="X58" i="3"/>
  <c r="X66" i="3"/>
  <c r="X74" i="3"/>
  <c r="X98" i="3"/>
  <c r="X122" i="3"/>
  <c r="X138" i="3"/>
  <c r="X314" i="3"/>
  <c r="X338" i="3"/>
  <c r="X346" i="3"/>
  <c r="X43" i="3"/>
  <c r="X51" i="3"/>
  <c r="X67" i="3"/>
  <c r="X107" i="3"/>
  <c r="X123" i="3"/>
  <c r="X131" i="3"/>
  <c r="X139" i="3"/>
  <c r="X171" i="3"/>
  <c r="X307" i="3"/>
  <c r="X315" i="3"/>
  <c r="X20" i="3"/>
  <c r="X68" i="3"/>
  <c r="X84" i="3"/>
  <c r="X92" i="3"/>
  <c r="X124" i="3"/>
  <c r="X140" i="3"/>
  <c r="X172" i="3"/>
  <c r="X204" i="3"/>
  <c r="X292" i="3"/>
  <c r="X300" i="3"/>
  <c r="X308" i="3"/>
  <c r="X316" i="3"/>
  <c r="X356" i="3"/>
  <c r="X5" i="3"/>
  <c r="X69" i="3"/>
  <c r="X125" i="3"/>
  <c r="X157" i="3"/>
  <c r="X165" i="3"/>
  <c r="X189" i="3"/>
  <c r="X205" i="3"/>
  <c r="X70" i="3"/>
  <c r="X94" i="3"/>
  <c r="X110" i="3"/>
  <c r="X126" i="3"/>
  <c r="X166" i="3"/>
  <c r="X270" i="3"/>
  <c r="X294" i="3"/>
  <c r="X318" i="3"/>
  <c r="X25" i="3"/>
  <c r="X57" i="3"/>
  <c r="X65" i="3"/>
  <c r="X73" i="3"/>
  <c r="X97" i="3"/>
  <c r="X113" i="3"/>
  <c r="X121" i="3"/>
  <c r="X137" i="3"/>
  <c r="X185" i="3"/>
  <c r="X313" i="3"/>
  <c r="X337" i="3"/>
  <c r="X345" i="3"/>
  <c r="X328" i="3"/>
  <c r="X264" i="3"/>
  <c r="Z157" i="3"/>
  <c r="Z128" i="3"/>
  <c r="Z102" i="3"/>
  <c r="X88" i="3"/>
  <c r="Z61" i="3"/>
  <c r="Z32" i="3"/>
  <c r="Z6" i="3"/>
  <c r="Z365" i="3"/>
  <c r="Z223" i="3"/>
  <c r="Z142" i="3"/>
  <c r="X128" i="3"/>
  <c r="Z101" i="3"/>
  <c r="Z72" i="3"/>
  <c r="X32" i="3"/>
  <c r="X322" i="3"/>
  <c r="X243" i="3"/>
  <c r="X244" i="3"/>
  <c r="X246" i="3"/>
  <c r="X241" i="3"/>
  <c r="X321" i="3"/>
  <c r="Z25" i="3"/>
  <c r="Z57" i="3"/>
  <c r="Z65" i="3"/>
  <c r="Z73" i="3"/>
  <c r="Z97" i="3"/>
  <c r="Z113" i="3"/>
  <c r="Z121" i="3"/>
  <c r="Z137" i="3"/>
  <c r="Z185" i="3"/>
  <c r="Z313" i="3"/>
  <c r="Z337" i="3"/>
  <c r="Z345" i="3"/>
  <c r="Z26" i="3"/>
  <c r="Z50" i="3"/>
  <c r="Z58" i="3"/>
  <c r="Z66" i="3"/>
  <c r="Z74" i="3"/>
  <c r="Z98" i="3"/>
  <c r="Z122" i="3"/>
  <c r="Z138" i="3"/>
  <c r="Z314" i="3"/>
  <c r="Z338" i="3"/>
  <c r="Z346" i="3"/>
  <c r="Z43" i="3"/>
  <c r="Z51" i="3"/>
  <c r="Z67" i="3"/>
  <c r="Z107" i="3"/>
  <c r="Z123" i="3"/>
  <c r="Z131" i="3"/>
  <c r="Z139" i="3"/>
  <c r="Z171" i="3"/>
  <c r="Z307" i="3"/>
  <c r="Z315" i="3"/>
  <c r="Z20" i="3"/>
  <c r="Z68" i="3"/>
  <c r="Z84" i="3"/>
  <c r="Z92" i="3"/>
  <c r="Z124" i="3"/>
  <c r="Z140" i="3"/>
  <c r="Z172" i="3"/>
  <c r="Z204" i="3"/>
  <c r="Z292" i="3"/>
  <c r="Z300" i="3"/>
  <c r="Z308" i="3"/>
  <c r="Z316" i="3"/>
  <c r="Z356" i="3"/>
  <c r="Z301" i="3"/>
  <c r="X288" i="3"/>
  <c r="Z237" i="3"/>
  <c r="Z127" i="3"/>
  <c r="Z240" i="3"/>
  <c r="Z262" i="3"/>
  <c r="Z248" i="3"/>
  <c r="X223" i="3"/>
  <c r="Z141" i="3"/>
  <c r="Z112" i="3"/>
  <c r="X72" i="3"/>
  <c r="Z45" i="3"/>
  <c r="Z16" i="3"/>
  <c r="Z179" i="3"/>
  <c r="Z116" i="3"/>
  <c r="Z190" i="3"/>
  <c r="Z103" i="3"/>
  <c r="X42" i="3"/>
  <c r="X114" i="3"/>
  <c r="X146" i="3"/>
  <c r="X154" i="3"/>
  <c r="X170" i="3"/>
  <c r="X178" i="3"/>
  <c r="X210" i="3"/>
  <c r="X250" i="3"/>
  <c r="X330" i="3"/>
  <c r="X362" i="3"/>
  <c r="X370" i="3"/>
  <c r="X378" i="3"/>
  <c r="X35" i="3"/>
  <c r="X147" i="3"/>
  <c r="X211" i="3"/>
  <c r="X283" i="3"/>
  <c r="X331" i="3"/>
  <c r="X339" i="3"/>
  <c r="X347" i="3"/>
  <c r="X371" i="3"/>
  <c r="X28" i="3"/>
  <c r="X36" i="3"/>
  <c r="X76" i="3"/>
  <c r="X148" i="3"/>
  <c r="X156" i="3"/>
  <c r="X164" i="3"/>
  <c r="X212" i="3"/>
  <c r="X252" i="3"/>
  <c r="X340" i="3"/>
  <c r="X348" i="3"/>
  <c r="X372" i="3"/>
  <c r="X21" i="3"/>
  <c r="X29" i="3"/>
  <c r="X77" i="3"/>
  <c r="X149" i="3"/>
  <c r="X213" i="3"/>
  <c r="X229" i="3"/>
  <c r="X6" i="3"/>
  <c r="X22" i="3"/>
  <c r="X30" i="3"/>
  <c r="X118" i="3"/>
  <c r="X142" i="3"/>
  <c r="X174" i="3"/>
  <c r="X214" i="3"/>
  <c r="X230" i="3"/>
  <c r="X302" i="3"/>
  <c r="X334" i="3"/>
  <c r="X342" i="3"/>
  <c r="X358" i="3"/>
  <c r="X81" i="3"/>
  <c r="X89" i="3"/>
  <c r="X129" i="3"/>
  <c r="X145" i="3"/>
  <c r="X161" i="3"/>
  <c r="X169" i="3"/>
  <c r="X177" i="3"/>
  <c r="X257" i="3"/>
  <c r="X329" i="3"/>
  <c r="X369" i="3"/>
  <c r="Z41" i="3"/>
  <c r="Z233" i="3"/>
  <c r="Z297" i="3"/>
  <c r="Z234" i="3"/>
  <c r="Z375" i="3"/>
  <c r="Z325" i="3"/>
  <c r="X312" i="3"/>
  <c r="X287" i="3"/>
  <c r="Z261" i="3"/>
  <c r="X248" i="3"/>
  <c r="Z152" i="3"/>
  <c r="Z126" i="3"/>
  <c r="X112" i="3"/>
  <c r="Z56" i="3"/>
  <c r="Z379" i="3"/>
  <c r="Z380" i="3"/>
  <c r="Z104" i="3"/>
  <c r="X3" i="3"/>
  <c r="X37" i="3"/>
  <c r="X14" i="3"/>
  <c r="X234" i="3"/>
  <c r="X222" i="3"/>
  <c r="X41" i="3"/>
  <c r="X233" i="3"/>
  <c r="X297" i="3"/>
  <c r="Z71" i="3"/>
  <c r="X227" i="3"/>
  <c r="X326" i="3"/>
  <c r="Z336" i="3"/>
  <c r="Z311" i="3"/>
  <c r="Z272" i="3"/>
  <c r="Z247" i="3"/>
  <c r="X167" i="3"/>
  <c r="Z111" i="3"/>
  <c r="Z15" i="3"/>
  <c r="X379" i="3"/>
  <c r="X380" i="3"/>
  <c r="Z194" i="3"/>
  <c r="Z180" i="3"/>
  <c r="Z276" i="3"/>
  <c r="Z364" i="3"/>
  <c r="X64" i="3"/>
  <c r="X236" i="3"/>
  <c r="X237" i="3"/>
  <c r="X238" i="3"/>
  <c r="X90" i="3"/>
  <c r="X75" i="3"/>
  <c r="X179" i="3"/>
  <c r="X116" i="3"/>
  <c r="X150" i="3"/>
  <c r="Z238" i="3"/>
  <c r="Z376" i="3"/>
  <c r="X209" i="3"/>
  <c r="X361" i="3"/>
  <c r="Z312" i="3"/>
  <c r="X376" i="3"/>
  <c r="Z81" i="3"/>
  <c r="Z89" i="3"/>
  <c r="Z129" i="3"/>
  <c r="Z145" i="3"/>
  <c r="Z161" i="3"/>
  <c r="Z169" i="3"/>
  <c r="Z177" i="3"/>
  <c r="Z257" i="3"/>
  <c r="Z329" i="3"/>
  <c r="Z369" i="3"/>
  <c r="Z42" i="3"/>
  <c r="Z114" i="3"/>
  <c r="Z146" i="3"/>
  <c r="Z154" i="3"/>
  <c r="Z170" i="3"/>
  <c r="Z178" i="3"/>
  <c r="Z210" i="3"/>
  <c r="Z250" i="3"/>
  <c r="Z330" i="3"/>
  <c r="Z362" i="3"/>
  <c r="Z370" i="3"/>
  <c r="Z378" i="3"/>
  <c r="Z35" i="3"/>
  <c r="Z147" i="3"/>
  <c r="Z211" i="3"/>
  <c r="Z283" i="3"/>
  <c r="Z331" i="3"/>
  <c r="Z339" i="3"/>
  <c r="Z347" i="3"/>
  <c r="Z371" i="3"/>
  <c r="Z28" i="3"/>
  <c r="Z36" i="3"/>
  <c r="Z76" i="3"/>
  <c r="Z148" i="3"/>
  <c r="Z156" i="3"/>
  <c r="Z164" i="3"/>
  <c r="Z212" i="3"/>
  <c r="Z252" i="3"/>
  <c r="Z340" i="3"/>
  <c r="Z348" i="3"/>
  <c r="Z372" i="3"/>
  <c r="X375" i="3"/>
  <c r="X325" i="3"/>
  <c r="X261" i="3"/>
  <c r="Z166" i="3"/>
  <c r="X152" i="3"/>
  <c r="Z125" i="3"/>
  <c r="Z70" i="3"/>
  <c r="X56" i="3"/>
  <c r="Z29" i="3"/>
  <c r="X18" i="3"/>
  <c r="X306" i="3"/>
  <c r="X11" i="3"/>
  <c r="X19" i="3"/>
  <c r="X259" i="3"/>
  <c r="X299" i="3"/>
  <c r="X100" i="3"/>
  <c r="X260" i="3"/>
  <c r="X101" i="3"/>
  <c r="X102" i="3"/>
  <c r="X17" i="3"/>
  <c r="X265" i="3"/>
  <c r="X289" i="3"/>
  <c r="X305" i="3"/>
  <c r="X353" i="3"/>
  <c r="Z17" i="3"/>
  <c r="Z265" i="3"/>
  <c r="Z289" i="3"/>
  <c r="Z305" i="3"/>
  <c r="Z353" i="3"/>
  <c r="Z18" i="3"/>
  <c r="Z306" i="3"/>
  <c r="Z11" i="3"/>
  <c r="Z19" i="3"/>
  <c r="Z259" i="3"/>
  <c r="Z299" i="3"/>
  <c r="Z100" i="3"/>
  <c r="Z260" i="3"/>
  <c r="X228" i="3"/>
  <c r="X278" i="3"/>
  <c r="X99" i="3"/>
  <c r="X332" i="3"/>
  <c r="Z99" i="3"/>
  <c r="Z332" i="3"/>
  <c r="X221" i="3"/>
  <c r="X158" i="3"/>
  <c r="X200" i="3"/>
  <c r="Z159" i="3"/>
  <c r="X304" i="3"/>
  <c r="X240" i="3"/>
  <c r="X82" i="3"/>
  <c r="X115" i="3"/>
  <c r="X163" i="3"/>
  <c r="X324" i="3"/>
  <c r="X13" i="3"/>
  <c r="X117" i="3"/>
  <c r="X141" i="3"/>
  <c r="X62" i="3"/>
  <c r="X262" i="3"/>
  <c r="Z162" i="3"/>
  <c r="Z235" i="3"/>
  <c r="Z9" i="3"/>
  <c r="Z49" i="3"/>
  <c r="Z105" i="3"/>
  <c r="Z217" i="3"/>
  <c r="Z281" i="3"/>
  <c r="Z10" i="3"/>
  <c r="Z106" i="3"/>
  <c r="Z202" i="3"/>
  <c r="Z218" i="3"/>
  <c r="Z242" i="3"/>
  <c r="Z290" i="3"/>
  <c r="Z354" i="3"/>
  <c r="Z27" i="3"/>
  <c r="Z83" i="3"/>
  <c r="Z155" i="3"/>
  <c r="Z203" i="3"/>
  <c r="Z219" i="3"/>
  <c r="Z52" i="3"/>
  <c r="Z108" i="3"/>
  <c r="Z132" i="3"/>
  <c r="Z220" i="3"/>
  <c r="Z209" i="3"/>
  <c r="Z361" i="3"/>
  <c r="X208" i="3"/>
  <c r="X127" i="3"/>
  <c r="X267" i="3"/>
  <c r="X268" i="3"/>
  <c r="U349" i="3"/>
  <c r="W349" i="3" s="1"/>
  <c r="AA349" i="3" s="1"/>
  <c r="Z374" i="3"/>
  <c r="Z360" i="3"/>
  <c r="X336" i="3"/>
  <c r="Z285" i="3"/>
  <c r="X272" i="3"/>
  <c r="X247" i="3"/>
  <c r="Z206" i="3"/>
  <c r="X192" i="3"/>
  <c r="X111" i="3"/>
  <c r="Z55" i="3"/>
  <c r="X15" i="3"/>
  <c r="Z193" i="3"/>
  <c r="Z266" i="3"/>
  <c r="Z187" i="3"/>
  <c r="Z291" i="3"/>
  <c r="Z188" i="3"/>
  <c r="Z39" i="3"/>
  <c r="X34" i="3"/>
  <c r="X173" i="3"/>
  <c r="X38" i="3"/>
  <c r="X33" i="3"/>
  <c r="X153" i="3"/>
  <c r="Z33" i="3"/>
  <c r="Z153" i="3"/>
  <c r="Z34" i="3"/>
  <c r="Z304" i="3"/>
  <c r="X63" i="3"/>
  <c r="X162" i="3"/>
  <c r="X235" i="3"/>
  <c r="X53" i="3"/>
  <c r="X85" i="3"/>
  <c r="X86" i="3"/>
  <c r="Z186" i="3"/>
  <c r="Z91" i="3"/>
  <c r="Z195" i="3"/>
  <c r="Z275" i="3"/>
  <c r="Z323" i="3"/>
  <c r="Z355" i="3"/>
  <c r="Z196" i="3"/>
  <c r="X226" i="3"/>
  <c r="X60" i="3"/>
  <c r="X61" i="3"/>
  <c r="Z226" i="3"/>
  <c r="Z60" i="3"/>
  <c r="X10" i="3"/>
  <c r="X106" i="3"/>
  <c r="X202" i="3"/>
  <c r="X218" i="3"/>
  <c r="X242" i="3"/>
  <c r="X290" i="3"/>
  <c r="X354" i="3"/>
  <c r="X27" i="3"/>
  <c r="X83" i="3"/>
  <c r="X155" i="3"/>
  <c r="X203" i="3"/>
  <c r="X219" i="3"/>
  <c r="X52" i="3"/>
  <c r="X108" i="3"/>
  <c r="X132" i="3"/>
  <c r="X220" i="3"/>
  <c r="X109" i="3"/>
  <c r="X133" i="3"/>
  <c r="X134" i="3"/>
  <c r="X206" i="3"/>
  <c r="X310" i="3"/>
  <c r="X374" i="3"/>
  <c r="X9" i="3"/>
  <c r="X49" i="3"/>
  <c r="X105" i="3"/>
  <c r="X217" i="3"/>
  <c r="X281" i="3"/>
  <c r="Z351" i="3"/>
  <c r="X365" i="3"/>
  <c r="X31" i="3"/>
  <c r="X274" i="3"/>
  <c r="X78" i="3"/>
  <c r="Z267" i="3"/>
  <c r="Z268" i="3"/>
  <c r="U277" i="3"/>
  <c r="U253" i="3"/>
  <c r="W253" i="3" s="1"/>
  <c r="AD253" i="3" s="1"/>
  <c r="Z335" i="3"/>
  <c r="Z310" i="3"/>
  <c r="Z296" i="3"/>
  <c r="Z271" i="3"/>
  <c r="Z246" i="3"/>
  <c r="Z191" i="3"/>
  <c r="Z165" i="3"/>
  <c r="Z136" i="3"/>
  <c r="Z110" i="3"/>
  <c r="X96" i="3"/>
  <c r="Z69" i="3"/>
  <c r="Z40" i="3"/>
  <c r="Z14" i="3"/>
  <c r="X273" i="3"/>
  <c r="X182" i="3"/>
  <c r="X46" i="3"/>
  <c r="Z284" i="3"/>
  <c r="X364" i="3"/>
  <c r="X284" i="3"/>
  <c r="X276" i="3"/>
  <c r="X180" i="3"/>
  <c r="Z251" i="3"/>
  <c r="U340" i="3"/>
  <c r="W340" i="3" s="1"/>
  <c r="U284" i="3"/>
  <c r="W284" i="3" s="1"/>
  <c r="U260" i="3"/>
  <c r="W260" i="3" s="1"/>
  <c r="U244" i="3"/>
  <c r="W244" i="3" s="1"/>
  <c r="U206" i="3"/>
  <c r="U302" i="3"/>
  <c r="U262" i="3"/>
  <c r="W262" i="3" s="1"/>
  <c r="U216" i="3"/>
  <c r="W216" i="3" s="1"/>
  <c r="AC216" i="3" s="1"/>
  <c r="U208" i="3"/>
  <c r="W208" i="3" s="1"/>
  <c r="U176" i="3"/>
  <c r="W176" i="3" s="1"/>
  <c r="U160" i="3"/>
  <c r="W160" i="3" s="1"/>
  <c r="AE160" i="3" s="1"/>
  <c r="U16" i="3"/>
  <c r="W16" i="3" s="1"/>
  <c r="M59" i="5"/>
  <c r="N59" i="5"/>
  <c r="O59" i="5" s="1"/>
  <c r="AK59" i="5" s="1"/>
  <c r="W59" i="5"/>
  <c r="P59" i="5"/>
  <c r="U59" i="5" s="1"/>
  <c r="L59" i="5"/>
  <c r="X59" i="5"/>
  <c r="Y59" i="5"/>
  <c r="V59" i="5"/>
  <c r="AI59" i="5"/>
  <c r="AG59" i="5"/>
  <c r="AJ59" i="5"/>
  <c r="AY59" i="5" s="1"/>
  <c r="AM59" i="5"/>
  <c r="AH59" i="5"/>
  <c r="AL59" i="5"/>
  <c r="AV59" i="5"/>
  <c r="AW59" i="5"/>
  <c r="AX59" i="5"/>
  <c r="U313" i="3"/>
  <c r="W313" i="3" s="1"/>
  <c r="U281" i="3"/>
  <c r="W281" i="3" s="1"/>
  <c r="U273" i="3"/>
  <c r="W273" i="3" s="1"/>
  <c r="U219" i="3"/>
  <c r="W219" i="3" s="1"/>
  <c r="U179" i="3"/>
  <c r="W179" i="3" s="1"/>
  <c r="U59" i="3"/>
  <c r="W59" i="3" s="1"/>
  <c r="U11" i="3"/>
  <c r="W11" i="3" s="1"/>
  <c r="U370" i="3"/>
  <c r="W370" i="3" s="1"/>
  <c r="U354" i="3"/>
  <c r="W354" i="3" s="1"/>
  <c r="U71" i="3"/>
  <c r="W71" i="3" s="1"/>
  <c r="U55" i="3"/>
  <c r="W55" i="3" s="1"/>
  <c r="U23" i="3"/>
  <c r="W23" i="3" s="1"/>
  <c r="U287" i="3"/>
  <c r="W287" i="3" s="1"/>
  <c r="AD287" i="3" s="1"/>
  <c r="U217" i="3"/>
  <c r="W217" i="3" s="1"/>
  <c r="U209" i="3"/>
  <c r="W209" i="3" s="1"/>
  <c r="U121" i="3"/>
  <c r="W121" i="3" s="1"/>
  <c r="U73" i="3"/>
  <c r="W73" i="3" s="1"/>
  <c r="U41" i="3"/>
  <c r="W41" i="3" s="1"/>
  <c r="U33" i="3"/>
  <c r="W33" i="3" s="1"/>
  <c r="U17" i="3"/>
  <c r="W17" i="3" s="1"/>
  <c r="U9" i="3"/>
  <c r="W9" i="3" s="1"/>
  <c r="U307" i="3"/>
  <c r="W307" i="3" s="1"/>
  <c r="U299" i="3"/>
  <c r="W299" i="3" s="1"/>
  <c r="U173" i="3"/>
  <c r="W173" i="3" s="1"/>
  <c r="U37" i="3"/>
  <c r="W37" i="3" s="1"/>
  <c r="U29" i="3"/>
  <c r="W29" i="3" s="1"/>
  <c r="U21" i="3"/>
  <c r="W21" i="3" s="1"/>
  <c r="U306" i="3"/>
  <c r="W306" i="3" s="1"/>
  <c r="U290" i="3"/>
  <c r="W290" i="3" s="1"/>
  <c r="U250" i="3"/>
  <c r="W250" i="3" s="1"/>
  <c r="U4" i="3"/>
  <c r="W4" i="3" s="1"/>
  <c r="U361" i="3"/>
  <c r="W361" i="3" s="1"/>
  <c r="U372" i="3"/>
  <c r="W372" i="3" s="1"/>
  <c r="U364" i="3"/>
  <c r="W364" i="3" s="1"/>
  <c r="U377" i="3"/>
  <c r="W377" i="3" s="1"/>
  <c r="U369" i="3"/>
  <c r="W369" i="3" s="1"/>
  <c r="U162" i="3"/>
  <c r="W162" i="3" s="1"/>
  <c r="U146" i="3"/>
  <c r="W146" i="3" s="1"/>
  <c r="U138" i="3"/>
  <c r="W138" i="3" s="1"/>
  <c r="AA138" i="3" s="1"/>
  <c r="U122" i="3"/>
  <c r="W122" i="3" s="1"/>
  <c r="U106" i="3"/>
  <c r="W106" i="3" s="1"/>
  <c r="U82" i="3"/>
  <c r="W82" i="3" s="1"/>
  <c r="U58" i="3"/>
  <c r="W58" i="3" s="1"/>
  <c r="U50" i="3"/>
  <c r="W50" i="3" s="1"/>
  <c r="U191" i="3"/>
  <c r="W191" i="3" s="1"/>
  <c r="U167" i="3"/>
  <c r="W167" i="3" s="1"/>
  <c r="U251" i="3"/>
  <c r="W251" i="3" s="1"/>
  <c r="U321" i="3"/>
  <c r="W321" i="3" s="1"/>
  <c r="U182" i="3"/>
  <c r="W182" i="3" s="1"/>
  <c r="U327" i="3"/>
  <c r="W327" i="3" s="1"/>
  <c r="U344" i="3"/>
  <c r="W344" i="3" s="1"/>
  <c r="AA344" i="3" s="1"/>
  <c r="U356" i="3"/>
  <c r="W356" i="3" s="1"/>
  <c r="U309" i="3"/>
  <c r="W309" i="3" s="1"/>
  <c r="U301" i="3"/>
  <c r="W301" i="3" s="1"/>
  <c r="U337" i="3"/>
  <c r="W337" i="3" s="1"/>
  <c r="U274" i="3"/>
  <c r="W274" i="3" s="1"/>
  <c r="U235" i="3"/>
  <c r="W235" i="3" s="1"/>
  <c r="U46" i="3"/>
  <c r="W46" i="3" s="1"/>
  <c r="U30" i="3"/>
  <c r="W30" i="3" s="1"/>
  <c r="AC30" i="3" s="1"/>
  <c r="U22" i="3"/>
  <c r="W22" i="3" s="1"/>
  <c r="AB22" i="3" s="1"/>
  <c r="U6" i="3"/>
  <c r="W6" i="3" s="1"/>
  <c r="U375" i="3"/>
  <c r="W375" i="3" s="1"/>
  <c r="U320" i="3"/>
  <c r="W320" i="3" s="1"/>
  <c r="U211" i="3"/>
  <c r="W211" i="3" s="1"/>
  <c r="U358" i="3"/>
  <c r="W358" i="3" s="1"/>
  <c r="U248" i="3"/>
  <c r="W248" i="3" s="1"/>
  <c r="U373" i="3"/>
  <c r="W373" i="3" s="1"/>
  <c r="AE373" i="3" s="1"/>
  <c r="U326" i="3"/>
  <c r="W326" i="3" s="1"/>
  <c r="U255" i="3"/>
  <c r="W255" i="3" s="1"/>
  <c r="U202" i="3"/>
  <c r="W202" i="3" s="1"/>
  <c r="U43" i="3"/>
  <c r="W43" i="3" s="1"/>
  <c r="U269" i="3"/>
  <c r="W269" i="3" s="1"/>
  <c r="AA269" i="3" s="1"/>
  <c r="U169" i="3"/>
  <c r="W169" i="3" s="1"/>
  <c r="U267" i="3"/>
  <c r="W267" i="3" s="1"/>
  <c r="U236" i="3"/>
  <c r="W236" i="3" s="1"/>
  <c r="U366" i="3"/>
  <c r="W366" i="3" s="1"/>
  <c r="U312" i="3"/>
  <c r="W312" i="3" s="1"/>
  <c r="U266" i="3"/>
  <c r="W266" i="3" s="1"/>
  <c r="U94" i="3"/>
  <c r="W94" i="3" s="1"/>
  <c r="AB94" i="3" s="1"/>
  <c r="U86" i="3"/>
  <c r="W86" i="3" s="1"/>
  <c r="U342" i="3"/>
  <c r="W342" i="3" s="1"/>
  <c r="U295" i="3"/>
  <c r="W295" i="3" s="1"/>
  <c r="U265" i="3"/>
  <c r="W265" i="3" s="1"/>
  <c r="U257" i="3"/>
  <c r="W257" i="3" s="1"/>
  <c r="U101" i="3"/>
  <c r="W101" i="3" s="1"/>
  <c r="U69" i="3"/>
  <c r="W69" i="3" s="1"/>
  <c r="U276" i="3"/>
  <c r="W276" i="3" s="1"/>
  <c r="U333" i="3"/>
  <c r="W333" i="3" s="1"/>
  <c r="U187" i="3"/>
  <c r="W187" i="3" s="1"/>
  <c r="U325" i="3"/>
  <c r="W325" i="3" s="1"/>
  <c r="U317" i="3"/>
  <c r="W317" i="3" s="1"/>
  <c r="AE317" i="3" s="1"/>
  <c r="U345" i="3"/>
  <c r="W345" i="3" s="1"/>
  <c r="U107" i="3"/>
  <c r="W107" i="3" s="1"/>
  <c r="U75" i="3"/>
  <c r="W75" i="3" s="1"/>
  <c r="W277" i="3"/>
  <c r="U137" i="3"/>
  <c r="W137" i="3" s="1"/>
  <c r="U355" i="3"/>
  <c r="W355" i="3" s="1"/>
  <c r="U231" i="3"/>
  <c r="W231" i="3" s="1"/>
  <c r="U223" i="3"/>
  <c r="W223" i="3" s="1"/>
  <c r="U294" i="3"/>
  <c r="W294" i="3" s="1"/>
  <c r="U142" i="3"/>
  <c r="W142" i="3" s="1"/>
  <c r="U126" i="3"/>
  <c r="W126" i="3" s="1"/>
  <c r="U39" i="3"/>
  <c r="W39" i="3" s="1"/>
  <c r="AE39" i="3" s="1"/>
  <c r="U256" i="3"/>
  <c r="W256" i="3" s="1"/>
  <c r="U165" i="3"/>
  <c r="W165" i="3" s="1"/>
  <c r="U149" i="3"/>
  <c r="W149" i="3" s="1"/>
  <c r="U141" i="3"/>
  <c r="W141" i="3" s="1"/>
  <c r="U54" i="3"/>
  <c r="W54" i="3" s="1"/>
  <c r="AD54" i="3" s="1"/>
  <c r="U7" i="3"/>
  <c r="W7" i="3" s="1"/>
  <c r="AE7" i="3" s="1"/>
  <c r="U338" i="3"/>
  <c r="W338" i="3" s="1"/>
  <c r="U323" i="3"/>
  <c r="W323" i="3" s="1"/>
  <c r="U263" i="3"/>
  <c r="W263" i="3" s="1"/>
  <c r="U224" i="3"/>
  <c r="W224" i="3" s="1"/>
  <c r="AC224" i="3" s="1"/>
  <c r="U353" i="3"/>
  <c r="W353" i="3" s="1"/>
  <c r="U315" i="3"/>
  <c r="W315" i="3" s="1"/>
  <c r="U247" i="3"/>
  <c r="W247" i="3" s="1"/>
  <c r="U218" i="3"/>
  <c r="W218" i="3" s="1"/>
  <c r="U92" i="3"/>
  <c r="W92" i="3" s="1"/>
  <c r="U311" i="3"/>
  <c r="W311" i="3" s="1"/>
  <c r="U322" i="3"/>
  <c r="W322" i="3" s="1"/>
  <c r="U194" i="3"/>
  <c r="W194" i="3" s="1"/>
  <c r="U368" i="3"/>
  <c r="W368" i="3" s="1"/>
  <c r="AE368" i="3" s="1"/>
  <c r="U332" i="3"/>
  <c r="W332" i="3" s="1"/>
  <c r="U336" i="3"/>
  <c r="W336" i="3" s="1"/>
  <c r="U261" i="3"/>
  <c r="W261" i="3" s="1"/>
  <c r="U230" i="3"/>
  <c r="W230" i="3" s="1"/>
  <c r="AC230" i="3" s="1"/>
  <c r="U91" i="3"/>
  <c r="W91" i="3" s="1"/>
  <c r="U185" i="3"/>
  <c r="W185" i="3" s="1"/>
  <c r="U130" i="3"/>
  <c r="W130" i="3" s="1"/>
  <c r="AB130" i="3" s="1"/>
  <c r="U27" i="3"/>
  <c r="W27" i="3" s="1"/>
  <c r="U177" i="3"/>
  <c r="W177" i="3" s="1"/>
  <c r="U365" i="3"/>
  <c r="W365" i="3" s="1"/>
  <c r="U282" i="3"/>
  <c r="W282" i="3" s="1"/>
  <c r="U275" i="3"/>
  <c r="W275" i="3" s="1"/>
  <c r="U221" i="3"/>
  <c r="W221" i="3" s="1"/>
  <c r="U34" i="3"/>
  <c r="W34" i="3" s="1"/>
  <c r="U26" i="3"/>
  <c r="W26" i="3" s="1"/>
  <c r="U378" i="3"/>
  <c r="W378" i="3" s="1"/>
  <c r="U371" i="3"/>
  <c r="W371" i="3" s="1"/>
  <c r="U300" i="3"/>
  <c r="W300" i="3" s="1"/>
  <c r="U285" i="3"/>
  <c r="W285" i="3" s="1"/>
  <c r="U134" i="3"/>
  <c r="W134" i="3" s="1"/>
  <c r="U193" i="3"/>
  <c r="W193" i="3" s="1"/>
  <c r="U131" i="3"/>
  <c r="W131" i="3" s="1"/>
  <c r="U15" i="3"/>
  <c r="W15" i="3" s="1"/>
  <c r="U240" i="3"/>
  <c r="W240" i="3" s="1"/>
  <c r="U360" i="3"/>
  <c r="W360" i="3" s="1"/>
  <c r="U296" i="3"/>
  <c r="W296" i="3" s="1"/>
  <c r="AC296" i="3" s="1"/>
  <c r="U252" i="3"/>
  <c r="W252" i="3" s="1"/>
  <c r="U200" i="3"/>
  <c r="W200" i="3" s="1"/>
  <c r="AC200" i="3" s="1"/>
  <c r="U83" i="3"/>
  <c r="W83" i="3" s="1"/>
  <c r="U161" i="3"/>
  <c r="W161" i="3" s="1"/>
  <c r="U183" i="3"/>
  <c r="W183" i="3" s="1"/>
  <c r="U129" i="3"/>
  <c r="W129" i="3" s="1"/>
  <c r="U66" i="3"/>
  <c r="W66" i="3" s="1"/>
  <c r="U35" i="3"/>
  <c r="W35" i="3" s="1"/>
  <c r="U198" i="3"/>
  <c r="W198" i="3" s="1"/>
  <c r="U136" i="3"/>
  <c r="W136" i="3" s="1"/>
  <c r="U81" i="3"/>
  <c r="W81" i="3" s="1"/>
  <c r="U343" i="3"/>
  <c r="W343" i="3" s="1"/>
  <c r="AA343" i="3" s="1"/>
  <c r="U159" i="3"/>
  <c r="W159" i="3" s="1"/>
  <c r="U151" i="3"/>
  <c r="W151" i="3" s="1"/>
  <c r="U112" i="3"/>
  <c r="W112" i="3" s="1"/>
  <c r="U104" i="3"/>
  <c r="W104" i="3" s="1"/>
  <c r="U357" i="3"/>
  <c r="W357" i="3" s="1"/>
  <c r="U308" i="3"/>
  <c r="W308" i="3" s="1"/>
  <c r="U293" i="3"/>
  <c r="W293" i="3" s="1"/>
  <c r="AC293" i="3" s="1"/>
  <c r="U197" i="3"/>
  <c r="W197" i="3" s="1"/>
  <c r="U174" i="3"/>
  <c r="W174" i="3" s="1"/>
  <c r="U135" i="3"/>
  <c r="W135" i="3" s="1"/>
  <c r="U19" i="3"/>
  <c r="W19" i="3" s="1"/>
  <c r="U127" i="3"/>
  <c r="W127" i="3" s="1"/>
  <c r="U271" i="3"/>
  <c r="W271" i="3" s="1"/>
  <c r="U181" i="3"/>
  <c r="W181" i="3" s="1"/>
  <c r="U166" i="3"/>
  <c r="W166" i="3" s="1"/>
  <c r="AB166" i="3" s="1"/>
  <c r="U158" i="3"/>
  <c r="W158" i="3" s="1"/>
  <c r="U56" i="3"/>
  <c r="W56" i="3" s="1"/>
  <c r="U25" i="3"/>
  <c r="W25" i="3" s="1"/>
  <c r="U229" i="3"/>
  <c r="W229" i="3" s="1"/>
  <c r="U51" i="3"/>
  <c r="W51" i="3" s="1"/>
  <c r="U36" i="3"/>
  <c r="W36" i="3" s="1"/>
  <c r="U14" i="3"/>
  <c r="W14" i="3" s="1"/>
  <c r="U61" i="3"/>
  <c r="W61" i="3" s="1"/>
  <c r="U98" i="3"/>
  <c r="W98" i="3" s="1"/>
  <c r="U348" i="3"/>
  <c r="W348" i="3" s="1"/>
  <c r="U381" i="3"/>
  <c r="W381" i="3" s="1"/>
  <c r="U374" i="3"/>
  <c r="W374" i="3" s="1"/>
  <c r="U346" i="3"/>
  <c r="W346" i="3" s="1"/>
  <c r="U339" i="3"/>
  <c r="W339" i="3" s="1"/>
  <c r="U319" i="3"/>
  <c r="W319" i="3" s="1"/>
  <c r="AA319" i="3" s="1"/>
  <c r="U292" i="3"/>
  <c r="W292" i="3" s="1"/>
  <c r="U243" i="3"/>
  <c r="W243" i="3" s="1"/>
  <c r="U207" i="3"/>
  <c r="W207" i="3" s="1"/>
  <c r="AB207" i="3" s="1"/>
  <c r="U192" i="3"/>
  <c r="W192" i="3" s="1"/>
  <c r="U133" i="3"/>
  <c r="W133" i="3" s="1"/>
  <c r="AA133" i="3" s="1"/>
  <c r="U111" i="3"/>
  <c r="W111" i="3" s="1"/>
  <c r="U80" i="3"/>
  <c r="W80" i="3" s="1"/>
  <c r="AA80" i="3" s="1"/>
  <c r="U95" i="3"/>
  <c r="W95" i="3" s="1"/>
  <c r="U42" i="3"/>
  <c r="W42" i="3" s="1"/>
  <c r="U87" i="3"/>
  <c r="W87" i="3" s="1"/>
  <c r="U5" i="3"/>
  <c r="W5" i="3" s="1"/>
  <c r="U155" i="3"/>
  <c r="W155" i="3" s="1"/>
  <c r="U114" i="3"/>
  <c r="W114" i="3" s="1"/>
  <c r="U186" i="3"/>
  <c r="W186" i="3" s="1"/>
  <c r="U291" i="3"/>
  <c r="W291" i="3" s="1"/>
  <c r="U352" i="3"/>
  <c r="W352" i="3" s="1"/>
  <c r="U331" i="3"/>
  <c r="W331" i="3" s="1"/>
  <c r="U270" i="3"/>
  <c r="W270" i="3" s="1"/>
  <c r="U324" i="3"/>
  <c r="W324" i="3" s="1"/>
  <c r="U241" i="3"/>
  <c r="W241" i="3" s="1"/>
  <c r="U213" i="3"/>
  <c r="W213" i="3" s="1"/>
  <c r="U117" i="3"/>
  <c r="W117" i="3" s="1"/>
  <c r="U109" i="3"/>
  <c r="W109" i="3" s="1"/>
  <c r="AA109" i="3" s="1"/>
  <c r="U316" i="3"/>
  <c r="W316" i="3" s="1"/>
  <c r="U47" i="3"/>
  <c r="W47" i="3" s="1"/>
  <c r="U40" i="3"/>
  <c r="W40" i="3" s="1"/>
  <c r="U89" i="3"/>
  <c r="W89" i="3" s="1"/>
  <c r="U380" i="3"/>
  <c r="W380" i="3" s="1"/>
  <c r="U190" i="3"/>
  <c r="W190" i="3" s="1"/>
  <c r="U62" i="3"/>
  <c r="W62" i="3" s="1"/>
  <c r="U245" i="3"/>
  <c r="W245" i="3" s="1"/>
  <c r="AC245" i="3" s="1"/>
  <c r="W206" i="3"/>
  <c r="W302" i="3"/>
  <c r="U116" i="3"/>
  <c r="W116" i="3" s="1"/>
  <c r="U77" i="3"/>
  <c r="W77" i="3" s="1"/>
  <c r="AE77" i="3" s="1"/>
  <c r="U212" i="3"/>
  <c r="W212" i="3" s="1"/>
  <c r="U152" i="3"/>
  <c r="W152" i="3" s="1"/>
  <c r="U110" i="3"/>
  <c r="W110" i="3" s="1"/>
  <c r="U102" i="3"/>
  <c r="W102" i="3" s="1"/>
  <c r="U288" i="3"/>
  <c r="W288" i="3" s="1"/>
  <c r="U171" i="3"/>
  <c r="W171" i="3" s="1"/>
  <c r="U150" i="3"/>
  <c r="W150" i="3" s="1"/>
  <c r="U143" i="3"/>
  <c r="W143" i="3" s="1"/>
  <c r="U93" i="3"/>
  <c r="W93" i="3" s="1"/>
  <c r="AE93" i="3" s="1"/>
  <c r="U170" i="3"/>
  <c r="W170" i="3" s="1"/>
  <c r="U85" i="3"/>
  <c r="W85" i="3" s="1"/>
  <c r="AD85" i="3" s="1"/>
  <c r="U351" i="3"/>
  <c r="W351" i="3" s="1"/>
  <c r="U249" i="3"/>
  <c r="W249" i="3" s="1"/>
  <c r="U228" i="3"/>
  <c r="W228" i="3" s="1"/>
  <c r="U196" i="3"/>
  <c r="W196" i="3" s="1"/>
  <c r="U163" i="3"/>
  <c r="W163" i="3" s="1"/>
  <c r="U156" i="3"/>
  <c r="W156" i="3" s="1"/>
  <c r="U70" i="3"/>
  <c r="W70" i="3" s="1"/>
  <c r="AE70" i="3" s="1"/>
  <c r="U48" i="3"/>
  <c r="W48" i="3" s="1"/>
  <c r="U13" i="3"/>
  <c r="W13" i="3" s="1"/>
  <c r="U376" i="3"/>
  <c r="W376" i="3" s="1"/>
  <c r="AE376" i="3" s="1"/>
  <c r="U362" i="3"/>
  <c r="W362" i="3" s="1"/>
  <c r="U350" i="3"/>
  <c r="W350" i="3" s="1"/>
  <c r="U280" i="3"/>
  <c r="W280" i="3" s="1"/>
  <c r="AD280" i="3" s="1"/>
  <c r="U227" i="3"/>
  <c r="W227" i="3" s="1"/>
  <c r="U188" i="3"/>
  <c r="W188" i="3" s="1"/>
  <c r="U113" i="3"/>
  <c r="W113" i="3" s="1"/>
  <c r="U145" i="3"/>
  <c r="W145" i="3" s="1"/>
  <c r="U214" i="3"/>
  <c r="W214" i="3" s="1"/>
  <c r="U201" i="3"/>
  <c r="W201" i="3" s="1"/>
  <c r="AD201" i="3" s="1"/>
  <c r="U175" i="3"/>
  <c r="W175" i="3" s="1"/>
  <c r="U168" i="3"/>
  <c r="W168" i="3" s="1"/>
  <c r="U147" i="3"/>
  <c r="W147" i="3" s="1"/>
  <c r="U120" i="3"/>
  <c r="W120" i="3" s="1"/>
  <c r="AE120" i="3" s="1"/>
  <c r="U105" i="3"/>
  <c r="W105" i="3" s="1"/>
  <c r="U2" i="3"/>
  <c r="W2" i="3" s="1"/>
  <c r="U90" i="3"/>
  <c r="W90" i="3" s="1"/>
  <c r="U329" i="3"/>
  <c r="W329" i="3" s="1"/>
  <c r="U31" i="3"/>
  <c r="W31" i="3" s="1"/>
  <c r="U157" i="3"/>
  <c r="W157" i="3" s="1"/>
  <c r="U305" i="3"/>
  <c r="W305" i="3" s="1"/>
  <c r="U154" i="3"/>
  <c r="W154" i="3" s="1"/>
  <c r="U119" i="3"/>
  <c r="W119" i="3" s="1"/>
  <c r="U96" i="3"/>
  <c r="W96" i="3" s="1"/>
  <c r="U67" i="3"/>
  <c r="W67" i="3" s="1"/>
  <c r="U367" i="3"/>
  <c r="W367" i="3" s="1"/>
  <c r="U335" i="3"/>
  <c r="W335" i="3" s="1"/>
  <c r="U328" i="3"/>
  <c r="W328" i="3" s="1"/>
  <c r="U310" i="3"/>
  <c r="W310" i="3" s="1"/>
  <c r="U139" i="3"/>
  <c r="W139" i="3" s="1"/>
  <c r="U132" i="3"/>
  <c r="W132" i="3" s="1"/>
  <c r="U60" i="3"/>
  <c r="W60" i="3" s="1"/>
  <c r="U45" i="3"/>
  <c r="W45" i="3" s="1"/>
  <c r="U38" i="3"/>
  <c r="W38" i="3" s="1"/>
  <c r="U24" i="3"/>
  <c r="W24" i="3" s="1"/>
  <c r="U10" i="3"/>
  <c r="W10" i="3" s="1"/>
  <c r="U3" i="3"/>
  <c r="W3" i="3" s="1"/>
  <c r="W341" i="3"/>
  <c r="AA341" i="3" s="1"/>
  <c r="U272" i="3"/>
  <c r="W272" i="3" s="1"/>
  <c r="U246" i="3"/>
  <c r="W246" i="3" s="1"/>
  <c r="U125" i="3"/>
  <c r="W125" i="3" s="1"/>
  <c r="U172" i="3"/>
  <c r="W172" i="3" s="1"/>
  <c r="U148" i="3"/>
  <c r="W148" i="3" s="1"/>
  <c r="U99" i="3"/>
  <c r="W99" i="3" s="1"/>
  <c r="U195" i="3"/>
  <c r="W195" i="3" s="1"/>
  <c r="U49" i="3"/>
  <c r="W49" i="3" s="1"/>
  <c r="U359" i="3"/>
  <c r="W359" i="3" s="1"/>
  <c r="AA359" i="3" s="1"/>
  <c r="U239" i="3"/>
  <c r="W239" i="3" s="1"/>
  <c r="U232" i="3"/>
  <c r="W232" i="3" s="1"/>
  <c r="U226" i="3"/>
  <c r="W226" i="3" s="1"/>
  <c r="U123" i="3"/>
  <c r="W123" i="3" s="1"/>
  <c r="U79" i="3"/>
  <c r="W79" i="3" s="1"/>
  <c r="U72" i="3"/>
  <c r="W72" i="3" s="1"/>
  <c r="U254" i="3"/>
  <c r="W254" i="3" s="1"/>
  <c r="U225" i="3"/>
  <c r="W225" i="3" s="1"/>
  <c r="U205" i="3"/>
  <c r="W205" i="3" s="1"/>
  <c r="AB205" i="3" s="1"/>
  <c r="U153" i="3"/>
  <c r="W153" i="3" s="1"/>
  <c r="U97" i="3"/>
  <c r="W97" i="3" s="1"/>
  <c r="U78" i="3"/>
  <c r="W78" i="3" s="1"/>
  <c r="U65" i="3"/>
  <c r="W65" i="3" s="1"/>
  <c r="U52" i="3"/>
  <c r="W52" i="3" s="1"/>
  <c r="U18" i="3"/>
  <c r="W18" i="3" s="1"/>
  <c r="U259" i="3"/>
  <c r="W259" i="3" s="1"/>
  <c r="U237" i="3"/>
  <c r="W237" i="3" s="1"/>
  <c r="U210" i="3"/>
  <c r="W210" i="3" s="1"/>
  <c r="U199" i="3"/>
  <c r="W199" i="3" s="1"/>
  <c r="U103" i="3"/>
  <c r="W103" i="3" s="1"/>
  <c r="U64" i="3"/>
  <c r="W64" i="3" s="1"/>
  <c r="U303" i="3"/>
  <c r="W303" i="3" s="1"/>
  <c r="AE303" i="3" s="1"/>
  <c r="U264" i="3"/>
  <c r="W264" i="3" s="1"/>
  <c r="U279" i="3"/>
  <c r="W279" i="3" s="1"/>
  <c r="AA279" i="3" s="1"/>
  <c r="U74" i="3"/>
  <c r="W74" i="3" s="1"/>
  <c r="U304" i="3"/>
  <c r="W304" i="3" s="1"/>
  <c r="U298" i="3"/>
  <c r="W298" i="3" s="1"/>
  <c r="AD298" i="3" s="1"/>
  <c r="U204" i="3"/>
  <c r="W204" i="3" s="1"/>
  <c r="U115" i="3"/>
  <c r="W115" i="3" s="1"/>
  <c r="U289" i="3"/>
  <c r="W289" i="3" s="1"/>
  <c r="U76" i="3"/>
  <c r="W76" i="3" s="1"/>
  <c r="U63" i="3"/>
  <c r="W63" i="3" s="1"/>
  <c r="U233" i="3"/>
  <c r="W233" i="3" s="1"/>
  <c r="U286" i="3"/>
  <c r="W286" i="3" s="1"/>
  <c r="AB286" i="3" s="1"/>
  <c r="U242" i="3"/>
  <c r="W242" i="3" s="1"/>
  <c r="U108" i="3"/>
  <c r="W108" i="3" s="1"/>
  <c r="U297" i="3"/>
  <c r="W297" i="3" s="1"/>
  <c r="U203" i="3"/>
  <c r="W203" i="3" s="1"/>
  <c r="U144" i="3"/>
  <c r="W144" i="3" s="1"/>
  <c r="AE144" i="3" s="1"/>
  <c r="U57" i="3"/>
  <c r="W57" i="3" s="1"/>
  <c r="U20" i="3"/>
  <c r="W20" i="3" s="1"/>
  <c r="U8" i="3"/>
  <c r="W8" i="3" s="1"/>
  <c r="AB8" i="3" s="1"/>
  <c r="U283" i="3"/>
  <c r="W283" i="3" s="1"/>
  <c r="U268" i="3"/>
  <c r="W268" i="3" s="1"/>
  <c r="U178" i="3"/>
  <c r="W178" i="3" s="1"/>
  <c r="U379" i="3"/>
  <c r="W379" i="3" s="1"/>
  <c r="U363" i="3"/>
  <c r="W363" i="3" s="1"/>
  <c r="AD363" i="3" s="1"/>
  <c r="U347" i="3"/>
  <c r="W347" i="3" s="1"/>
  <c r="U334" i="3"/>
  <c r="W334" i="3" s="1"/>
  <c r="U238" i="3"/>
  <c r="W238" i="3" s="1"/>
  <c r="U215" i="3"/>
  <c r="W215" i="3" s="1"/>
  <c r="U189" i="3"/>
  <c r="W189" i="3" s="1"/>
  <c r="U118" i="3"/>
  <c r="W118" i="3" s="1"/>
  <c r="U53" i="3"/>
  <c r="W53" i="3" s="1"/>
  <c r="U330" i="3"/>
  <c r="W330" i="3" s="1"/>
  <c r="U234" i="3"/>
  <c r="W234" i="3" s="1"/>
  <c r="U140" i="3"/>
  <c r="W140" i="3" s="1"/>
  <c r="U44" i="3"/>
  <c r="W44" i="3" s="1"/>
  <c r="U258" i="3"/>
  <c r="W258" i="3" s="1"/>
  <c r="U164" i="3"/>
  <c r="W164" i="3" s="1"/>
  <c r="U68" i="3"/>
  <c r="W68" i="3" s="1"/>
  <c r="U180" i="3"/>
  <c r="W180" i="3" s="1"/>
  <c r="U84" i="3"/>
  <c r="W84" i="3" s="1"/>
  <c r="U278" i="3"/>
  <c r="W278" i="3" s="1"/>
  <c r="U184" i="3"/>
  <c r="W184" i="3" s="1"/>
  <c r="AB184" i="3" s="1"/>
  <c r="U88" i="3"/>
  <c r="W88" i="3" s="1"/>
  <c r="AC88" i="3" s="1"/>
  <c r="U100" i="3"/>
  <c r="W100" i="3" s="1"/>
  <c r="U12" i="3"/>
  <c r="W12" i="3" s="1"/>
  <c r="AE12" i="3" s="1"/>
  <c r="U314" i="3"/>
  <c r="W314" i="3" s="1"/>
  <c r="U220" i="3"/>
  <c r="W220" i="3" s="1"/>
  <c r="U124" i="3"/>
  <c r="W124" i="3" s="1"/>
  <c r="U28" i="3"/>
  <c r="W28" i="3" s="1"/>
  <c r="U318" i="3"/>
  <c r="W318" i="3" s="1"/>
  <c r="AB318" i="3" s="1"/>
  <c r="U222" i="3"/>
  <c r="W222" i="3" s="1"/>
  <c r="U128" i="3"/>
  <c r="W128" i="3" s="1"/>
  <c r="U32" i="3"/>
  <c r="W32" i="3" s="1"/>
  <c r="N58" i="1"/>
  <c r="O58" i="1" s="1"/>
  <c r="P2" i="1"/>
  <c r="AF58" i="5"/>
  <c r="K58" i="5"/>
  <c r="F58" i="5"/>
  <c r="G58" i="5" s="1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2" i="5"/>
  <c r="M4" i="5"/>
  <c r="AR2" i="5"/>
  <c r="AL2" i="5"/>
  <c r="AG2" i="5"/>
  <c r="AE2" i="5"/>
  <c r="AD2" i="5"/>
  <c r="AB2" i="5"/>
  <c r="X2" i="5"/>
  <c r="L2" i="5"/>
  <c r="Q2" i="5" s="1"/>
  <c r="K2" i="5"/>
  <c r="G2" i="5"/>
  <c r="W2" i="5" s="1"/>
  <c r="F2" i="5"/>
  <c r="AF31" i="5"/>
  <c r="AD31" i="5"/>
  <c r="AE31" i="5" s="1"/>
  <c r="AA31" i="5"/>
  <c r="AB31" i="5" s="1"/>
  <c r="K31" i="5"/>
  <c r="F31" i="5"/>
  <c r="G31" i="5" s="1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3" i="5"/>
  <c r="F4" i="5"/>
  <c r="G4" i="5" s="1"/>
  <c r="W4" i="5" s="1"/>
  <c r="F5" i="5"/>
  <c r="G5" i="5" s="1"/>
  <c r="X5" i="5" s="1"/>
  <c r="F6" i="5"/>
  <c r="G6" i="5" s="1"/>
  <c r="V6" i="5" s="1"/>
  <c r="F7" i="5"/>
  <c r="G7" i="5" s="1"/>
  <c r="X7" i="5" s="1"/>
  <c r="F8" i="5"/>
  <c r="G8" i="5" s="1"/>
  <c r="P8" i="5" s="1"/>
  <c r="U8" i="5" s="1"/>
  <c r="F9" i="5"/>
  <c r="G9" i="5" s="1"/>
  <c r="L9" i="5" s="1"/>
  <c r="Q9" i="5" s="1"/>
  <c r="F10" i="5"/>
  <c r="G10" i="5" s="1"/>
  <c r="L10" i="5" s="1"/>
  <c r="Q10" i="5" s="1"/>
  <c r="F11" i="5"/>
  <c r="G11" i="5" s="1"/>
  <c r="X11" i="5" s="1"/>
  <c r="F12" i="5"/>
  <c r="G12" i="5" s="1"/>
  <c r="L12" i="5" s="1"/>
  <c r="AN12" i="5" s="1"/>
  <c r="F13" i="5"/>
  <c r="G13" i="5" s="1"/>
  <c r="P13" i="5" s="1"/>
  <c r="U13" i="5" s="1"/>
  <c r="F14" i="5"/>
  <c r="G14" i="5" s="1"/>
  <c r="W14" i="5" s="1"/>
  <c r="F15" i="5"/>
  <c r="G15" i="5" s="1"/>
  <c r="F16" i="5"/>
  <c r="F17" i="5"/>
  <c r="G17" i="5" s="1"/>
  <c r="M17" i="5" s="1"/>
  <c r="AS17" i="5" s="1"/>
  <c r="F18" i="5"/>
  <c r="G18" i="5" s="1"/>
  <c r="P18" i="5" s="1"/>
  <c r="U18" i="5" s="1"/>
  <c r="F19" i="5"/>
  <c r="G19" i="5" s="1"/>
  <c r="V19" i="5" s="1"/>
  <c r="F20" i="5"/>
  <c r="G20" i="5" s="1"/>
  <c r="V20" i="5" s="1"/>
  <c r="F21" i="5"/>
  <c r="G21" i="5" s="1"/>
  <c r="V21" i="5" s="1"/>
  <c r="F22" i="5"/>
  <c r="G22" i="5" s="1"/>
  <c r="V22" i="5" s="1"/>
  <c r="F23" i="5"/>
  <c r="G23" i="5" s="1"/>
  <c r="V23" i="5" s="1"/>
  <c r="F24" i="5"/>
  <c r="G24" i="5" s="1"/>
  <c r="W24" i="5" s="1"/>
  <c r="F25" i="5"/>
  <c r="G25" i="5" s="1"/>
  <c r="V25" i="5" s="1"/>
  <c r="F26" i="5"/>
  <c r="G26" i="5" s="1"/>
  <c r="X26" i="5" s="1"/>
  <c r="F27" i="5"/>
  <c r="G27" i="5" s="1"/>
  <c r="V27" i="5" s="1"/>
  <c r="F28" i="5"/>
  <c r="G28" i="5" s="1"/>
  <c r="V28" i="5" s="1"/>
  <c r="F29" i="5"/>
  <c r="G29" i="5" s="1"/>
  <c r="X29" i="5" s="1"/>
  <c r="F30" i="5"/>
  <c r="G30" i="5" s="1"/>
  <c r="V30" i="5" s="1"/>
  <c r="F32" i="5"/>
  <c r="G32" i="5" s="1"/>
  <c r="X32" i="5" s="1"/>
  <c r="F33" i="5"/>
  <c r="G33" i="5" s="1"/>
  <c r="L33" i="5" s="1"/>
  <c r="AN33" i="5" s="1"/>
  <c r="F34" i="5"/>
  <c r="G34" i="5" s="1"/>
  <c r="M34" i="5" s="1"/>
  <c r="R34" i="5" s="1"/>
  <c r="F35" i="5"/>
  <c r="G35" i="5" s="1"/>
  <c r="M35" i="5" s="1"/>
  <c r="AO35" i="5" s="1"/>
  <c r="F36" i="5"/>
  <c r="G36" i="5" s="1"/>
  <c r="M36" i="5" s="1"/>
  <c r="AS36" i="5" s="1"/>
  <c r="F37" i="5"/>
  <c r="G37" i="5" s="1"/>
  <c r="M37" i="5" s="1"/>
  <c r="R37" i="5" s="1"/>
  <c r="F38" i="5"/>
  <c r="G38" i="5" s="1"/>
  <c r="F39" i="5"/>
  <c r="G39" i="5" s="1"/>
  <c r="P39" i="5" s="1"/>
  <c r="U39" i="5" s="1"/>
  <c r="F40" i="5"/>
  <c r="F41" i="5"/>
  <c r="G41" i="5" s="1"/>
  <c r="V41" i="5" s="1"/>
  <c r="F42" i="5"/>
  <c r="G42" i="5" s="1"/>
  <c r="L42" i="5" s="1"/>
  <c r="Q42" i="5" s="1"/>
  <c r="F43" i="5"/>
  <c r="G43" i="5" s="1"/>
  <c r="W43" i="5" s="1"/>
  <c r="F44" i="5"/>
  <c r="G44" i="5" s="1"/>
  <c r="V44" i="5" s="1"/>
  <c r="F45" i="5"/>
  <c r="G45" i="5" s="1"/>
  <c r="W45" i="5" s="1"/>
  <c r="F46" i="5"/>
  <c r="G46" i="5" s="1"/>
  <c r="W46" i="5" s="1"/>
  <c r="F47" i="5"/>
  <c r="G47" i="5" s="1"/>
  <c r="V47" i="5" s="1"/>
  <c r="F48" i="5"/>
  <c r="G48" i="5" s="1"/>
  <c r="V48" i="5" s="1"/>
  <c r="F49" i="5"/>
  <c r="G49" i="5" s="1"/>
  <c r="W49" i="5" s="1"/>
  <c r="F50" i="5"/>
  <c r="G50" i="5" s="1"/>
  <c r="V50" i="5" s="1"/>
  <c r="F51" i="5"/>
  <c r="G51" i="5" s="1"/>
  <c r="V51" i="5" s="1"/>
  <c r="F52" i="5"/>
  <c r="G52" i="5" s="1"/>
  <c r="X52" i="5" s="1"/>
  <c r="F53" i="5"/>
  <c r="G53" i="5" s="1"/>
  <c r="V53" i="5" s="1"/>
  <c r="F54" i="5"/>
  <c r="G54" i="5" s="1"/>
  <c r="F55" i="5"/>
  <c r="G55" i="5" s="1"/>
  <c r="V55" i="5" s="1"/>
  <c r="F56" i="5"/>
  <c r="G56" i="5" s="1"/>
  <c r="X56" i="5" s="1"/>
  <c r="F3" i="5"/>
  <c r="G3" i="5" s="1"/>
  <c r="L3" i="5" s="1"/>
  <c r="Q3" i="5" s="1"/>
  <c r="K6" i="5"/>
  <c r="AL6" i="5" s="1"/>
  <c r="K14" i="5"/>
  <c r="AL14" i="5" s="1"/>
  <c r="AA14" i="5"/>
  <c r="AB14" i="5" s="1"/>
  <c r="AD14" i="5"/>
  <c r="AE14" i="5" s="1"/>
  <c r="AD3" i="5"/>
  <c r="AE3" i="5" s="1"/>
  <c r="AD4" i="5"/>
  <c r="AE4" i="5" s="1"/>
  <c r="AD5" i="5"/>
  <c r="AE5" i="5" s="1"/>
  <c r="AD6" i="5"/>
  <c r="AE6" i="5" s="1"/>
  <c r="AD7" i="5"/>
  <c r="AE7" i="5" s="1"/>
  <c r="AD8" i="5"/>
  <c r="AE8" i="5" s="1"/>
  <c r="AD9" i="5"/>
  <c r="AE9" i="5" s="1"/>
  <c r="AD10" i="5"/>
  <c r="AE10" i="5" s="1"/>
  <c r="AD11" i="5"/>
  <c r="AE11" i="5" s="1"/>
  <c r="AD12" i="5"/>
  <c r="AE12" i="5" s="1"/>
  <c r="AD13" i="5"/>
  <c r="AE13" i="5" s="1"/>
  <c r="AD15" i="5"/>
  <c r="AE15" i="5" s="1"/>
  <c r="AD16" i="5"/>
  <c r="AE16" i="5" s="1"/>
  <c r="AD17" i="5"/>
  <c r="AE17" i="5" s="1"/>
  <c r="AD18" i="5"/>
  <c r="AE18" i="5" s="1"/>
  <c r="AD19" i="5"/>
  <c r="AE19" i="5" s="1"/>
  <c r="AD20" i="5"/>
  <c r="AE20" i="5" s="1"/>
  <c r="AD21" i="5"/>
  <c r="AE21" i="5" s="1"/>
  <c r="AD22" i="5"/>
  <c r="AE22" i="5" s="1"/>
  <c r="AD23" i="5"/>
  <c r="AE23" i="5" s="1"/>
  <c r="AD24" i="5"/>
  <c r="AE24" i="5" s="1"/>
  <c r="AD25" i="5"/>
  <c r="AE25" i="5" s="1"/>
  <c r="AD26" i="5"/>
  <c r="AE26" i="5" s="1"/>
  <c r="AD27" i="5"/>
  <c r="AE27" i="5" s="1"/>
  <c r="AD28" i="5"/>
  <c r="AE28" i="5" s="1"/>
  <c r="AD29" i="5"/>
  <c r="AE29" i="5" s="1"/>
  <c r="AD30" i="5"/>
  <c r="AE30" i="5" s="1"/>
  <c r="AD32" i="5"/>
  <c r="AE32" i="5" s="1"/>
  <c r="AD33" i="5"/>
  <c r="AE33" i="5" s="1"/>
  <c r="AD34" i="5"/>
  <c r="AE34" i="5" s="1"/>
  <c r="AD35" i="5"/>
  <c r="AE35" i="5" s="1"/>
  <c r="AD36" i="5"/>
  <c r="AE36" i="5" s="1"/>
  <c r="AD37" i="5"/>
  <c r="AE37" i="5" s="1"/>
  <c r="AD38" i="5"/>
  <c r="AE38" i="5" s="1"/>
  <c r="AD39" i="5"/>
  <c r="AE39" i="5" s="1"/>
  <c r="AD40" i="5"/>
  <c r="AE40" i="5" s="1"/>
  <c r="AD41" i="5"/>
  <c r="AE41" i="5" s="1"/>
  <c r="AD42" i="5"/>
  <c r="AE42" i="5" s="1"/>
  <c r="AD43" i="5"/>
  <c r="AE43" i="5" s="1"/>
  <c r="AD44" i="5"/>
  <c r="AE44" i="5" s="1"/>
  <c r="AD45" i="5"/>
  <c r="AE45" i="5" s="1"/>
  <c r="AD46" i="5"/>
  <c r="AE46" i="5" s="1"/>
  <c r="AD47" i="5"/>
  <c r="AE47" i="5" s="1"/>
  <c r="AD48" i="5"/>
  <c r="AE48" i="5" s="1"/>
  <c r="AD49" i="5"/>
  <c r="AE49" i="5" s="1"/>
  <c r="AD50" i="5"/>
  <c r="AE50" i="5" s="1"/>
  <c r="AD51" i="5"/>
  <c r="AE51" i="5" s="1"/>
  <c r="AD52" i="5"/>
  <c r="AE52" i="5" s="1"/>
  <c r="AD53" i="5"/>
  <c r="AE53" i="5" s="1"/>
  <c r="AD54" i="5"/>
  <c r="AE54" i="5" s="1"/>
  <c r="AD55" i="5"/>
  <c r="AE55" i="5" s="1"/>
  <c r="AD56" i="5"/>
  <c r="AE56" i="5" s="1"/>
  <c r="AA4" i="5"/>
  <c r="AB4" i="5" s="1"/>
  <c r="AA5" i="5"/>
  <c r="AB5" i="5" s="1"/>
  <c r="AA6" i="5"/>
  <c r="AB6" i="5" s="1"/>
  <c r="AA7" i="5"/>
  <c r="AB7" i="5" s="1"/>
  <c r="AA8" i="5"/>
  <c r="AB8" i="5" s="1"/>
  <c r="AA9" i="5"/>
  <c r="AB9" i="5" s="1"/>
  <c r="AA10" i="5"/>
  <c r="AB10" i="5" s="1"/>
  <c r="AA11" i="5"/>
  <c r="AB11" i="5" s="1"/>
  <c r="AA12" i="5"/>
  <c r="AB12" i="5" s="1"/>
  <c r="AA13" i="5"/>
  <c r="AB13" i="5" s="1"/>
  <c r="AA15" i="5"/>
  <c r="AB15" i="5" s="1"/>
  <c r="AA16" i="5"/>
  <c r="AB16" i="5" s="1"/>
  <c r="AA17" i="5"/>
  <c r="AB17" i="5" s="1"/>
  <c r="AA18" i="5"/>
  <c r="AB18" i="5" s="1"/>
  <c r="AA19" i="5"/>
  <c r="AB19" i="5" s="1"/>
  <c r="AA20" i="5"/>
  <c r="AB20" i="5" s="1"/>
  <c r="AA21" i="5"/>
  <c r="AB21" i="5" s="1"/>
  <c r="AA22" i="5"/>
  <c r="AB22" i="5" s="1"/>
  <c r="AA23" i="5"/>
  <c r="AB23" i="5" s="1"/>
  <c r="AA24" i="5"/>
  <c r="AB24" i="5" s="1"/>
  <c r="AA25" i="5"/>
  <c r="AB25" i="5" s="1"/>
  <c r="AA26" i="5"/>
  <c r="AB26" i="5" s="1"/>
  <c r="AA27" i="5"/>
  <c r="AB27" i="5" s="1"/>
  <c r="AA28" i="5"/>
  <c r="AB28" i="5" s="1"/>
  <c r="AA29" i="5"/>
  <c r="AB29" i="5" s="1"/>
  <c r="AA30" i="5"/>
  <c r="AB30" i="5" s="1"/>
  <c r="AA32" i="5"/>
  <c r="AB32" i="5" s="1"/>
  <c r="AA33" i="5"/>
  <c r="AB33" i="5" s="1"/>
  <c r="AA34" i="5"/>
  <c r="AB34" i="5" s="1"/>
  <c r="AA35" i="5"/>
  <c r="AB35" i="5" s="1"/>
  <c r="AA36" i="5"/>
  <c r="AB36" i="5" s="1"/>
  <c r="AA37" i="5"/>
  <c r="AB37" i="5" s="1"/>
  <c r="AA38" i="5"/>
  <c r="AB38" i="5" s="1"/>
  <c r="AA39" i="5"/>
  <c r="AB39" i="5" s="1"/>
  <c r="AA40" i="5"/>
  <c r="AB40" i="5" s="1"/>
  <c r="AA41" i="5"/>
  <c r="AB41" i="5" s="1"/>
  <c r="AA42" i="5"/>
  <c r="AB42" i="5" s="1"/>
  <c r="AA43" i="5"/>
  <c r="AB43" i="5" s="1"/>
  <c r="AA44" i="5"/>
  <c r="AB44" i="5" s="1"/>
  <c r="AA45" i="5"/>
  <c r="AB45" i="5" s="1"/>
  <c r="AA46" i="5"/>
  <c r="AB46" i="5" s="1"/>
  <c r="AA47" i="5"/>
  <c r="AB47" i="5" s="1"/>
  <c r="AA48" i="5"/>
  <c r="AB48" i="5" s="1"/>
  <c r="AA49" i="5"/>
  <c r="AB49" i="5" s="1"/>
  <c r="AA50" i="5"/>
  <c r="AB50" i="5" s="1"/>
  <c r="AA51" i="5"/>
  <c r="AB51" i="5" s="1"/>
  <c r="AA52" i="5"/>
  <c r="AB52" i="5" s="1"/>
  <c r="AA53" i="5"/>
  <c r="AB53" i="5" s="1"/>
  <c r="AA54" i="5"/>
  <c r="AB54" i="5" s="1"/>
  <c r="AA55" i="5"/>
  <c r="AB55" i="5" s="1"/>
  <c r="AA56" i="5"/>
  <c r="AB56" i="5" s="1"/>
  <c r="AA3" i="5"/>
  <c r="AB3" i="5" s="1"/>
  <c r="K4" i="5"/>
  <c r="AL4" i="5" s="1"/>
  <c r="K5" i="5"/>
  <c r="AM5" i="5" s="1"/>
  <c r="K7" i="5"/>
  <c r="AL7" i="5" s="1"/>
  <c r="K8" i="5"/>
  <c r="AL8" i="5" s="1"/>
  <c r="K9" i="5"/>
  <c r="AL9" i="5" s="1"/>
  <c r="K10" i="5"/>
  <c r="AL10" i="5" s="1"/>
  <c r="K11" i="5"/>
  <c r="AL11" i="5" s="1"/>
  <c r="K12" i="5"/>
  <c r="AL12" i="5" s="1"/>
  <c r="K13" i="5"/>
  <c r="AL13" i="5" s="1"/>
  <c r="K15" i="5"/>
  <c r="AM15" i="5" s="1"/>
  <c r="K16" i="5"/>
  <c r="AM16" i="5" s="1"/>
  <c r="K17" i="5"/>
  <c r="AM17" i="5" s="1"/>
  <c r="K18" i="5"/>
  <c r="AM18" i="5" s="1"/>
  <c r="K19" i="5"/>
  <c r="AM19" i="5" s="1"/>
  <c r="K20" i="5"/>
  <c r="AM20" i="5" s="1"/>
  <c r="K21" i="5"/>
  <c r="AM21" i="5" s="1"/>
  <c r="K22" i="5"/>
  <c r="AM22" i="5" s="1"/>
  <c r="K23" i="5"/>
  <c r="AL23" i="5" s="1"/>
  <c r="K24" i="5"/>
  <c r="AM24" i="5" s="1"/>
  <c r="K25" i="5"/>
  <c r="AL25" i="5" s="1"/>
  <c r="K26" i="5"/>
  <c r="AL26" i="5" s="1"/>
  <c r="K27" i="5"/>
  <c r="AL27" i="5" s="1"/>
  <c r="K28" i="5"/>
  <c r="AM28" i="5" s="1"/>
  <c r="K29" i="5"/>
  <c r="AM29" i="5" s="1"/>
  <c r="K30" i="5"/>
  <c r="AL30" i="5" s="1"/>
  <c r="K32" i="5"/>
  <c r="AL32" i="5" s="1"/>
  <c r="K33" i="5"/>
  <c r="AL33" i="5" s="1"/>
  <c r="K34" i="5"/>
  <c r="AM34" i="5" s="1"/>
  <c r="K35" i="5"/>
  <c r="AL35" i="5" s="1"/>
  <c r="K36" i="5"/>
  <c r="AL36" i="5" s="1"/>
  <c r="K37" i="5"/>
  <c r="AL37" i="5" s="1"/>
  <c r="K38" i="5"/>
  <c r="AM38" i="5" s="1"/>
  <c r="K39" i="5"/>
  <c r="AL39" i="5" s="1"/>
  <c r="K40" i="5"/>
  <c r="AM40" i="5" s="1"/>
  <c r="K41" i="5"/>
  <c r="AM41" i="5" s="1"/>
  <c r="K42" i="5"/>
  <c r="AM42" i="5" s="1"/>
  <c r="K43" i="5"/>
  <c r="AM43" i="5" s="1"/>
  <c r="K44" i="5"/>
  <c r="AM44" i="5" s="1"/>
  <c r="K45" i="5"/>
  <c r="AM45" i="5" s="1"/>
  <c r="K46" i="5"/>
  <c r="AM46" i="5" s="1"/>
  <c r="K47" i="5"/>
  <c r="AM47" i="5" s="1"/>
  <c r="K48" i="5"/>
  <c r="AM48" i="5" s="1"/>
  <c r="K49" i="5"/>
  <c r="AL49" i="5" s="1"/>
  <c r="K50" i="5"/>
  <c r="AL50" i="5" s="1"/>
  <c r="K51" i="5"/>
  <c r="AM51" i="5" s="1"/>
  <c r="K52" i="5"/>
  <c r="AM52" i="5" s="1"/>
  <c r="K53" i="5"/>
  <c r="AL53" i="5" s="1"/>
  <c r="K54" i="5"/>
  <c r="AL54" i="5" s="1"/>
  <c r="K55" i="5"/>
  <c r="AL55" i="5" s="1"/>
  <c r="K56" i="5"/>
  <c r="AL56" i="5" s="1"/>
  <c r="K3" i="5"/>
  <c r="AM3" i="5" s="1"/>
  <c r="AD381" i="3" l="1"/>
  <c r="AB143" i="3"/>
  <c r="AC150" i="3"/>
  <c r="AE6" i="3"/>
  <c r="AB206" i="3"/>
  <c r="AE256" i="3"/>
  <c r="AE232" i="3"/>
  <c r="AD149" i="3"/>
  <c r="AE48" i="3"/>
  <c r="AC86" i="3"/>
  <c r="AC157" i="3"/>
  <c r="AD192" i="3"/>
  <c r="AD240" i="3"/>
  <c r="AB231" i="3"/>
  <c r="AC181" i="3"/>
  <c r="AC328" i="3"/>
  <c r="AA42" i="3"/>
  <c r="AB176" i="3"/>
  <c r="AD125" i="3"/>
  <c r="AB74" i="3"/>
  <c r="AE28" i="3"/>
  <c r="AD135" i="3"/>
  <c r="AJ135" i="3" s="1"/>
  <c r="AD199" i="3"/>
  <c r="AB244" i="3"/>
  <c r="AH244" i="3" s="1"/>
  <c r="AB208" i="3"/>
  <c r="AB183" i="3"/>
  <c r="AA375" i="3"/>
  <c r="AC302" i="3"/>
  <c r="AA347" i="3"/>
  <c r="AD255" i="3"/>
  <c r="AE352" i="3"/>
  <c r="AA333" i="3"/>
  <c r="AA320" i="3"/>
  <c r="AG320" i="3" s="1"/>
  <c r="AD87" i="3"/>
  <c r="AJ87" i="3" s="1"/>
  <c r="AB56" i="3"/>
  <c r="AC69" i="3"/>
  <c r="AD217" i="3"/>
  <c r="AC49" i="3"/>
  <c r="AI49" i="3" s="1"/>
  <c r="AE124" i="3"/>
  <c r="AD264" i="3"/>
  <c r="AJ264" i="3" s="1"/>
  <c r="AA13" i="3"/>
  <c r="AE220" i="3"/>
  <c r="AD62" i="3"/>
  <c r="AJ62" i="3" s="1"/>
  <c r="AC111" i="3"/>
  <c r="AD271" i="3"/>
  <c r="AJ271" i="3" s="1"/>
  <c r="AC295" i="3"/>
  <c r="AI295" i="3" s="1"/>
  <c r="AB327" i="3"/>
  <c r="AH327" i="3" s="1"/>
  <c r="AD24" i="3"/>
  <c r="AJ24" i="3" s="1"/>
  <c r="AB325" i="3"/>
  <c r="AC248" i="3"/>
  <c r="AA82" i="3"/>
  <c r="AC103" i="3"/>
  <c r="AI103" i="3" s="1"/>
  <c r="AB68" i="3"/>
  <c r="AE79" i="3"/>
  <c r="AA227" i="3"/>
  <c r="AG227" i="3" s="1"/>
  <c r="AB152" i="3"/>
  <c r="AH152" i="3" s="1"/>
  <c r="AC114" i="3"/>
  <c r="AI114" i="3" s="1"/>
  <c r="AA229" i="3"/>
  <c r="AG229" i="3" s="1"/>
  <c r="AC358" i="3"/>
  <c r="AI358" i="3" s="1"/>
  <c r="AE106" i="3"/>
  <c r="AB73" i="3"/>
  <c r="AH73" i="3" s="1"/>
  <c r="AD168" i="3"/>
  <c r="AJ168" i="3" s="1"/>
  <c r="AE277" i="3"/>
  <c r="AD32" i="3"/>
  <c r="AC189" i="3"/>
  <c r="AD204" i="3"/>
  <c r="AE335" i="3"/>
  <c r="AC66" i="3"/>
  <c r="AI66" i="3" s="1"/>
  <c r="AD365" i="3"/>
  <c r="AJ365" i="3" s="1"/>
  <c r="AA263" i="3"/>
  <c r="AG263" i="3" s="1"/>
  <c r="AE122" i="3"/>
  <c r="AE128" i="3"/>
  <c r="AC215" i="3"/>
  <c r="AE226" i="3"/>
  <c r="AE25" i="3"/>
  <c r="AD129" i="3"/>
  <c r="AJ129" i="3" s="1"/>
  <c r="AE323" i="3"/>
  <c r="AD209" i="3"/>
  <c r="AB304" i="3"/>
  <c r="AH304" i="3" s="1"/>
  <c r="AE174" i="3"/>
  <c r="AE196" i="3"/>
  <c r="AA252" i="3"/>
  <c r="AB127" i="3"/>
  <c r="AE270" i="3"/>
  <c r="AB307" i="3"/>
  <c r="AH307" i="3" s="1"/>
  <c r="AE239" i="3"/>
  <c r="AC44" i="3"/>
  <c r="AI44" i="3" s="1"/>
  <c r="AD45" i="3"/>
  <c r="AE57" i="3"/>
  <c r="AB146" i="3"/>
  <c r="AH146" i="3" s="1"/>
  <c r="AA185" i="3"/>
  <c r="AG185" i="3" s="1"/>
  <c r="AD238" i="3"/>
  <c r="AA268" i="3"/>
  <c r="AG268" i="3" s="1"/>
  <c r="AE31" i="3"/>
  <c r="AC148" i="3"/>
  <c r="AI148" i="3" s="1"/>
  <c r="AA222" i="3"/>
  <c r="AG222" i="3" s="1"/>
  <c r="AE100" i="3"/>
  <c r="AB276" i="3"/>
  <c r="AH276" i="3" s="1"/>
  <c r="AD161" i="3"/>
  <c r="AE314" i="3"/>
  <c r="AA292" i="3"/>
  <c r="AE250" i="3"/>
  <c r="AE290" i="3"/>
  <c r="AC340" i="3"/>
  <c r="AI340" i="3" s="1"/>
  <c r="AE274" i="3"/>
  <c r="AD272" i="3"/>
  <c r="AJ272" i="3" s="1"/>
  <c r="AB169" i="3"/>
  <c r="AH169" i="3" s="1"/>
  <c r="AB177" i="3"/>
  <c r="AH177" i="3" s="1"/>
  <c r="AA372" i="3"/>
  <c r="AG372" i="3" s="1"/>
  <c r="AB90" i="3"/>
  <c r="AH90" i="3" s="1"/>
  <c r="AD259" i="3"/>
  <c r="AJ259" i="3" s="1"/>
  <c r="AB316" i="3"/>
  <c r="AH316" i="3" s="1"/>
  <c r="AE336" i="3"/>
  <c r="AB356" i="3"/>
  <c r="AH356" i="3" s="1"/>
  <c r="AC117" i="3"/>
  <c r="AI117" i="3" s="1"/>
  <c r="AD170" i="3"/>
  <c r="AA324" i="3"/>
  <c r="AG324" i="3" s="1"/>
  <c r="AA348" i="3"/>
  <c r="AG348" i="3" s="1"/>
  <c r="AA112" i="3"/>
  <c r="AG112" i="3" s="1"/>
  <c r="AA137" i="3"/>
  <c r="AG137" i="3" s="1"/>
  <c r="AC180" i="3"/>
  <c r="AI180" i="3" s="1"/>
  <c r="AA101" i="3"/>
  <c r="AE162" i="3"/>
  <c r="AB64" i="3"/>
  <c r="AH64" i="3" s="1"/>
  <c r="AB89" i="3"/>
  <c r="AA237" i="3"/>
  <c r="AG237" i="3" s="1"/>
  <c r="AA260" i="3"/>
  <c r="AG260" i="3" s="1"/>
  <c r="AC339" i="3"/>
  <c r="AI339" i="3" s="1"/>
  <c r="AA267" i="3"/>
  <c r="AG267" i="3" s="1"/>
  <c r="AA97" i="3"/>
  <c r="AG97" i="3" s="1"/>
  <c r="AD378" i="3"/>
  <c r="AD379" i="3"/>
  <c r="AB156" i="3"/>
  <c r="AH156" i="3" s="1"/>
  <c r="AE172" i="3"/>
  <c r="AD351" i="3"/>
  <c r="AJ351" i="3" s="1"/>
  <c r="AE21" i="3"/>
  <c r="AC284" i="3"/>
  <c r="AB37" i="3"/>
  <c r="AH37" i="3" s="1"/>
  <c r="AD153" i="3"/>
  <c r="AJ153" i="3" s="1"/>
  <c r="AC311" i="3"/>
  <c r="AI311" i="3" s="1"/>
  <c r="AC214" i="3"/>
  <c r="AI214" i="3" s="1"/>
  <c r="AC61" i="3"/>
  <c r="AI61" i="3" s="1"/>
  <c r="AE92" i="3"/>
  <c r="AB63" i="3"/>
  <c r="AH63" i="3" s="1"/>
  <c r="AC132" i="3"/>
  <c r="AI132" i="3" s="1"/>
  <c r="AD145" i="3"/>
  <c r="AJ145" i="3" s="1"/>
  <c r="AA288" i="3"/>
  <c r="AA26" i="3"/>
  <c r="AG26" i="3" s="1"/>
  <c r="AE218" i="3"/>
  <c r="AB191" i="3"/>
  <c r="AE9" i="3"/>
  <c r="AA158" i="3"/>
  <c r="AG158" i="3" s="1"/>
  <c r="AD380" i="3"/>
  <c r="AJ380" i="3" s="1"/>
  <c r="AE235" i="3"/>
  <c r="AC360" i="3"/>
  <c r="AI360" i="3" s="1"/>
  <c r="AC228" i="3"/>
  <c r="AC278" i="3"/>
  <c r="AC236" i="3"/>
  <c r="AI236" i="3" s="1"/>
  <c r="AB10" i="3"/>
  <c r="AA29" i="3"/>
  <c r="AD285" i="3"/>
  <c r="AJ285" i="3" s="1"/>
  <c r="AC182" i="3"/>
  <c r="AI182" i="3" s="1"/>
  <c r="AB167" i="3"/>
  <c r="AH167" i="3" s="1"/>
  <c r="AE76" i="3"/>
  <c r="AB254" i="3"/>
  <c r="AH254" i="3" s="1"/>
  <c r="AE113" i="3"/>
  <c r="AC34" i="3"/>
  <c r="AI34" i="3" s="1"/>
  <c r="AC247" i="3"/>
  <c r="AI247" i="3" s="1"/>
  <c r="AD326" i="3"/>
  <c r="AD338" i="3"/>
  <c r="AJ338" i="3" s="1"/>
  <c r="AA178" i="3"/>
  <c r="AG178" i="3" s="1"/>
  <c r="AB40" i="3"/>
  <c r="AH40" i="3" s="1"/>
  <c r="AE246" i="3"/>
  <c r="AE346" i="3"/>
  <c r="AB194" i="3"/>
  <c r="AH194" i="3" s="1"/>
  <c r="AC355" i="3"/>
  <c r="AI355" i="3" s="1"/>
  <c r="AD371" i="3"/>
  <c r="AJ371" i="3" s="1"/>
  <c r="AE202" i="3"/>
  <c r="X266" i="3"/>
  <c r="AC266" i="3" s="1"/>
  <c r="AI266" i="3" s="1"/>
  <c r="X187" i="3"/>
  <c r="X291" i="3"/>
  <c r="AD291" i="3" s="1"/>
  <c r="AJ291" i="3" s="1"/>
  <c r="X188" i="3"/>
  <c r="AB188" i="3" s="1"/>
  <c r="AH188" i="3" s="1"/>
  <c r="X197" i="3"/>
  <c r="AD197" i="3" s="1"/>
  <c r="AJ197" i="3" s="1"/>
  <c r="X190" i="3"/>
  <c r="AE190" i="3" s="1"/>
  <c r="X198" i="3"/>
  <c r="X193" i="3"/>
  <c r="AE193" i="3" s="1"/>
  <c r="AA72" i="3"/>
  <c r="AG72" i="3" s="1"/>
  <c r="AB310" i="3"/>
  <c r="AH310" i="3" s="1"/>
  <c r="AD136" i="3"/>
  <c r="AJ136" i="3" s="1"/>
  <c r="AA221" i="3"/>
  <c r="AG221" i="3" s="1"/>
  <c r="AC315" i="3"/>
  <c r="AI315" i="3" s="1"/>
  <c r="AC58" i="3"/>
  <c r="AI58" i="3" s="1"/>
  <c r="AA33" i="3"/>
  <c r="AG33" i="3" s="1"/>
  <c r="AB103" i="3"/>
  <c r="AH103" i="3" s="1"/>
  <c r="AE208" i="3"/>
  <c r="AA8" i="3"/>
  <c r="AG8" i="3" s="1"/>
  <c r="AD8" i="3"/>
  <c r="AJ8" i="3" s="1"/>
  <c r="AD320" i="3"/>
  <c r="AJ320" i="3" s="1"/>
  <c r="AC260" i="3"/>
  <c r="AI260" i="3" s="1"/>
  <c r="AA7" i="3"/>
  <c r="AG7" i="3" s="1"/>
  <c r="AC74" i="3"/>
  <c r="AI74" i="3" s="1"/>
  <c r="AA368" i="3"/>
  <c r="AG368" i="3" s="1"/>
  <c r="AD74" i="3"/>
  <c r="AJ74" i="3" s="1"/>
  <c r="AC303" i="3"/>
  <c r="AE64" i="3"/>
  <c r="AE320" i="3"/>
  <c r="AE288" i="3"/>
  <c r="AB381" i="3"/>
  <c r="AH381" i="3" s="1"/>
  <c r="AE381" i="3"/>
  <c r="AE230" i="3"/>
  <c r="AB379" i="3"/>
  <c r="AH379" i="3" s="1"/>
  <c r="AA168" i="3"/>
  <c r="AG168" i="3" s="1"/>
  <c r="AD6" i="3"/>
  <c r="AJ6" i="3" s="1"/>
  <c r="AC6" i="3"/>
  <c r="AI6" i="3" s="1"/>
  <c r="AE150" i="3"/>
  <c r="AD268" i="3"/>
  <c r="AJ268" i="3" s="1"/>
  <c r="AD22" i="3"/>
  <c r="AJ22" i="3" s="1"/>
  <c r="AA143" i="3"/>
  <c r="AG143" i="3" s="1"/>
  <c r="AC22" i="3"/>
  <c r="AI22" i="3" s="1"/>
  <c r="AB86" i="3"/>
  <c r="AH86" i="3" s="1"/>
  <c r="AD214" i="3"/>
  <c r="AA149" i="3"/>
  <c r="AG149" i="3" s="1"/>
  <c r="AB168" i="3"/>
  <c r="AH168" i="3" s="1"/>
  <c r="AA86" i="3"/>
  <c r="AG86" i="3" s="1"/>
  <c r="AA6" i="3"/>
  <c r="AG6" i="3" s="1"/>
  <c r="AA135" i="3"/>
  <c r="AG135" i="3" s="1"/>
  <c r="AC254" i="3"/>
  <c r="AI254" i="3" s="1"/>
  <c r="AA166" i="3"/>
  <c r="AG166" i="3" s="1"/>
  <c r="AC320" i="3"/>
  <c r="AI320" i="3" s="1"/>
  <c r="AD86" i="3"/>
  <c r="AJ86" i="3" s="1"/>
  <c r="AD42" i="3"/>
  <c r="AJ42" i="3" s="1"/>
  <c r="AE292" i="3"/>
  <c r="AE58" i="3"/>
  <c r="AA127" i="3"/>
  <c r="AG127" i="3" s="1"/>
  <c r="AD375" i="3"/>
  <c r="AJ375" i="3" s="1"/>
  <c r="AD292" i="3"/>
  <c r="AJ292" i="3" s="1"/>
  <c r="AB66" i="3"/>
  <c r="AH66" i="3" s="1"/>
  <c r="AE254" i="3"/>
  <c r="AB348" i="3"/>
  <c r="AH348" i="3" s="1"/>
  <c r="AE248" i="3"/>
  <c r="AC57" i="3"/>
  <c r="AI57" i="3" s="1"/>
  <c r="AC10" i="3"/>
  <c r="AI10" i="3" s="1"/>
  <c r="AD113" i="3"/>
  <c r="AJ113" i="3" s="1"/>
  <c r="AA10" i="3"/>
  <c r="AG10" i="3" s="1"/>
  <c r="AC287" i="3"/>
  <c r="AI287" i="3" s="1"/>
  <c r="AE319" i="3"/>
  <c r="AE74" i="3"/>
  <c r="AD303" i="3"/>
  <c r="AJ303" i="3" s="1"/>
  <c r="AD339" i="3"/>
  <c r="AJ339" i="3" s="1"/>
  <c r="AE359" i="3"/>
  <c r="AB339" i="3"/>
  <c r="AB178" i="3"/>
  <c r="AB372" i="3"/>
  <c r="AH372" i="3" s="1"/>
  <c r="AD256" i="3"/>
  <c r="AJ256" i="3" s="1"/>
  <c r="AE168" i="3"/>
  <c r="AC168" i="3"/>
  <c r="AI168" i="3" s="1"/>
  <c r="T59" i="5"/>
  <c r="AU59" i="5"/>
  <c r="AQ59" i="5"/>
  <c r="Q59" i="5"/>
  <c r="AR59" i="5"/>
  <c r="AN59" i="5"/>
  <c r="S59" i="5"/>
  <c r="AT59" i="5"/>
  <c r="AP59" i="5"/>
  <c r="R59" i="5"/>
  <c r="AS59" i="5"/>
  <c r="AO59" i="5"/>
  <c r="AC144" i="3"/>
  <c r="AI144" i="3" s="1"/>
  <c r="AD138" i="3"/>
  <c r="AJ138" i="3" s="1"/>
  <c r="AE62" i="3"/>
  <c r="AD82" i="3"/>
  <c r="AJ82" i="3" s="1"/>
  <c r="AC318" i="3"/>
  <c r="AI318" i="3" s="1"/>
  <c r="AE86" i="3"/>
  <c r="AB296" i="3"/>
  <c r="AH296" i="3" s="1"/>
  <c r="AE339" i="3"/>
  <c r="AE88" i="3"/>
  <c r="AA174" i="3"/>
  <c r="AG174" i="3" s="1"/>
  <c r="AC62" i="3"/>
  <c r="AI62" i="3" s="1"/>
  <c r="AD318" i="3"/>
  <c r="AJ318" i="3" s="1"/>
  <c r="AA296" i="3"/>
  <c r="AG296" i="3" s="1"/>
  <c r="AA304" i="3"/>
  <c r="AG304" i="3" s="1"/>
  <c r="AA150" i="3"/>
  <c r="AG150" i="3" s="1"/>
  <c r="AA161" i="3"/>
  <c r="AG161" i="3" s="1"/>
  <c r="AB360" i="3"/>
  <c r="AH360" i="3" s="1"/>
  <c r="AD88" i="3"/>
  <c r="AJ88" i="3" s="1"/>
  <c r="AE252" i="3"/>
  <c r="AC127" i="3"/>
  <c r="AI127" i="3" s="1"/>
  <c r="AA144" i="3"/>
  <c r="AG144" i="3" s="1"/>
  <c r="AA307" i="3"/>
  <c r="AG307" i="3" s="1"/>
  <c r="AC101" i="3"/>
  <c r="AI101" i="3" s="1"/>
  <c r="AB88" i="3"/>
  <c r="AH88" i="3" s="1"/>
  <c r="AA49" i="3"/>
  <c r="AG49" i="3" s="1"/>
  <c r="AE181" i="3"/>
  <c r="AB144" i="3"/>
  <c r="AH144" i="3" s="1"/>
  <c r="AB101" i="3"/>
  <c r="AH101" i="3" s="1"/>
  <c r="AC45" i="3"/>
  <c r="AI45" i="3" s="1"/>
  <c r="AA88" i="3"/>
  <c r="AG88" i="3" s="1"/>
  <c r="AD293" i="3"/>
  <c r="AJ293" i="3" s="1"/>
  <c r="AC153" i="3"/>
  <c r="AI153" i="3" s="1"/>
  <c r="AE82" i="3"/>
  <c r="AE22" i="3"/>
  <c r="AD117" i="3"/>
  <c r="AB149" i="3"/>
  <c r="AH149" i="3" s="1"/>
  <c r="AE68" i="3"/>
  <c r="AD49" i="3"/>
  <c r="AJ49" i="3" s="1"/>
  <c r="AB180" i="3"/>
  <c r="AH180" i="3" s="1"/>
  <c r="AD68" i="3"/>
  <c r="AJ68" i="3" s="1"/>
  <c r="AA56" i="3"/>
  <c r="AG56" i="3" s="1"/>
  <c r="AC160" i="3"/>
  <c r="AI160" i="3" s="1"/>
  <c r="AC206" i="3"/>
  <c r="AI206" i="3" s="1"/>
  <c r="AA58" i="3"/>
  <c r="AG58" i="3" s="1"/>
  <c r="AC271" i="3"/>
  <c r="AI271" i="3" s="1"/>
  <c r="AD180" i="3"/>
  <c r="AJ180" i="3" s="1"/>
  <c r="AD206" i="3"/>
  <c r="AJ206" i="3" s="1"/>
  <c r="AC208" i="3"/>
  <c r="AI208" i="3" s="1"/>
  <c r="AA200" i="3"/>
  <c r="AG200" i="3" s="1"/>
  <c r="AE200" i="3"/>
  <c r="AC351" i="3"/>
  <c r="AI351" i="3" s="1"/>
  <c r="AE101" i="3"/>
  <c r="AB129" i="3"/>
  <c r="AH129" i="3" s="1"/>
  <c r="AA62" i="3"/>
  <c r="AG62" i="3" s="1"/>
  <c r="AB49" i="3"/>
  <c r="AH49" i="3" s="1"/>
  <c r="AB82" i="3"/>
  <c r="AH82" i="3" s="1"/>
  <c r="AC365" i="3"/>
  <c r="AI365" i="3" s="1"/>
  <c r="AE356" i="3"/>
  <c r="AD101" i="3"/>
  <c r="AJ101" i="3" s="1"/>
  <c r="AA356" i="3"/>
  <c r="AG356" i="3" s="1"/>
  <c r="AA90" i="3"/>
  <c r="AG90" i="3" s="1"/>
  <c r="AB268" i="3"/>
  <c r="AH268" i="3" s="1"/>
  <c r="AD349" i="3"/>
  <c r="AJ349" i="3" s="1"/>
  <c r="AC325" i="3"/>
  <c r="AI325" i="3" s="1"/>
  <c r="AB315" i="3"/>
  <c r="AH315" i="3" s="1"/>
  <c r="AD80" i="3"/>
  <c r="AJ80" i="3" s="1"/>
  <c r="AC185" i="3"/>
  <c r="AI185" i="3" s="1"/>
  <c r="AD185" i="3"/>
  <c r="AJ185" i="3" s="1"/>
  <c r="AA177" i="3"/>
  <c r="AG177" i="3" s="1"/>
  <c r="AA310" i="3"/>
  <c r="AG310" i="3" s="1"/>
  <c r="AE295" i="3"/>
  <c r="AD150" i="3"/>
  <c r="AJ150" i="3" s="1"/>
  <c r="AE216" i="3"/>
  <c r="AC368" i="3"/>
  <c r="AI368" i="3" s="1"/>
  <c r="AA199" i="3"/>
  <c r="AG199" i="3" s="1"/>
  <c r="AA315" i="3"/>
  <c r="AG315" i="3" s="1"/>
  <c r="AB380" i="3"/>
  <c r="AH380" i="3" s="1"/>
  <c r="AA208" i="3"/>
  <c r="AG208" i="3" s="1"/>
  <c r="AB216" i="3"/>
  <c r="AH216" i="3" s="1"/>
  <c r="AA191" i="3"/>
  <c r="AG191" i="3" s="1"/>
  <c r="AB319" i="3"/>
  <c r="AH319" i="3" s="1"/>
  <c r="AA9" i="3"/>
  <c r="AG9" i="3" s="1"/>
  <c r="AA57" i="3"/>
  <c r="AG57" i="3" s="1"/>
  <c r="AB150" i="3"/>
  <c r="AH150" i="3" s="1"/>
  <c r="AA216" i="3"/>
  <c r="AG216" i="3" s="1"/>
  <c r="AB368" i="3"/>
  <c r="AH368" i="3" s="1"/>
  <c r="AA207" i="3"/>
  <c r="AG207" i="3" s="1"/>
  <c r="AA218" i="3"/>
  <c r="AG218" i="3" s="1"/>
  <c r="AE56" i="3"/>
  <c r="AA272" i="3"/>
  <c r="AG272" i="3" s="1"/>
  <c r="AD358" i="3"/>
  <c r="AJ358" i="3" s="1"/>
  <c r="AD89" i="3"/>
  <c r="AJ89" i="3" s="1"/>
  <c r="AE318" i="3"/>
  <c r="AD7" i="3"/>
  <c r="AJ7" i="3" s="1"/>
  <c r="AD12" i="3"/>
  <c r="AJ12" i="3" s="1"/>
  <c r="AC326" i="3"/>
  <c r="AI326" i="3" s="1"/>
  <c r="AE161" i="3"/>
  <c r="AA125" i="3"/>
  <c r="AG125" i="3" s="1"/>
  <c r="AB271" i="3"/>
  <c r="AH271" i="3" s="1"/>
  <c r="AB24" i="3"/>
  <c r="AH24" i="3" s="1"/>
  <c r="AD174" i="3"/>
  <c r="AJ174" i="3" s="1"/>
  <c r="AB287" i="3"/>
  <c r="AH287" i="3" s="1"/>
  <c r="AE135" i="3"/>
  <c r="AD200" i="3"/>
  <c r="AJ200" i="3" s="1"/>
  <c r="AB7" i="3"/>
  <c r="AH7" i="3" s="1"/>
  <c r="AB125" i="3"/>
  <c r="AH125" i="3" s="1"/>
  <c r="AA271" i="3"/>
  <c r="AG271" i="3" s="1"/>
  <c r="AE24" i="3"/>
  <c r="AC68" i="3"/>
  <c r="AI68" i="3" s="1"/>
  <c r="AB161" i="3"/>
  <c r="AH161" i="3" s="1"/>
  <c r="AE149" i="3"/>
  <c r="AA217" i="3"/>
  <c r="AG217" i="3" s="1"/>
  <c r="AA24" i="3"/>
  <c r="AG24" i="3" s="1"/>
  <c r="AC174" i="3"/>
  <c r="AI174" i="3" s="1"/>
  <c r="AA287" i="3"/>
  <c r="AG287" i="3" s="1"/>
  <c r="AB12" i="3"/>
  <c r="AH12" i="3" s="1"/>
  <c r="AB230" i="3"/>
  <c r="AH230" i="3" s="1"/>
  <c r="AE158" i="3"/>
  <c r="AB338" i="3"/>
  <c r="AH338" i="3" s="1"/>
  <c r="AC161" i="3"/>
  <c r="AI161" i="3" s="1"/>
  <c r="AC149" i="3"/>
  <c r="AI149" i="3" s="1"/>
  <c r="AD144" i="3"/>
  <c r="AJ144" i="3" s="1"/>
  <c r="AB174" i="3"/>
  <c r="AH174" i="3" s="1"/>
  <c r="AD103" i="3"/>
  <c r="AJ103" i="3" s="1"/>
  <c r="AE49" i="3"/>
  <c r="AA286" i="3"/>
  <c r="AC272" i="3"/>
  <c r="AI272" i="3" s="1"/>
  <c r="AD254" i="3"/>
  <c r="AJ254" i="3" s="1"/>
  <c r="AB124" i="3"/>
  <c r="AH124" i="3" s="1"/>
  <c r="AC33" i="3"/>
  <c r="AI33" i="3" s="1"/>
  <c r="AC129" i="3"/>
  <c r="AI129" i="3" s="1"/>
  <c r="AE247" i="3"/>
  <c r="AC89" i="3"/>
  <c r="AI89" i="3" s="1"/>
  <c r="AD17" i="3"/>
  <c r="AJ17" i="3" s="1"/>
  <c r="AE17" i="3"/>
  <c r="AE41" i="3"/>
  <c r="AD41" i="3"/>
  <c r="AJ41" i="3" s="1"/>
  <c r="AC41" i="3"/>
  <c r="AI41" i="3" s="1"/>
  <c r="AB41" i="3"/>
  <c r="AH41" i="3" s="1"/>
  <c r="AE121" i="3"/>
  <c r="AB121" i="3"/>
  <c r="AH121" i="3" s="1"/>
  <c r="AA121" i="3"/>
  <c r="AG121" i="3" s="1"/>
  <c r="AC121" i="3"/>
  <c r="AI121" i="3" s="1"/>
  <c r="AA299" i="3"/>
  <c r="AG299" i="3" s="1"/>
  <c r="AB299" i="3"/>
  <c r="AH299" i="3" s="1"/>
  <c r="AC299" i="3"/>
  <c r="AI299" i="3" s="1"/>
  <c r="AD299" i="3"/>
  <c r="AJ299" i="3" s="1"/>
  <c r="AA136" i="3"/>
  <c r="AG136" i="3" s="1"/>
  <c r="AB311" i="3"/>
  <c r="AH311" i="3" s="1"/>
  <c r="AC277" i="3"/>
  <c r="AA182" i="3"/>
  <c r="AG182" i="3" s="1"/>
  <c r="AA93" i="3"/>
  <c r="AG93" i="3" s="1"/>
  <c r="AC319" i="3"/>
  <c r="AI319" i="3" s="1"/>
  <c r="AC24" i="3"/>
  <c r="AI24" i="3" s="1"/>
  <c r="AB6" i="3"/>
  <c r="AH6" i="3" s="1"/>
  <c r="AE10" i="3"/>
  <c r="AB272" i="3"/>
  <c r="AH272" i="3" s="1"/>
  <c r="AC356" i="3"/>
  <c r="AI356" i="3" s="1"/>
  <c r="AC246" i="3"/>
  <c r="AI246" i="3" s="1"/>
  <c r="AB172" i="3"/>
  <c r="AH172" i="3" s="1"/>
  <c r="AB153" i="3"/>
  <c r="AH153" i="3" s="1"/>
  <c r="AD77" i="3"/>
  <c r="AJ77" i="3" s="1"/>
  <c r="AE170" i="3"/>
  <c r="AD111" i="3"/>
  <c r="AJ111" i="3" s="1"/>
  <c r="AC82" i="3"/>
  <c r="AI82" i="3" s="1"/>
  <c r="AA169" i="3"/>
  <c r="AG169" i="3" s="1"/>
  <c r="AC290" i="3"/>
  <c r="AI290" i="3" s="1"/>
  <c r="AB77" i="3"/>
  <c r="AH77" i="3" s="1"/>
  <c r="AA228" i="3"/>
  <c r="AG228" i="3" s="1"/>
  <c r="AB201" i="3"/>
  <c r="AH201" i="3" s="1"/>
  <c r="AD231" i="3"/>
  <c r="AJ231" i="3" s="1"/>
  <c r="AA22" i="3"/>
  <c r="AG22" i="3" s="1"/>
  <c r="AB218" i="3"/>
  <c r="AH218" i="3" s="1"/>
  <c r="AD319" i="3"/>
  <c r="AJ319" i="3" s="1"/>
  <c r="AD252" i="3"/>
  <c r="AJ252" i="3" s="1"/>
  <c r="AD232" i="3"/>
  <c r="AJ232" i="3" s="1"/>
  <c r="AC143" i="3"/>
  <c r="AI143" i="3" s="1"/>
  <c r="AB136" i="3"/>
  <c r="AH136" i="3" s="1"/>
  <c r="AA167" i="3"/>
  <c r="AG167" i="3" s="1"/>
  <c r="AB185" i="3"/>
  <c r="AH185" i="3" s="1"/>
  <c r="AB295" i="3"/>
  <c r="AH295" i="3" s="1"/>
  <c r="AC169" i="3"/>
  <c r="AI169" i="3" s="1"/>
  <c r="AB284" i="3"/>
  <c r="AH284" i="3" s="1"/>
  <c r="AA89" i="3"/>
  <c r="AG89" i="3" s="1"/>
  <c r="AD176" i="3"/>
  <c r="AJ176" i="3" s="1"/>
  <c r="AA77" i="3"/>
  <c r="AG77" i="3" s="1"/>
  <c r="AE228" i="3"/>
  <c r="AC375" i="3"/>
  <c r="AI375" i="3" s="1"/>
  <c r="AC146" i="3"/>
  <c r="AI146" i="3" s="1"/>
  <c r="AA232" i="3"/>
  <c r="AG232" i="3" s="1"/>
  <c r="AB336" i="3"/>
  <c r="AH336" i="3" s="1"/>
  <c r="AD25" i="3"/>
  <c r="AJ25" i="3" s="1"/>
  <c r="AC252" i="3"/>
  <c r="AI252" i="3" s="1"/>
  <c r="AE341" i="3"/>
  <c r="AD130" i="3"/>
  <c r="AJ130" i="3" s="1"/>
  <c r="AD114" i="3"/>
  <c r="AJ114" i="3" s="1"/>
  <c r="AD157" i="3"/>
  <c r="AJ157" i="3" s="1"/>
  <c r="AA183" i="3"/>
  <c r="AG183" i="3" s="1"/>
  <c r="AC209" i="3"/>
  <c r="AI209" i="3" s="1"/>
  <c r="AD90" i="3"/>
  <c r="AJ90" i="3" s="1"/>
  <c r="AE63" i="3"/>
  <c r="AE169" i="3"/>
  <c r="AC25" i="3"/>
  <c r="AI25" i="3" s="1"/>
  <c r="AD311" i="3"/>
  <c r="AJ311" i="3" s="1"/>
  <c r="AD228" i="3"/>
  <c r="AJ228" i="3" s="1"/>
  <c r="AB26" i="3"/>
  <c r="AH26" i="3" s="1"/>
  <c r="AE167" i="3"/>
  <c r="AC162" i="3"/>
  <c r="AI162" i="3" s="1"/>
  <c r="AE264" i="3"/>
  <c r="AE276" i="3"/>
  <c r="AD295" i="3"/>
  <c r="AJ295" i="3" s="1"/>
  <c r="AB25" i="3"/>
  <c r="AH25" i="3" s="1"/>
  <c r="AD34" i="3"/>
  <c r="AJ34" i="3" s="1"/>
  <c r="AD26" i="3"/>
  <c r="AJ26" i="3" s="1"/>
  <c r="AD167" i="3"/>
  <c r="AJ167" i="3" s="1"/>
  <c r="AB162" i="3"/>
  <c r="AH162" i="3" s="1"/>
  <c r="AB317" i="3"/>
  <c r="AH317" i="3" s="1"/>
  <c r="AC135" i="3"/>
  <c r="AI135" i="3" s="1"/>
  <c r="AC28" i="3"/>
  <c r="AI28" i="3" s="1"/>
  <c r="AB70" i="3"/>
  <c r="AH70" i="3" s="1"/>
  <c r="AD276" i="3"/>
  <c r="AJ276" i="3" s="1"/>
  <c r="AD230" i="3"/>
  <c r="AJ230" i="3" s="1"/>
  <c r="AC227" i="3"/>
  <c r="AI227" i="3" s="1"/>
  <c r="AB351" i="3"/>
  <c r="AH351" i="3" s="1"/>
  <c r="AA25" i="3"/>
  <c r="AG25" i="3" s="1"/>
  <c r="AE42" i="3"/>
  <c r="AC167" i="3"/>
  <c r="AI167" i="3" s="1"/>
  <c r="AA162" i="3"/>
  <c r="AG162" i="3" s="1"/>
  <c r="AD66" i="3"/>
  <c r="AJ66" i="3" s="1"/>
  <c r="AD183" i="3"/>
  <c r="AJ183" i="3" s="1"/>
  <c r="AB28" i="3"/>
  <c r="AH28" i="3" s="1"/>
  <c r="AB85" i="3"/>
  <c r="AH85" i="3" s="1"/>
  <c r="AC276" i="3"/>
  <c r="AI276" i="3" s="1"/>
  <c r="AE296" i="3"/>
  <c r="AC9" i="3"/>
  <c r="AI9" i="3" s="1"/>
  <c r="AB227" i="3"/>
  <c r="AH227" i="3" s="1"/>
  <c r="AA351" i="3"/>
  <c r="AG351" i="3" s="1"/>
  <c r="AD58" i="3"/>
  <c r="AJ58" i="3" s="1"/>
  <c r="AD162" i="3"/>
  <c r="AJ162" i="3" s="1"/>
  <c r="AE349" i="3"/>
  <c r="AA85" i="3"/>
  <c r="AG85" i="3" s="1"/>
  <c r="AA215" i="3"/>
  <c r="AG215" i="3" s="1"/>
  <c r="AC90" i="3"/>
  <c r="AI90" i="3" s="1"/>
  <c r="AC199" i="3"/>
  <c r="AI199" i="3" s="1"/>
  <c r="AD132" i="3"/>
  <c r="AJ132" i="3" s="1"/>
  <c r="AE117" i="3"/>
  <c r="AA238" i="3"/>
  <c r="AG238" i="3" s="1"/>
  <c r="AC380" i="3"/>
  <c r="AI380" i="3" s="1"/>
  <c r="AB209" i="3"/>
  <c r="AH209" i="3" s="1"/>
  <c r="AB42" i="3"/>
  <c r="AH42" i="3" s="1"/>
  <c r="AB57" i="3"/>
  <c r="AH57" i="3" s="1"/>
  <c r="AC263" i="3"/>
  <c r="AI263" i="3" s="1"/>
  <c r="AA66" i="3"/>
  <c r="AG66" i="3" s="1"/>
  <c r="AE191" i="3"/>
  <c r="AE178" i="3"/>
  <c r="AD317" i="3"/>
  <c r="AJ317" i="3" s="1"/>
  <c r="AC344" i="3"/>
  <c r="AI344" i="3" s="1"/>
  <c r="AE32" i="3"/>
  <c r="AE26" i="3"/>
  <c r="AB170" i="3"/>
  <c r="AH170" i="3" s="1"/>
  <c r="AB263" i="3"/>
  <c r="AH263" i="3" s="1"/>
  <c r="AD146" i="3"/>
  <c r="AJ146" i="3" s="1"/>
  <c r="AC12" i="3"/>
  <c r="AI12" i="3" s="1"/>
  <c r="AB117" i="3"/>
  <c r="AH117" i="3" s="1"/>
  <c r="AC97" i="3"/>
  <c r="AI97" i="3" s="1"/>
  <c r="AB160" i="3"/>
  <c r="AH160" i="3" s="1"/>
  <c r="AB358" i="3"/>
  <c r="AH358" i="3" s="1"/>
  <c r="AB215" i="3"/>
  <c r="AH215" i="3" s="1"/>
  <c r="AB80" i="3"/>
  <c r="AH80" i="3" s="1"/>
  <c r="AA339" i="3"/>
  <c r="AG339" i="3" s="1"/>
  <c r="AD57" i="3"/>
  <c r="AJ57" i="3" s="1"/>
  <c r="AE327" i="3"/>
  <c r="AD158" i="3"/>
  <c r="AJ158" i="3" s="1"/>
  <c r="AC232" i="3"/>
  <c r="AI232" i="3" s="1"/>
  <c r="AD278" i="3"/>
  <c r="AJ278" i="3" s="1"/>
  <c r="AB245" i="3"/>
  <c r="AH245" i="3" s="1"/>
  <c r="AC178" i="3"/>
  <c r="AI178" i="3" s="1"/>
  <c r="AD166" i="3"/>
  <c r="AJ166" i="3" s="1"/>
  <c r="AD267" i="3"/>
  <c r="AJ267" i="3" s="1"/>
  <c r="AA184" i="3"/>
  <c r="AG184" i="3" s="1"/>
  <c r="AA358" i="3"/>
  <c r="AG358" i="3" s="1"/>
  <c r="AC54" i="3"/>
  <c r="AI54" i="3" s="1"/>
  <c r="AC244" i="3"/>
  <c r="AI244" i="3" s="1"/>
  <c r="AD178" i="3"/>
  <c r="AJ178" i="3" s="1"/>
  <c r="AE310" i="3"/>
  <c r="AE271" i="3"/>
  <c r="AD327" i="3"/>
  <c r="AJ327" i="3" s="1"/>
  <c r="AC158" i="3"/>
  <c r="AI158" i="3" s="1"/>
  <c r="AB269" i="3"/>
  <c r="AH269" i="3" s="1"/>
  <c r="AB48" i="3"/>
  <c r="AH48" i="3" s="1"/>
  <c r="AE272" i="3"/>
  <c r="AD109" i="3"/>
  <c r="AJ109" i="3" s="1"/>
  <c r="AE340" i="3"/>
  <c r="AE244" i="3"/>
  <c r="AD247" i="3"/>
  <c r="AJ247" i="3" s="1"/>
  <c r="AD244" i="3"/>
  <c r="AJ244" i="3" s="1"/>
  <c r="AE89" i="3"/>
  <c r="AE183" i="3"/>
  <c r="AD248" i="3"/>
  <c r="AJ248" i="3" s="1"/>
  <c r="AE315" i="3"/>
  <c r="AD56" i="3"/>
  <c r="AJ56" i="3" s="1"/>
  <c r="AE199" i="3"/>
  <c r="AC64" i="3"/>
  <c r="AI64" i="3" s="1"/>
  <c r="AE209" i="3"/>
  <c r="AC327" i="3"/>
  <c r="AI327" i="3" s="1"/>
  <c r="AE166" i="3"/>
  <c r="AB280" i="3"/>
  <c r="AH280" i="3" s="1"/>
  <c r="AA160" i="3"/>
  <c r="AG160" i="3" s="1"/>
  <c r="AC204" i="3"/>
  <c r="AI204" i="3" s="1"/>
  <c r="AD315" i="3"/>
  <c r="AJ315" i="3" s="1"/>
  <c r="AC56" i="3"/>
  <c r="AI56" i="3" s="1"/>
  <c r="AD208" i="3"/>
  <c r="AJ208" i="3" s="1"/>
  <c r="AE33" i="3"/>
  <c r="AD70" i="3"/>
  <c r="AJ70" i="3" s="1"/>
  <c r="AD360" i="3"/>
  <c r="AJ360" i="3" s="1"/>
  <c r="AC310" i="3"/>
  <c r="AI310" i="3" s="1"/>
  <c r="AC170" i="3"/>
  <c r="AI170" i="3" s="1"/>
  <c r="AB333" i="3"/>
  <c r="AH333" i="3" s="1"/>
  <c r="AC166" i="3"/>
  <c r="AI166" i="3" s="1"/>
  <c r="AB277" i="3"/>
  <c r="AH277" i="3" s="1"/>
  <c r="AD216" i="3"/>
  <c r="AJ216" i="3" s="1"/>
  <c r="AA248" i="3"/>
  <c r="AG248" i="3" s="1"/>
  <c r="AB347" i="3"/>
  <c r="AH347" i="3" s="1"/>
  <c r="AC37" i="3"/>
  <c r="AI37" i="3" s="1"/>
  <c r="AB378" i="3"/>
  <c r="AH378" i="3" s="1"/>
  <c r="AD94" i="3"/>
  <c r="AJ94" i="3" s="1"/>
  <c r="AE245" i="3"/>
  <c r="AA170" i="3"/>
  <c r="AG170" i="3" s="1"/>
  <c r="AD245" i="3"/>
  <c r="AJ245" i="3" s="1"/>
  <c r="AB157" i="3"/>
  <c r="AH157" i="3" s="1"/>
  <c r="AE325" i="3"/>
  <c r="AD310" i="3"/>
  <c r="AJ310" i="3" s="1"/>
  <c r="AA48" i="3"/>
  <c r="AG48" i="3" s="1"/>
  <c r="AB248" i="3"/>
  <c r="AH248" i="3" s="1"/>
  <c r="AD33" i="3"/>
  <c r="AJ33" i="3" s="1"/>
  <c r="AB246" i="3"/>
  <c r="AH246" i="3" s="1"/>
  <c r="AE333" i="3"/>
  <c r="AE285" i="3"/>
  <c r="AB236" i="3"/>
  <c r="AH236" i="3" s="1"/>
  <c r="AF78" i="3"/>
  <c r="AC78" i="3"/>
  <c r="AI78" i="3" s="1"/>
  <c r="AA78" i="3"/>
  <c r="AG78" i="3" s="1"/>
  <c r="AB78" i="3"/>
  <c r="AH78" i="3" s="1"/>
  <c r="AE78" i="3"/>
  <c r="AD78" i="3"/>
  <c r="AJ78" i="3" s="1"/>
  <c r="AF32" i="3"/>
  <c r="AJ32" i="3"/>
  <c r="AC32" i="3"/>
  <c r="AI32" i="3" s="1"/>
  <c r="AA32" i="3"/>
  <c r="AG32" i="3" s="1"/>
  <c r="AB32" i="3"/>
  <c r="AH32" i="3" s="1"/>
  <c r="AF53" i="3"/>
  <c r="AE53" i="3"/>
  <c r="AA53" i="3"/>
  <c r="AG53" i="3" s="1"/>
  <c r="AB53" i="3"/>
  <c r="AH53" i="3" s="1"/>
  <c r="AD53" i="3"/>
  <c r="AJ53" i="3" s="1"/>
  <c r="AC53" i="3"/>
  <c r="AI53" i="3" s="1"/>
  <c r="AF55" i="3"/>
  <c r="AC55" i="3"/>
  <c r="AI55" i="3" s="1"/>
  <c r="AA55" i="3"/>
  <c r="AG55" i="3" s="1"/>
  <c r="AB55" i="3"/>
  <c r="AH55" i="3" s="1"/>
  <c r="AD55" i="3"/>
  <c r="AJ55" i="3" s="1"/>
  <c r="AE55" i="3"/>
  <c r="AF118" i="3"/>
  <c r="AC118" i="3"/>
  <c r="AI118" i="3" s="1"/>
  <c r="AD118" i="3"/>
  <c r="AJ118" i="3" s="1"/>
  <c r="AA118" i="3"/>
  <c r="AG118" i="3" s="1"/>
  <c r="AB118" i="3"/>
  <c r="AH118" i="3" s="1"/>
  <c r="AE118" i="3"/>
  <c r="AF240" i="3"/>
  <c r="AJ240" i="3"/>
  <c r="AC240" i="3"/>
  <c r="AI240" i="3" s="1"/>
  <c r="AA240" i="3"/>
  <c r="AG240" i="3" s="1"/>
  <c r="AB240" i="3"/>
  <c r="AH240" i="3" s="1"/>
  <c r="AF253" i="3"/>
  <c r="AJ253" i="3"/>
  <c r="AB253" i="3"/>
  <c r="AH253" i="3" s="1"/>
  <c r="AA253" i="3"/>
  <c r="AG253" i="3" s="1"/>
  <c r="AC253" i="3"/>
  <c r="AI253" i="3" s="1"/>
  <c r="AE253" i="3"/>
  <c r="AF165" i="3"/>
  <c r="AA165" i="3"/>
  <c r="AG165" i="3" s="1"/>
  <c r="AB165" i="3"/>
  <c r="AH165" i="3" s="1"/>
  <c r="AC165" i="3"/>
  <c r="AI165" i="3" s="1"/>
  <c r="AD165" i="3"/>
  <c r="AJ165" i="3" s="1"/>
  <c r="AE165" i="3"/>
  <c r="AF342" i="3"/>
  <c r="AE342" i="3"/>
  <c r="AA342" i="3"/>
  <c r="AG342" i="3" s="1"/>
  <c r="AB342" i="3"/>
  <c r="AH342" i="3" s="1"/>
  <c r="AC342" i="3"/>
  <c r="AI342" i="3" s="1"/>
  <c r="AD342" i="3"/>
  <c r="AJ342" i="3" s="1"/>
  <c r="AF30" i="3"/>
  <c r="AI30" i="3"/>
  <c r="AA30" i="3"/>
  <c r="AG30" i="3" s="1"/>
  <c r="AD30" i="3"/>
  <c r="AJ30" i="3" s="1"/>
  <c r="AB30" i="3"/>
  <c r="AH30" i="3" s="1"/>
  <c r="AF377" i="3"/>
  <c r="AC377" i="3"/>
  <c r="AI377" i="3" s="1"/>
  <c r="AE377" i="3"/>
  <c r="AA377" i="3"/>
  <c r="AG377" i="3" s="1"/>
  <c r="AB377" i="3"/>
  <c r="AH377" i="3" s="1"/>
  <c r="AD377" i="3"/>
  <c r="AJ377" i="3" s="1"/>
  <c r="AF46" i="3"/>
  <c r="AD46" i="3"/>
  <c r="AJ46" i="3" s="1"/>
  <c r="AB46" i="3"/>
  <c r="AH46" i="3" s="1"/>
  <c r="AE46" i="3"/>
  <c r="AA46" i="3"/>
  <c r="AG46" i="3" s="1"/>
  <c r="AF335" i="3"/>
  <c r="AA335" i="3"/>
  <c r="AG335" i="3" s="1"/>
  <c r="AD335" i="3"/>
  <c r="AJ335" i="3" s="1"/>
  <c r="AC335" i="3"/>
  <c r="AI335" i="3" s="1"/>
  <c r="AB335" i="3"/>
  <c r="AH335" i="3" s="1"/>
  <c r="AF262" i="3"/>
  <c r="AA262" i="3"/>
  <c r="AG262" i="3" s="1"/>
  <c r="AB262" i="3"/>
  <c r="AH262" i="3" s="1"/>
  <c r="AE262" i="3"/>
  <c r="AC262" i="3"/>
  <c r="AI262" i="3" s="1"/>
  <c r="AD262" i="3"/>
  <c r="AJ262" i="3" s="1"/>
  <c r="AF374" i="3"/>
  <c r="AA374" i="3"/>
  <c r="AG374" i="3" s="1"/>
  <c r="AB374" i="3"/>
  <c r="AH374" i="3" s="1"/>
  <c r="AD374" i="3"/>
  <c r="AJ374" i="3" s="1"/>
  <c r="AC374" i="3"/>
  <c r="AI374" i="3" s="1"/>
  <c r="AE374" i="3"/>
  <c r="AF293" i="3"/>
  <c r="AI293" i="3"/>
  <c r="AE293" i="3"/>
  <c r="AB293" i="3"/>
  <c r="AH293" i="3" s="1"/>
  <c r="AA293" i="3"/>
  <c r="AG293" i="3" s="1"/>
  <c r="AE30" i="3"/>
  <c r="AF145" i="3"/>
  <c r="AB145" i="3"/>
  <c r="AH145" i="3" s="1"/>
  <c r="AE145" i="3"/>
  <c r="AC145" i="3"/>
  <c r="AI145" i="3" s="1"/>
  <c r="AA145" i="3"/>
  <c r="AG145" i="3" s="1"/>
  <c r="AF193" i="3"/>
  <c r="AF361" i="3"/>
  <c r="AC361" i="3"/>
  <c r="AI361" i="3" s="1"/>
  <c r="AD361" i="3"/>
  <c r="AJ361" i="3" s="1"/>
  <c r="AE361" i="3"/>
  <c r="AA361" i="3"/>
  <c r="AG361" i="3" s="1"/>
  <c r="AB361" i="3"/>
  <c r="AH361" i="3" s="1"/>
  <c r="AF258" i="3"/>
  <c r="AE258" i="3"/>
  <c r="AA258" i="3"/>
  <c r="AG258" i="3" s="1"/>
  <c r="AB258" i="3"/>
  <c r="AH258" i="3" s="1"/>
  <c r="AC258" i="3"/>
  <c r="AI258" i="3" s="1"/>
  <c r="AD258" i="3"/>
  <c r="AJ258" i="3" s="1"/>
  <c r="AF134" i="3"/>
  <c r="AA134" i="3"/>
  <c r="AG134" i="3" s="1"/>
  <c r="AB134" i="3"/>
  <c r="AH134" i="3" s="1"/>
  <c r="AE134" i="3"/>
  <c r="AC134" i="3"/>
  <c r="AI134" i="3" s="1"/>
  <c r="AD134" i="3"/>
  <c r="AJ134" i="3" s="1"/>
  <c r="AF368" i="3"/>
  <c r="AD368" i="3"/>
  <c r="AJ368" i="3" s="1"/>
  <c r="AF142" i="3"/>
  <c r="AA142" i="3"/>
  <c r="AG142" i="3" s="1"/>
  <c r="AB142" i="3"/>
  <c r="AH142" i="3" s="1"/>
  <c r="AC142" i="3"/>
  <c r="AI142" i="3" s="1"/>
  <c r="AD142" i="3"/>
  <c r="AJ142" i="3" s="1"/>
  <c r="AE142" i="3"/>
  <c r="AF273" i="3"/>
  <c r="AA273" i="3"/>
  <c r="AG273" i="3" s="1"/>
  <c r="AB273" i="3"/>
  <c r="AH273" i="3" s="1"/>
  <c r="AC273" i="3"/>
  <c r="AI273" i="3" s="1"/>
  <c r="AD273" i="3"/>
  <c r="AJ273" i="3" s="1"/>
  <c r="AE273" i="3"/>
  <c r="AF337" i="3"/>
  <c r="AA337" i="3"/>
  <c r="AG337" i="3" s="1"/>
  <c r="AB337" i="3"/>
  <c r="AH337" i="3" s="1"/>
  <c r="AC337" i="3"/>
  <c r="AI337" i="3" s="1"/>
  <c r="AD337" i="3"/>
  <c r="AJ337" i="3" s="1"/>
  <c r="AE337" i="3"/>
  <c r="AF4" i="3"/>
  <c r="AA4" i="3"/>
  <c r="AG4" i="3" s="1"/>
  <c r="AB4" i="3"/>
  <c r="AH4" i="3" s="1"/>
  <c r="AD4" i="3"/>
  <c r="AJ4" i="3" s="1"/>
  <c r="AC4" i="3"/>
  <c r="AI4" i="3" s="1"/>
  <c r="AE4" i="3"/>
  <c r="AC46" i="3"/>
  <c r="AI46" i="3" s="1"/>
  <c r="AF108" i="3"/>
  <c r="AC108" i="3"/>
  <c r="AI108" i="3" s="1"/>
  <c r="AE108" i="3"/>
  <c r="AD108" i="3"/>
  <c r="AJ108" i="3" s="1"/>
  <c r="AB108" i="3"/>
  <c r="AH108" i="3" s="1"/>
  <c r="AA108" i="3"/>
  <c r="AG108" i="3" s="1"/>
  <c r="AF274" i="3"/>
  <c r="AA274" i="3"/>
  <c r="AG274" i="3" s="1"/>
  <c r="AC274" i="3"/>
  <c r="AI274" i="3" s="1"/>
  <c r="AD274" i="3"/>
  <c r="AJ274" i="3" s="1"/>
  <c r="AB274" i="3"/>
  <c r="AH274" i="3" s="1"/>
  <c r="AE240" i="3"/>
  <c r="AF195" i="3"/>
  <c r="AA195" i="3"/>
  <c r="AG195" i="3" s="1"/>
  <c r="AB195" i="3"/>
  <c r="AH195" i="3" s="1"/>
  <c r="AC195" i="3"/>
  <c r="AI195" i="3" s="1"/>
  <c r="AD195" i="3"/>
  <c r="AJ195" i="3" s="1"/>
  <c r="AE195" i="3"/>
  <c r="AF67" i="3"/>
  <c r="AD67" i="3"/>
  <c r="AJ67" i="3" s="1"/>
  <c r="AE67" i="3"/>
  <c r="AA67" i="3"/>
  <c r="AG67" i="3" s="1"/>
  <c r="AC67" i="3"/>
  <c r="AI67" i="3" s="1"/>
  <c r="AB67" i="3"/>
  <c r="AH67" i="3" s="1"/>
  <c r="AF227" i="3"/>
  <c r="AE227" i="3"/>
  <c r="AD227" i="3"/>
  <c r="AJ227" i="3" s="1"/>
  <c r="AF102" i="3"/>
  <c r="AB102" i="3"/>
  <c r="AH102" i="3" s="1"/>
  <c r="AA102" i="3"/>
  <c r="AG102" i="3" s="1"/>
  <c r="AD102" i="3"/>
  <c r="AJ102" i="3" s="1"/>
  <c r="AC102" i="3"/>
  <c r="AI102" i="3" s="1"/>
  <c r="AE102" i="3"/>
  <c r="AF331" i="3"/>
  <c r="AD331" i="3"/>
  <c r="AJ331" i="3" s="1"/>
  <c r="AB331" i="3"/>
  <c r="AH331" i="3" s="1"/>
  <c r="AC331" i="3"/>
  <c r="AI331" i="3" s="1"/>
  <c r="AE331" i="3"/>
  <c r="AF98" i="3"/>
  <c r="AB98" i="3"/>
  <c r="AH98" i="3" s="1"/>
  <c r="AC98" i="3"/>
  <c r="AI98" i="3" s="1"/>
  <c r="AA98" i="3"/>
  <c r="AG98" i="3" s="1"/>
  <c r="AD98" i="3"/>
  <c r="AJ98" i="3" s="1"/>
  <c r="AE98" i="3"/>
  <c r="AF104" i="3"/>
  <c r="AE104" i="3"/>
  <c r="AD104" i="3"/>
  <c r="AJ104" i="3" s="1"/>
  <c r="AB104" i="3"/>
  <c r="AH104" i="3" s="1"/>
  <c r="AC104" i="3"/>
  <c r="AI104" i="3" s="1"/>
  <c r="AA104" i="3"/>
  <c r="AG104" i="3" s="1"/>
  <c r="AF285" i="3"/>
  <c r="AA285" i="3"/>
  <c r="AG285" i="3" s="1"/>
  <c r="AB285" i="3"/>
  <c r="AH285" i="3" s="1"/>
  <c r="AC285" i="3"/>
  <c r="AI285" i="3" s="1"/>
  <c r="AF23" i="3"/>
  <c r="AC23" i="3"/>
  <c r="AI23" i="3" s="1"/>
  <c r="AD23" i="3"/>
  <c r="AJ23" i="3" s="1"/>
  <c r="AE23" i="3"/>
  <c r="AA23" i="3"/>
  <c r="AG23" i="3" s="1"/>
  <c r="AB23" i="3"/>
  <c r="AH23" i="3" s="1"/>
  <c r="AF294" i="3"/>
  <c r="AB294" i="3"/>
  <c r="AH294" i="3" s="1"/>
  <c r="AC294" i="3"/>
  <c r="AI294" i="3" s="1"/>
  <c r="AE294" i="3"/>
  <c r="AA294" i="3"/>
  <c r="AG294" i="3" s="1"/>
  <c r="AD294" i="3"/>
  <c r="AJ294" i="3" s="1"/>
  <c r="AF312" i="3"/>
  <c r="AE312" i="3"/>
  <c r="AB312" i="3"/>
  <c r="AH312" i="3" s="1"/>
  <c r="AC312" i="3"/>
  <c r="AI312" i="3" s="1"/>
  <c r="AD312" i="3"/>
  <c r="AJ312" i="3" s="1"/>
  <c r="AF301" i="3"/>
  <c r="AB301" i="3"/>
  <c r="AH301" i="3" s="1"/>
  <c r="AA301" i="3"/>
  <c r="AG301" i="3" s="1"/>
  <c r="AC301" i="3"/>
  <c r="AI301" i="3" s="1"/>
  <c r="AD301" i="3"/>
  <c r="AJ301" i="3" s="1"/>
  <c r="AE301" i="3"/>
  <c r="AF250" i="3"/>
  <c r="AA250" i="3"/>
  <c r="AG250" i="3" s="1"/>
  <c r="AB250" i="3"/>
  <c r="AH250" i="3" s="1"/>
  <c r="AC250" i="3"/>
  <c r="AI250" i="3" s="1"/>
  <c r="AD250" i="3"/>
  <c r="AJ250" i="3" s="1"/>
  <c r="AF17" i="3"/>
  <c r="AA17" i="3"/>
  <c r="AG17" i="3" s="1"/>
  <c r="AC17" i="3"/>
  <c r="AI17" i="3" s="1"/>
  <c r="AB17" i="3"/>
  <c r="AH17" i="3" s="1"/>
  <c r="AF266" i="3"/>
  <c r="AA266" i="3"/>
  <c r="AG266" i="3" s="1"/>
  <c r="AB266" i="3"/>
  <c r="AH266" i="3" s="1"/>
  <c r="AE266" i="3"/>
  <c r="AF71" i="3"/>
  <c r="AD71" i="3"/>
  <c r="AJ71" i="3" s="1"/>
  <c r="AE71" i="3"/>
  <c r="AC71" i="3"/>
  <c r="AI71" i="3" s="1"/>
  <c r="AA71" i="3"/>
  <c r="AG71" i="3" s="1"/>
  <c r="AB71" i="3"/>
  <c r="AH71" i="3" s="1"/>
  <c r="AF18" i="3"/>
  <c r="AB18" i="3"/>
  <c r="AH18" i="3" s="1"/>
  <c r="AA18" i="3"/>
  <c r="AG18" i="3" s="1"/>
  <c r="AD18" i="3"/>
  <c r="AJ18" i="3" s="1"/>
  <c r="AE18" i="3"/>
  <c r="AC18" i="3"/>
  <c r="AI18" i="3" s="1"/>
  <c r="AF217" i="3"/>
  <c r="AJ217" i="3"/>
  <c r="AE217" i="3"/>
  <c r="AB217" i="3"/>
  <c r="AH217" i="3" s="1"/>
  <c r="AC217" i="3"/>
  <c r="AI217" i="3" s="1"/>
  <c r="AF96" i="3"/>
  <c r="AD96" i="3"/>
  <c r="AJ96" i="3" s="1"/>
  <c r="AA96" i="3"/>
  <c r="AG96" i="3" s="1"/>
  <c r="AB96" i="3"/>
  <c r="AH96" i="3" s="1"/>
  <c r="AE96" i="3"/>
  <c r="AC96" i="3"/>
  <c r="AI96" i="3" s="1"/>
  <c r="AF280" i="3"/>
  <c r="AJ280" i="3"/>
  <c r="AE280" i="3"/>
  <c r="AA280" i="3"/>
  <c r="AG280" i="3" s="1"/>
  <c r="AC280" i="3"/>
  <c r="AI280" i="3" s="1"/>
  <c r="AF110" i="3"/>
  <c r="AB110" i="3"/>
  <c r="AH110" i="3" s="1"/>
  <c r="AE110" i="3"/>
  <c r="AD110" i="3"/>
  <c r="AJ110" i="3" s="1"/>
  <c r="AC110" i="3"/>
  <c r="AI110" i="3" s="1"/>
  <c r="AA110" i="3"/>
  <c r="AG110" i="3" s="1"/>
  <c r="AF352" i="3"/>
  <c r="AB352" i="3"/>
  <c r="AH352" i="3" s="1"/>
  <c r="AA352" i="3"/>
  <c r="AG352" i="3" s="1"/>
  <c r="AD352" i="3"/>
  <c r="AJ352" i="3" s="1"/>
  <c r="AC352" i="3"/>
  <c r="AI352" i="3" s="1"/>
  <c r="AF122" i="3"/>
  <c r="AC122" i="3"/>
  <c r="AI122" i="3" s="1"/>
  <c r="AB122" i="3"/>
  <c r="AH122" i="3" s="1"/>
  <c r="AA122" i="3"/>
  <c r="AG122" i="3" s="1"/>
  <c r="AF112" i="3"/>
  <c r="AC112" i="3"/>
  <c r="AI112" i="3" s="1"/>
  <c r="AD112" i="3"/>
  <c r="AJ112" i="3" s="1"/>
  <c r="AE112" i="3"/>
  <c r="AB112" i="3"/>
  <c r="AH112" i="3" s="1"/>
  <c r="AF300" i="3"/>
  <c r="AC300" i="3"/>
  <c r="AI300" i="3" s="1"/>
  <c r="AB300" i="3"/>
  <c r="AH300" i="3" s="1"/>
  <c r="AA300" i="3"/>
  <c r="AG300" i="3" s="1"/>
  <c r="AD300" i="3"/>
  <c r="AJ300" i="3" s="1"/>
  <c r="AE300" i="3"/>
  <c r="AF281" i="3"/>
  <c r="AC281" i="3"/>
  <c r="AI281" i="3" s="1"/>
  <c r="AA281" i="3"/>
  <c r="AG281" i="3" s="1"/>
  <c r="AB281" i="3"/>
  <c r="AH281" i="3" s="1"/>
  <c r="AD281" i="3"/>
  <c r="AJ281" i="3" s="1"/>
  <c r="AE281" i="3"/>
  <c r="AF223" i="3"/>
  <c r="AA223" i="3"/>
  <c r="AG223" i="3" s="1"/>
  <c r="AC223" i="3"/>
  <c r="AI223" i="3" s="1"/>
  <c r="AB223" i="3"/>
  <c r="AH223" i="3" s="1"/>
  <c r="AD223" i="3"/>
  <c r="AJ223" i="3" s="1"/>
  <c r="AE223" i="3"/>
  <c r="AF366" i="3"/>
  <c r="AC366" i="3"/>
  <c r="AI366" i="3" s="1"/>
  <c r="AB366" i="3"/>
  <c r="AH366" i="3" s="1"/>
  <c r="AE366" i="3"/>
  <c r="AA366" i="3"/>
  <c r="AG366" i="3" s="1"/>
  <c r="AD366" i="3"/>
  <c r="AJ366" i="3" s="1"/>
  <c r="AF309" i="3"/>
  <c r="AA309" i="3"/>
  <c r="AG309" i="3" s="1"/>
  <c r="AB309" i="3"/>
  <c r="AH309" i="3" s="1"/>
  <c r="AC309" i="3"/>
  <c r="AI309" i="3" s="1"/>
  <c r="AE309" i="3"/>
  <c r="AD309" i="3"/>
  <c r="AJ309" i="3" s="1"/>
  <c r="AF290" i="3"/>
  <c r="AD290" i="3"/>
  <c r="AJ290" i="3" s="1"/>
  <c r="AA290" i="3"/>
  <c r="AG290" i="3" s="1"/>
  <c r="AB290" i="3"/>
  <c r="AH290" i="3" s="1"/>
  <c r="AD122" i="3"/>
  <c r="AJ122" i="3" s="1"/>
  <c r="AF210" i="3"/>
  <c r="AC210" i="3"/>
  <c r="AI210" i="3" s="1"/>
  <c r="AD210" i="3"/>
  <c r="AJ210" i="3" s="1"/>
  <c r="AE210" i="3"/>
  <c r="AB210" i="3"/>
  <c r="AH210" i="3" s="1"/>
  <c r="AA210" i="3"/>
  <c r="AG210" i="3" s="1"/>
  <c r="AF126" i="3"/>
  <c r="AA126" i="3"/>
  <c r="AG126" i="3" s="1"/>
  <c r="AD126" i="3"/>
  <c r="AJ126" i="3" s="1"/>
  <c r="AE126" i="3"/>
  <c r="AB126" i="3"/>
  <c r="AH126" i="3" s="1"/>
  <c r="AC126" i="3"/>
  <c r="AI126" i="3" s="1"/>
  <c r="AF234" i="3"/>
  <c r="AB234" i="3"/>
  <c r="AH234" i="3" s="1"/>
  <c r="AC234" i="3"/>
  <c r="AI234" i="3" s="1"/>
  <c r="AD234" i="3"/>
  <c r="AJ234" i="3" s="1"/>
  <c r="AE234" i="3"/>
  <c r="AA234" i="3"/>
  <c r="AG234" i="3" s="1"/>
  <c r="AF233" i="3"/>
  <c r="AA233" i="3"/>
  <c r="AG233" i="3" s="1"/>
  <c r="AC233" i="3"/>
  <c r="AI233" i="3" s="1"/>
  <c r="AD233" i="3"/>
  <c r="AJ233" i="3" s="1"/>
  <c r="AE233" i="3"/>
  <c r="AB233" i="3"/>
  <c r="AH233" i="3" s="1"/>
  <c r="AF52" i="3"/>
  <c r="AD52" i="3"/>
  <c r="AJ52" i="3" s="1"/>
  <c r="AA52" i="3"/>
  <c r="AG52" i="3" s="1"/>
  <c r="AB52" i="3"/>
  <c r="AH52" i="3" s="1"/>
  <c r="AC52" i="3"/>
  <c r="AI52" i="3" s="1"/>
  <c r="AE52" i="3"/>
  <c r="AF99" i="3"/>
  <c r="AD99" i="3"/>
  <c r="AJ99" i="3" s="1"/>
  <c r="AE99" i="3"/>
  <c r="AA99" i="3"/>
  <c r="AG99" i="3" s="1"/>
  <c r="AB99" i="3"/>
  <c r="AH99" i="3" s="1"/>
  <c r="AC99" i="3"/>
  <c r="AI99" i="3" s="1"/>
  <c r="AF119" i="3"/>
  <c r="AA119" i="3"/>
  <c r="AG119" i="3" s="1"/>
  <c r="AD119" i="3"/>
  <c r="AJ119" i="3" s="1"/>
  <c r="AC119" i="3"/>
  <c r="AI119" i="3" s="1"/>
  <c r="AB119" i="3"/>
  <c r="AH119" i="3" s="1"/>
  <c r="AE119" i="3"/>
  <c r="AF350" i="3"/>
  <c r="AC350" i="3"/>
  <c r="AI350" i="3" s="1"/>
  <c r="AE350" i="3"/>
  <c r="AA350" i="3"/>
  <c r="AG350" i="3" s="1"/>
  <c r="AD350" i="3"/>
  <c r="AJ350" i="3" s="1"/>
  <c r="AB350" i="3"/>
  <c r="AH350" i="3" s="1"/>
  <c r="AF152" i="3"/>
  <c r="AD152" i="3"/>
  <c r="AJ152" i="3" s="1"/>
  <c r="AA152" i="3"/>
  <c r="AG152" i="3" s="1"/>
  <c r="AC152" i="3"/>
  <c r="AI152" i="3" s="1"/>
  <c r="AE152" i="3"/>
  <c r="AF291" i="3"/>
  <c r="AF61" i="3"/>
  <c r="AA61" i="3"/>
  <c r="AG61" i="3" s="1"/>
  <c r="AB61" i="3"/>
  <c r="AH61" i="3" s="1"/>
  <c r="AE61" i="3"/>
  <c r="AD61" i="3"/>
  <c r="AJ61" i="3" s="1"/>
  <c r="AF151" i="3"/>
  <c r="AB151" i="3"/>
  <c r="AH151" i="3" s="1"/>
  <c r="AC151" i="3"/>
  <c r="AI151" i="3" s="1"/>
  <c r="AE151" i="3"/>
  <c r="AD151" i="3"/>
  <c r="AJ151" i="3" s="1"/>
  <c r="AA151" i="3"/>
  <c r="AG151" i="3" s="1"/>
  <c r="AA312" i="3"/>
  <c r="AG312" i="3" s="1"/>
  <c r="AF171" i="3"/>
  <c r="AA171" i="3"/>
  <c r="AG171" i="3" s="1"/>
  <c r="AB171" i="3"/>
  <c r="AH171" i="3" s="1"/>
  <c r="AC171" i="3"/>
  <c r="AI171" i="3" s="1"/>
  <c r="AD171" i="3"/>
  <c r="AJ171" i="3" s="1"/>
  <c r="AE171" i="3"/>
  <c r="AF332" i="3"/>
  <c r="AA332" i="3"/>
  <c r="AG332" i="3" s="1"/>
  <c r="AB332" i="3"/>
  <c r="AH332" i="3" s="1"/>
  <c r="AC332" i="3"/>
  <c r="AI332" i="3" s="1"/>
  <c r="AD332" i="3"/>
  <c r="AJ332" i="3" s="1"/>
  <c r="AE332" i="3"/>
  <c r="AF330" i="3"/>
  <c r="AD330" i="3"/>
  <c r="AJ330" i="3" s="1"/>
  <c r="AE330" i="3"/>
  <c r="AA330" i="3"/>
  <c r="AG330" i="3" s="1"/>
  <c r="AB330" i="3"/>
  <c r="AH330" i="3" s="1"/>
  <c r="AC330" i="3"/>
  <c r="AI330" i="3" s="1"/>
  <c r="AF73" i="3"/>
  <c r="AC73" i="3"/>
  <c r="AI73" i="3" s="1"/>
  <c r="AD73" i="3"/>
  <c r="AJ73" i="3" s="1"/>
  <c r="AA73" i="3"/>
  <c r="AG73" i="3" s="1"/>
  <c r="AE73" i="3"/>
  <c r="AF65" i="3"/>
  <c r="AD65" i="3"/>
  <c r="AJ65" i="3" s="1"/>
  <c r="AA65" i="3"/>
  <c r="AG65" i="3" s="1"/>
  <c r="AB65" i="3"/>
  <c r="AH65" i="3" s="1"/>
  <c r="AE65" i="3"/>
  <c r="AC65" i="3"/>
  <c r="AI65" i="3" s="1"/>
  <c r="AF148" i="3"/>
  <c r="AA148" i="3"/>
  <c r="AG148" i="3" s="1"/>
  <c r="AB148" i="3"/>
  <c r="AH148" i="3" s="1"/>
  <c r="AE148" i="3"/>
  <c r="AD148" i="3"/>
  <c r="AJ148" i="3" s="1"/>
  <c r="AF154" i="3"/>
  <c r="AC154" i="3"/>
  <c r="AI154" i="3" s="1"/>
  <c r="AB154" i="3"/>
  <c r="AH154" i="3" s="1"/>
  <c r="AD154" i="3"/>
  <c r="AJ154" i="3" s="1"/>
  <c r="AE154" i="3"/>
  <c r="AA154" i="3"/>
  <c r="AG154" i="3" s="1"/>
  <c r="AF362" i="3"/>
  <c r="AA362" i="3"/>
  <c r="AG362" i="3" s="1"/>
  <c r="AD362" i="3"/>
  <c r="AJ362" i="3" s="1"/>
  <c r="AB362" i="3"/>
  <c r="AH362" i="3" s="1"/>
  <c r="AC362" i="3"/>
  <c r="AI362" i="3" s="1"/>
  <c r="AE362" i="3"/>
  <c r="AF212" i="3"/>
  <c r="AA212" i="3"/>
  <c r="AG212" i="3" s="1"/>
  <c r="AB212" i="3"/>
  <c r="AH212" i="3" s="1"/>
  <c r="AC212" i="3"/>
  <c r="AI212" i="3" s="1"/>
  <c r="AD212" i="3"/>
  <c r="AJ212" i="3" s="1"/>
  <c r="AE212" i="3"/>
  <c r="AF186" i="3"/>
  <c r="AE186" i="3"/>
  <c r="AA186" i="3"/>
  <c r="AG186" i="3" s="1"/>
  <c r="AB186" i="3"/>
  <c r="AH186" i="3" s="1"/>
  <c r="AC186" i="3"/>
  <c r="AI186" i="3" s="1"/>
  <c r="AD186" i="3"/>
  <c r="AJ186" i="3" s="1"/>
  <c r="AF14" i="3"/>
  <c r="AA14" i="3"/>
  <c r="AG14" i="3" s="1"/>
  <c r="AB14" i="3"/>
  <c r="AH14" i="3" s="1"/>
  <c r="AC14" i="3"/>
  <c r="AI14" i="3" s="1"/>
  <c r="AD14" i="3"/>
  <c r="AJ14" i="3" s="1"/>
  <c r="AE14" i="3"/>
  <c r="AF159" i="3"/>
  <c r="AD159" i="3"/>
  <c r="AJ159" i="3" s="1"/>
  <c r="AE159" i="3"/>
  <c r="AB159" i="3"/>
  <c r="AH159" i="3" s="1"/>
  <c r="AC159" i="3"/>
  <c r="AI159" i="3" s="1"/>
  <c r="AA159" i="3"/>
  <c r="AG159" i="3" s="1"/>
  <c r="AA331" i="3"/>
  <c r="AG331" i="3" s="1"/>
  <c r="AF44" i="3"/>
  <c r="AA44" i="3"/>
  <c r="AG44" i="3" s="1"/>
  <c r="AD44" i="3"/>
  <c r="AJ44" i="3" s="1"/>
  <c r="AE44" i="3"/>
  <c r="AF242" i="3"/>
  <c r="AA242" i="3"/>
  <c r="AG242" i="3" s="1"/>
  <c r="AD242" i="3"/>
  <c r="AJ242" i="3" s="1"/>
  <c r="AB242" i="3"/>
  <c r="AH242" i="3" s="1"/>
  <c r="AC242" i="3"/>
  <c r="AI242" i="3" s="1"/>
  <c r="AF237" i="3"/>
  <c r="AB237" i="3"/>
  <c r="AH237" i="3" s="1"/>
  <c r="AF49" i="3"/>
  <c r="AF367" i="3"/>
  <c r="AF113" i="3"/>
  <c r="AF288" i="3"/>
  <c r="AG288" i="3"/>
  <c r="AF324" i="3"/>
  <c r="AF381" i="3"/>
  <c r="AJ381" i="3"/>
  <c r="AF308" i="3"/>
  <c r="AB308" i="3"/>
  <c r="AH308" i="3" s="1"/>
  <c r="AD308" i="3"/>
  <c r="AJ308" i="3" s="1"/>
  <c r="AF15" i="3"/>
  <c r="AD15" i="3"/>
  <c r="AJ15" i="3" s="1"/>
  <c r="AE15" i="3"/>
  <c r="AC15" i="3"/>
  <c r="AI15" i="3" s="1"/>
  <c r="AF261" i="3"/>
  <c r="AA261" i="3"/>
  <c r="AG261" i="3" s="1"/>
  <c r="AB261" i="3"/>
  <c r="AH261" i="3" s="1"/>
  <c r="AC261" i="3"/>
  <c r="AI261" i="3" s="1"/>
  <c r="AF256" i="3"/>
  <c r="AF86" i="3"/>
  <c r="AI86" i="3"/>
  <c r="AF364" i="3"/>
  <c r="AB364" i="3"/>
  <c r="AH364" i="3" s="1"/>
  <c r="AC364" i="3"/>
  <c r="AI364" i="3" s="1"/>
  <c r="AB267" i="3"/>
  <c r="AH267" i="3" s="1"/>
  <c r="AE302" i="3"/>
  <c r="AC125" i="3"/>
  <c r="AI125" i="3" s="1"/>
  <c r="AB344" i="3"/>
  <c r="AH344" i="3" s="1"/>
  <c r="AC371" i="3"/>
  <c r="AI371" i="3" s="1"/>
  <c r="AB44" i="3"/>
  <c r="AH44" i="3" s="1"/>
  <c r="AF140" i="3"/>
  <c r="AA140" i="3"/>
  <c r="AG140" i="3" s="1"/>
  <c r="AD140" i="3"/>
  <c r="AJ140" i="3" s="1"/>
  <c r="AB140" i="3"/>
  <c r="AH140" i="3" s="1"/>
  <c r="AC140" i="3"/>
  <c r="AI140" i="3" s="1"/>
  <c r="AE140" i="3"/>
  <c r="AF286" i="3"/>
  <c r="AH286" i="3"/>
  <c r="AG286" i="3"/>
  <c r="AF259" i="3"/>
  <c r="AE259" i="3"/>
  <c r="AF138" i="3"/>
  <c r="AG138" i="3"/>
  <c r="AF369" i="3"/>
  <c r="AB369" i="3"/>
  <c r="AH369" i="3" s="1"/>
  <c r="AE369" i="3"/>
  <c r="AD369" i="3"/>
  <c r="AJ369" i="3" s="1"/>
  <c r="AA369" i="3"/>
  <c r="AG369" i="3" s="1"/>
  <c r="AC369" i="3"/>
  <c r="AI369" i="3" s="1"/>
  <c r="AF188" i="3"/>
  <c r="AF16" i="3"/>
  <c r="AF270" i="3"/>
  <c r="AF348" i="3"/>
  <c r="AF357" i="3"/>
  <c r="AC357" i="3"/>
  <c r="AI357" i="3" s="1"/>
  <c r="AE357" i="3"/>
  <c r="AA357" i="3"/>
  <c r="AG357" i="3" s="1"/>
  <c r="AF131" i="3"/>
  <c r="AA131" i="3"/>
  <c r="AG131" i="3" s="1"/>
  <c r="AD131" i="3"/>
  <c r="AJ131" i="3" s="1"/>
  <c r="AB131" i="3"/>
  <c r="AH131" i="3" s="1"/>
  <c r="AC131" i="3"/>
  <c r="AI131" i="3" s="1"/>
  <c r="AE131" i="3"/>
  <c r="AF336" i="3"/>
  <c r="AF39" i="3"/>
  <c r="AC39" i="3"/>
  <c r="AI39" i="3" s="1"/>
  <c r="AF235" i="3"/>
  <c r="AF372" i="3"/>
  <c r="AC31" i="3"/>
  <c r="AI31" i="3" s="1"/>
  <c r="AC77" i="3"/>
  <c r="AI77" i="3" s="1"/>
  <c r="AA318" i="3"/>
  <c r="AG318" i="3" s="1"/>
  <c r="AA146" i="3"/>
  <c r="AG146" i="3" s="1"/>
  <c r="AA16" i="3"/>
  <c r="AG16" i="3" s="1"/>
  <c r="AA244" i="3"/>
  <c r="AG244" i="3" s="1"/>
  <c r="AC42" i="3"/>
  <c r="AI42" i="3" s="1"/>
  <c r="AA277" i="3"/>
  <c r="AG277" i="3" s="1"/>
  <c r="AC26" i="3"/>
  <c r="AI26" i="3" s="1"/>
  <c r="AC376" i="3"/>
  <c r="AI376" i="3" s="1"/>
  <c r="AA371" i="3"/>
  <c r="AG371" i="3" s="1"/>
  <c r="AB128" i="3"/>
  <c r="AH128" i="3" s="1"/>
  <c r="AF114" i="3"/>
  <c r="AF11" i="3"/>
  <c r="AA11" i="3"/>
  <c r="AG11" i="3" s="1"/>
  <c r="AD11" i="3"/>
  <c r="AJ11" i="3" s="1"/>
  <c r="AB11" i="3"/>
  <c r="AH11" i="3" s="1"/>
  <c r="AC11" i="3"/>
  <c r="AI11" i="3" s="1"/>
  <c r="AE11" i="3"/>
  <c r="AC378" i="3"/>
  <c r="AI378" i="3" s="1"/>
  <c r="AF215" i="3"/>
  <c r="AI215" i="3"/>
  <c r="AF81" i="3"/>
  <c r="AD355" i="3"/>
  <c r="AJ355" i="3" s="1"/>
  <c r="AC194" i="3"/>
  <c r="AI194" i="3" s="1"/>
  <c r="AF5" i="3"/>
  <c r="AE136" i="3"/>
  <c r="AF334" i="3"/>
  <c r="AF245" i="3"/>
  <c r="AI245" i="3"/>
  <c r="AF87" i="3"/>
  <c r="AE87" i="3"/>
  <c r="AF313" i="3"/>
  <c r="AC313" i="3"/>
  <c r="AI313" i="3" s="1"/>
  <c r="AA313" i="3"/>
  <c r="AG313" i="3" s="1"/>
  <c r="AB313" i="3"/>
  <c r="AH313" i="3" s="1"/>
  <c r="AD313" i="3"/>
  <c r="AJ313" i="3" s="1"/>
  <c r="AE313" i="3"/>
  <c r="AF198" i="3"/>
  <c r="AF176" i="3"/>
  <c r="AH176" i="3"/>
  <c r="AA176" i="3"/>
  <c r="AG176" i="3" s="1"/>
  <c r="AF92" i="3"/>
  <c r="AC92" i="3"/>
  <c r="AI92" i="3" s="1"/>
  <c r="AB92" i="3"/>
  <c r="AH92" i="3" s="1"/>
  <c r="AA92" i="3"/>
  <c r="AG92" i="3" s="1"/>
  <c r="AD92" i="3"/>
  <c r="AJ92" i="3" s="1"/>
  <c r="AF75" i="3"/>
  <c r="AE75" i="3"/>
  <c r="AC75" i="3"/>
  <c r="AI75" i="3" s="1"/>
  <c r="AB75" i="3"/>
  <c r="AH75" i="3" s="1"/>
  <c r="AA75" i="3"/>
  <c r="AG75" i="3" s="1"/>
  <c r="AD75" i="3"/>
  <c r="AJ75" i="3" s="1"/>
  <c r="AF269" i="3"/>
  <c r="AG269" i="3"/>
  <c r="AF321" i="3"/>
  <c r="AA321" i="3"/>
  <c r="AG321" i="3" s="1"/>
  <c r="AB321" i="3"/>
  <c r="AH321" i="3" s="1"/>
  <c r="AC321" i="3"/>
  <c r="AI321" i="3" s="1"/>
  <c r="AD321" i="3"/>
  <c r="AJ321" i="3" s="1"/>
  <c r="AE321" i="3"/>
  <c r="AD31" i="3"/>
  <c r="AJ31" i="3" s="1"/>
  <c r="AB355" i="3"/>
  <c r="AH355" i="3" s="1"/>
  <c r="AD72" i="3"/>
  <c r="AJ72" i="3" s="1"/>
  <c r="AB137" i="3"/>
  <c r="AH137" i="3" s="1"/>
  <c r="AB29" i="3"/>
  <c r="AH29" i="3" s="1"/>
  <c r="AD222" i="3"/>
  <c r="AJ222" i="3" s="1"/>
  <c r="AB13" i="3"/>
  <c r="AH13" i="3" s="1"/>
  <c r="AE146" i="3"/>
  <c r="AB279" i="3"/>
  <c r="AH279" i="3" s="1"/>
  <c r="AD336" i="3"/>
  <c r="AJ336" i="3" s="1"/>
  <c r="AA113" i="3"/>
  <c r="AG113" i="3" s="1"/>
  <c r="AC237" i="3"/>
  <c r="AI237" i="3" s="1"/>
  <c r="AD191" i="3"/>
  <c r="AJ191" i="3" s="1"/>
  <c r="AD106" i="3"/>
  <c r="AJ106" i="3" s="1"/>
  <c r="AB204" i="3"/>
  <c r="AH204" i="3" s="1"/>
  <c r="AB158" i="3"/>
  <c r="AH158" i="3" s="1"/>
  <c r="AA254" i="3"/>
  <c r="AG254" i="3" s="1"/>
  <c r="AA364" i="3"/>
  <c r="AG364" i="3" s="1"/>
  <c r="AF371" i="3"/>
  <c r="AF63" i="3"/>
  <c r="AF21" i="3"/>
  <c r="AA21" i="3"/>
  <c r="AG21" i="3" s="1"/>
  <c r="AA355" i="3"/>
  <c r="AG355" i="3" s="1"/>
  <c r="AF173" i="3"/>
  <c r="AF244" i="3"/>
  <c r="AF341" i="3"/>
  <c r="AG341" i="3"/>
  <c r="AF156" i="3"/>
  <c r="AD156" i="3"/>
  <c r="AJ156" i="3" s="1"/>
  <c r="AE156" i="3"/>
  <c r="AA156" i="3"/>
  <c r="AG156" i="3" s="1"/>
  <c r="AC156" i="3"/>
  <c r="AI156" i="3" s="1"/>
  <c r="AF62" i="3"/>
  <c r="AF42" i="3"/>
  <c r="AG42" i="3"/>
  <c r="AF25" i="3"/>
  <c r="AF221" i="3"/>
  <c r="AF218" i="3"/>
  <c r="AF107" i="3"/>
  <c r="AB107" i="3"/>
  <c r="AH107" i="3" s="1"/>
  <c r="AA107" i="3"/>
  <c r="AG107" i="3" s="1"/>
  <c r="AE107" i="3"/>
  <c r="AC107" i="3"/>
  <c r="AI107" i="3" s="1"/>
  <c r="AD107" i="3"/>
  <c r="AJ107" i="3" s="1"/>
  <c r="AF43" i="3"/>
  <c r="AC43" i="3"/>
  <c r="AI43" i="3" s="1"/>
  <c r="AD43" i="3"/>
  <c r="AJ43" i="3" s="1"/>
  <c r="AA43" i="3"/>
  <c r="AG43" i="3" s="1"/>
  <c r="AB43" i="3"/>
  <c r="AH43" i="3" s="1"/>
  <c r="AE43" i="3"/>
  <c r="AF251" i="3"/>
  <c r="AE94" i="3"/>
  <c r="AC72" i="3"/>
  <c r="AI72" i="3" s="1"/>
  <c r="AE137" i="3"/>
  <c r="AC176" i="3"/>
  <c r="AI176" i="3" s="1"/>
  <c r="AA205" i="3"/>
  <c r="AG205" i="3" s="1"/>
  <c r="AA379" i="3"/>
  <c r="AG379" i="3" s="1"/>
  <c r="AB255" i="3"/>
  <c r="AH255" i="3" s="1"/>
  <c r="AA256" i="3"/>
  <c r="AG256" i="3" s="1"/>
  <c r="AC191" i="3"/>
  <c r="AI191" i="3" s="1"/>
  <c r="AB106" i="3"/>
  <c r="AH106" i="3" s="1"/>
  <c r="AA381" i="3"/>
  <c r="AG381" i="3" s="1"/>
  <c r="AB31" i="3"/>
  <c r="AH31" i="3" s="1"/>
  <c r="AD270" i="3"/>
  <c r="AJ270" i="3" s="1"/>
  <c r="AA231" i="3"/>
  <c r="AG231" i="3" s="1"/>
  <c r="AB288" i="3"/>
  <c r="AH288" i="3" s="1"/>
  <c r="AB182" i="3"/>
  <c r="AH182" i="3" s="1"/>
  <c r="AD357" i="3"/>
  <c r="AJ357" i="3" s="1"/>
  <c r="AF322" i="3"/>
  <c r="AC322" i="3"/>
  <c r="AI322" i="3" s="1"/>
  <c r="AA322" i="3"/>
  <c r="AG322" i="3" s="1"/>
  <c r="AD322" i="3"/>
  <c r="AJ322" i="3" s="1"/>
  <c r="AE322" i="3"/>
  <c r="AF298" i="3"/>
  <c r="AJ298" i="3"/>
  <c r="AA298" i="3"/>
  <c r="AG298" i="3" s="1"/>
  <c r="AB298" i="3"/>
  <c r="AH298" i="3" s="1"/>
  <c r="AF219" i="3"/>
  <c r="AA219" i="3"/>
  <c r="AG219" i="3" s="1"/>
  <c r="AD219" i="3"/>
  <c r="AJ219" i="3" s="1"/>
  <c r="AB219" i="3"/>
  <c r="AH219" i="3" s="1"/>
  <c r="AC219" i="3"/>
  <c r="AI219" i="3" s="1"/>
  <c r="AE219" i="3"/>
  <c r="AF354" i="3"/>
  <c r="AD354" i="3"/>
  <c r="AJ354" i="3" s="1"/>
  <c r="AA354" i="3"/>
  <c r="AG354" i="3" s="1"/>
  <c r="AB354" i="3"/>
  <c r="AH354" i="3" s="1"/>
  <c r="AC354" i="3"/>
  <c r="AI354" i="3" s="1"/>
  <c r="AE354" i="3"/>
  <c r="AF260" i="3"/>
  <c r="AF163" i="3"/>
  <c r="AB163" i="3"/>
  <c r="AH163" i="3" s="1"/>
  <c r="AA163" i="3"/>
  <c r="AG163" i="3" s="1"/>
  <c r="AE163" i="3"/>
  <c r="AC163" i="3"/>
  <c r="AI163" i="3" s="1"/>
  <c r="AD163" i="3"/>
  <c r="AJ163" i="3" s="1"/>
  <c r="AF190" i="3"/>
  <c r="AF95" i="3"/>
  <c r="AB95" i="3"/>
  <c r="AH95" i="3" s="1"/>
  <c r="AD95" i="3"/>
  <c r="AJ95" i="3" s="1"/>
  <c r="AA95" i="3"/>
  <c r="AG95" i="3" s="1"/>
  <c r="AC95" i="3"/>
  <c r="AI95" i="3" s="1"/>
  <c r="AF56" i="3"/>
  <c r="AH56" i="3"/>
  <c r="AF35" i="3"/>
  <c r="AB35" i="3"/>
  <c r="AH35" i="3" s="1"/>
  <c r="AC35" i="3"/>
  <c r="AI35" i="3" s="1"/>
  <c r="AA35" i="3"/>
  <c r="AG35" i="3" s="1"/>
  <c r="AD35" i="3"/>
  <c r="AJ35" i="3" s="1"/>
  <c r="AE35" i="3"/>
  <c r="AF275" i="3"/>
  <c r="AF247" i="3"/>
  <c r="AF345" i="3"/>
  <c r="AB345" i="3"/>
  <c r="AH345" i="3" s="1"/>
  <c r="AA345" i="3"/>
  <c r="AG345" i="3" s="1"/>
  <c r="AE345" i="3"/>
  <c r="AD345" i="3"/>
  <c r="AJ345" i="3" s="1"/>
  <c r="AC345" i="3"/>
  <c r="AI345" i="3" s="1"/>
  <c r="AF202" i="3"/>
  <c r="AF167" i="3"/>
  <c r="AF307" i="3"/>
  <c r="AC307" i="3"/>
  <c r="AI307" i="3" s="1"/>
  <c r="AE307" i="3"/>
  <c r="AC87" i="3"/>
  <c r="AI87" i="3" s="1"/>
  <c r="AB72" i="3"/>
  <c r="AH72" i="3" s="1"/>
  <c r="AD275" i="3"/>
  <c r="AJ275" i="3" s="1"/>
  <c r="AD235" i="3"/>
  <c r="AJ235" i="3" s="1"/>
  <c r="AE138" i="3"/>
  <c r="AA259" i="3"/>
  <c r="AG259" i="3" s="1"/>
  <c r="AD194" i="3"/>
  <c r="AJ194" i="3" s="1"/>
  <c r="AE5" i="3"/>
  <c r="AE129" i="3"/>
  <c r="AA270" i="3"/>
  <c r="AG270" i="3" s="1"/>
  <c r="AB133" i="3"/>
  <c r="AH133" i="3" s="1"/>
  <c r="AC279" i="3"/>
  <c r="AI279" i="3" s="1"/>
  <c r="AE34" i="3"/>
  <c r="AC106" i="3"/>
  <c r="AI106" i="3" s="1"/>
  <c r="AA278" i="3"/>
  <c r="AG278" i="3" s="1"/>
  <c r="AA247" i="3"/>
  <c r="AG247" i="3" s="1"/>
  <c r="AB349" i="3"/>
  <c r="AH349" i="3" s="1"/>
  <c r="AA245" i="3"/>
  <c r="AG245" i="3" s="1"/>
  <c r="AF267" i="3"/>
  <c r="AA2" i="3"/>
  <c r="AG2" i="3" s="1"/>
  <c r="AC2" i="3"/>
  <c r="AI2" i="3" s="1"/>
  <c r="AE2" i="3"/>
  <c r="AB2" i="3"/>
  <c r="AH2" i="3" s="1"/>
  <c r="AF196" i="3"/>
  <c r="AA196" i="3"/>
  <c r="AG196" i="3" s="1"/>
  <c r="AB196" i="3"/>
  <c r="AH196" i="3" s="1"/>
  <c r="AC196" i="3"/>
  <c r="AI196" i="3" s="1"/>
  <c r="AD196" i="3"/>
  <c r="AJ196" i="3" s="1"/>
  <c r="AF380" i="3"/>
  <c r="AF80" i="3"/>
  <c r="AG80" i="3"/>
  <c r="AF158" i="3"/>
  <c r="AF66" i="3"/>
  <c r="AF282" i="3"/>
  <c r="AA282" i="3"/>
  <c r="AG282" i="3" s="1"/>
  <c r="AD282" i="3"/>
  <c r="AJ282" i="3" s="1"/>
  <c r="AB282" i="3"/>
  <c r="AH282" i="3" s="1"/>
  <c r="AC282" i="3"/>
  <c r="AI282" i="3" s="1"/>
  <c r="AE282" i="3"/>
  <c r="AF315" i="3"/>
  <c r="AF317" i="3"/>
  <c r="AA317" i="3"/>
  <c r="AG317" i="3" s="1"/>
  <c r="AF255" i="3"/>
  <c r="AJ255" i="3"/>
  <c r="AF191" i="3"/>
  <c r="AH191" i="3"/>
  <c r="AF9" i="3"/>
  <c r="AE173" i="3"/>
  <c r="AC231" i="3"/>
  <c r="AI231" i="3" s="1"/>
  <c r="AE72" i="3"/>
  <c r="AE153" i="3"/>
  <c r="AD190" i="3"/>
  <c r="AJ190" i="3" s="1"/>
  <c r="AC275" i="3"/>
  <c r="AI275" i="3" s="1"/>
  <c r="AE311" i="3"/>
  <c r="AC177" i="3"/>
  <c r="AI177" i="3" s="1"/>
  <c r="AA255" i="3"/>
  <c r="AG255" i="3" s="1"/>
  <c r="AD9" i="3"/>
  <c r="AJ9" i="3" s="1"/>
  <c r="AD5" i="3"/>
  <c r="AJ5" i="3" s="1"/>
  <c r="AE16" i="3"/>
  <c r="AB278" i="3"/>
  <c r="AH278" i="3" s="1"/>
  <c r="AE260" i="3"/>
  <c r="AE207" i="3"/>
  <c r="AB34" i="3"/>
  <c r="AH34" i="3" s="1"/>
  <c r="AA106" i="3"/>
  <c r="AG106" i="3" s="1"/>
  <c r="AB202" i="3"/>
  <c r="AH202" i="3" s="1"/>
  <c r="AE304" i="3"/>
  <c r="AC308" i="3"/>
  <c r="AI308" i="3" s="1"/>
  <c r="AE242" i="3"/>
  <c r="AB21" i="3"/>
  <c r="AH21" i="3" s="1"/>
  <c r="AE308" i="3"/>
  <c r="AE255" i="3"/>
  <c r="AA336" i="3"/>
  <c r="AG336" i="3" s="1"/>
  <c r="AC381" i="3"/>
  <c r="AI381" i="3" s="1"/>
  <c r="AB260" i="3"/>
  <c r="AH260" i="3" s="1"/>
  <c r="AF340" i="3"/>
  <c r="AF29" i="3"/>
  <c r="AG29" i="3"/>
  <c r="AE29" i="3"/>
  <c r="AF74" i="3"/>
  <c r="AH74" i="3"/>
  <c r="AF111" i="3"/>
  <c r="AI111" i="3"/>
  <c r="AE111" i="3"/>
  <c r="AF166" i="3"/>
  <c r="AH166" i="3"/>
  <c r="AF129" i="3"/>
  <c r="AF365" i="3"/>
  <c r="AA365" i="3"/>
  <c r="AG365" i="3" s="1"/>
  <c r="AB365" i="3"/>
  <c r="AH365" i="3" s="1"/>
  <c r="AF353" i="3"/>
  <c r="AA353" i="3"/>
  <c r="AG353" i="3" s="1"/>
  <c r="AB353" i="3"/>
  <c r="AH353" i="3" s="1"/>
  <c r="AC353" i="3"/>
  <c r="AI353" i="3" s="1"/>
  <c r="AD353" i="3"/>
  <c r="AJ353" i="3" s="1"/>
  <c r="AE353" i="3"/>
  <c r="AF325" i="3"/>
  <c r="AH325" i="3"/>
  <c r="AF326" i="3"/>
  <c r="AJ326" i="3"/>
  <c r="AF50" i="3"/>
  <c r="AE298" i="3"/>
  <c r="AC173" i="3"/>
  <c r="AI173" i="3" s="1"/>
  <c r="AB275" i="3"/>
  <c r="AH275" i="3" s="1"/>
  <c r="AD21" i="3"/>
  <c r="AJ21" i="3" s="1"/>
  <c r="AD288" i="3"/>
  <c r="AJ288" i="3" s="1"/>
  <c r="AB16" i="3"/>
  <c r="AH16" i="3" s="1"/>
  <c r="AD325" i="3"/>
  <c r="AJ325" i="3" s="1"/>
  <c r="AE326" i="3"/>
  <c r="AC81" i="3"/>
  <c r="AI81" i="3" s="1"/>
  <c r="AC5" i="3"/>
  <c r="AI5" i="3" s="1"/>
  <c r="AA194" i="3"/>
  <c r="AG194" i="3" s="1"/>
  <c r="AE177" i="3"/>
  <c r="AE182" i="3"/>
  <c r="AD341" i="3"/>
  <c r="AJ341" i="3" s="1"/>
  <c r="AA325" i="3"/>
  <c r="AG325" i="3" s="1"/>
  <c r="AC270" i="3"/>
  <c r="AI270" i="3" s="1"/>
  <c r="AE130" i="3"/>
  <c r="AC202" i="3"/>
  <c r="AI202" i="3" s="1"/>
  <c r="AD304" i="3"/>
  <c r="AJ304" i="3" s="1"/>
  <c r="AC317" i="3"/>
  <c r="AI317" i="3" s="1"/>
  <c r="AA54" i="3"/>
  <c r="AG54" i="3" s="1"/>
  <c r="AE364" i="3"/>
  <c r="AB87" i="3"/>
  <c r="AH87" i="3" s="1"/>
  <c r="AA360" i="3"/>
  <c r="AG360" i="3" s="1"/>
  <c r="AF172" i="3"/>
  <c r="AC172" i="3"/>
  <c r="AI172" i="3" s="1"/>
  <c r="AA172" i="3"/>
  <c r="AG172" i="3" s="1"/>
  <c r="AD172" i="3"/>
  <c r="AJ172" i="3" s="1"/>
  <c r="AF343" i="3"/>
  <c r="AG343" i="3"/>
  <c r="AB343" i="3"/>
  <c r="AH343" i="3" s="1"/>
  <c r="AF306" i="3"/>
  <c r="AB306" i="3"/>
  <c r="AH306" i="3" s="1"/>
  <c r="AC306" i="3"/>
  <c r="AI306" i="3" s="1"/>
  <c r="AD306" i="3"/>
  <c r="AJ306" i="3" s="1"/>
  <c r="AE306" i="3"/>
  <c r="AA306" i="3"/>
  <c r="AG306" i="3" s="1"/>
  <c r="AF51" i="3"/>
  <c r="AC51" i="3"/>
  <c r="AI51" i="3" s="1"/>
  <c r="AD51" i="3"/>
  <c r="AJ51" i="3" s="1"/>
  <c r="AE51" i="3"/>
  <c r="AB51" i="3"/>
  <c r="AH51" i="3" s="1"/>
  <c r="AA51" i="3"/>
  <c r="AG51" i="3" s="1"/>
  <c r="AF76" i="3"/>
  <c r="AC76" i="3"/>
  <c r="AI76" i="3" s="1"/>
  <c r="AA76" i="3"/>
  <c r="AG76" i="3" s="1"/>
  <c r="AB76" i="3"/>
  <c r="AH76" i="3" s="1"/>
  <c r="AD76" i="3"/>
  <c r="AJ76" i="3" s="1"/>
  <c r="AF26" i="3"/>
  <c r="AD29" i="3"/>
  <c r="AJ29" i="3" s="1"/>
  <c r="AE194" i="3"/>
  <c r="AF246" i="3"/>
  <c r="AF169" i="3"/>
  <c r="AA308" i="3"/>
  <c r="AG308" i="3" s="1"/>
  <c r="AF28" i="3"/>
  <c r="AD28" i="3"/>
  <c r="AJ28" i="3" s="1"/>
  <c r="AA28" i="3"/>
  <c r="AG28" i="3" s="1"/>
  <c r="AF204" i="3"/>
  <c r="AJ204" i="3"/>
  <c r="AA204" i="3"/>
  <c r="AG204" i="3" s="1"/>
  <c r="AF94" i="3"/>
  <c r="AH94" i="3"/>
  <c r="AF10" i="3"/>
  <c r="AH10" i="3"/>
  <c r="AF268" i="3"/>
  <c r="AF40" i="3"/>
  <c r="AF224" i="3"/>
  <c r="AI224" i="3"/>
  <c r="AE348" i="3"/>
  <c r="AE40" i="3"/>
  <c r="AB5" i="3"/>
  <c r="AH5" i="3" s="1"/>
  <c r="AD182" i="3"/>
  <c r="AJ182" i="3" s="1"/>
  <c r="AA70" i="3"/>
  <c r="AG70" i="3" s="1"/>
  <c r="AA326" i="3"/>
  <c r="AG326" i="3" s="1"/>
  <c r="AF88" i="3"/>
  <c r="AI88" i="3"/>
  <c r="AF283" i="3"/>
  <c r="AA283" i="3"/>
  <c r="AG283" i="3" s="1"/>
  <c r="AB283" i="3"/>
  <c r="AH283" i="3" s="1"/>
  <c r="AE283" i="3"/>
  <c r="AF121" i="3"/>
  <c r="AD121" i="3"/>
  <c r="AJ121" i="3" s="1"/>
  <c r="AF79" i="3"/>
  <c r="AB79" i="3"/>
  <c r="AH79" i="3" s="1"/>
  <c r="AD79" i="3"/>
  <c r="AJ79" i="3" s="1"/>
  <c r="AA79" i="3"/>
  <c r="AG79" i="3" s="1"/>
  <c r="AC79" i="3"/>
  <c r="AI79" i="3" s="1"/>
  <c r="AF38" i="3"/>
  <c r="AF120" i="3"/>
  <c r="AF351" i="3"/>
  <c r="AF47" i="3"/>
  <c r="AB47" i="3"/>
  <c r="AH47" i="3" s="1"/>
  <c r="AD47" i="3"/>
  <c r="AJ47" i="3" s="1"/>
  <c r="AE47" i="3"/>
  <c r="AC47" i="3"/>
  <c r="AI47" i="3" s="1"/>
  <c r="AA47" i="3"/>
  <c r="AG47" i="3" s="1"/>
  <c r="AF192" i="3"/>
  <c r="AJ192" i="3"/>
  <c r="AF271" i="3"/>
  <c r="AF183" i="3"/>
  <c r="AH183" i="3"/>
  <c r="AC183" i="3"/>
  <c r="AI183" i="3" s="1"/>
  <c r="AF27" i="3"/>
  <c r="AD27" i="3"/>
  <c r="AJ27" i="3" s="1"/>
  <c r="AA27" i="3"/>
  <c r="AG27" i="3" s="1"/>
  <c r="AB27" i="3"/>
  <c r="AH27" i="3" s="1"/>
  <c r="AC27" i="3"/>
  <c r="AI27" i="3" s="1"/>
  <c r="AE27" i="3"/>
  <c r="AF263" i="3"/>
  <c r="AF333" i="3"/>
  <c r="AG333" i="3"/>
  <c r="AF248" i="3"/>
  <c r="AI248" i="3"/>
  <c r="AF82" i="3"/>
  <c r="AG82" i="3"/>
  <c r="AD39" i="3"/>
  <c r="AJ39" i="3" s="1"/>
  <c r="AB173" i="3"/>
  <c r="AH173" i="3" s="1"/>
  <c r="AC201" i="3"/>
  <c r="AI201" i="3" s="1"/>
  <c r="AD348" i="3"/>
  <c r="AJ348" i="3" s="1"/>
  <c r="AD120" i="3"/>
  <c r="AJ120" i="3" s="1"/>
  <c r="AA201" i="3"/>
  <c r="AG201" i="3" s="1"/>
  <c r="AA275" i="3"/>
  <c r="AG275" i="3" s="1"/>
  <c r="AD40" i="3"/>
  <c r="AJ40" i="3" s="1"/>
  <c r="AD169" i="3"/>
  <c r="AJ169" i="3" s="1"/>
  <c r="AC40" i="3"/>
  <c r="AI40" i="3" s="1"/>
  <c r="AA340" i="3"/>
  <c r="AG340" i="3" s="1"/>
  <c r="AC316" i="3"/>
  <c r="AI316" i="3" s="1"/>
  <c r="AE278" i="3"/>
  <c r="AA81" i="3"/>
  <c r="AG81" i="3" s="1"/>
  <c r="AA5" i="3"/>
  <c r="AG5" i="3" s="1"/>
  <c r="AC192" i="3"/>
  <c r="AI192" i="3" s="1"/>
  <c r="AD239" i="3"/>
  <c r="AJ239" i="3" s="1"/>
  <c r="AC367" i="3"/>
  <c r="AI367" i="3" s="1"/>
  <c r="AC255" i="3"/>
  <c r="AI255" i="3" s="1"/>
  <c r="AD328" i="3"/>
  <c r="AJ328" i="3" s="1"/>
  <c r="AD215" i="3"/>
  <c r="AJ215" i="3" s="1"/>
  <c r="AE50" i="3"/>
  <c r="AB371" i="3"/>
  <c r="AH371" i="3" s="1"/>
  <c r="AA15" i="3"/>
  <c r="AG15" i="3" s="1"/>
  <c r="AB111" i="3"/>
  <c r="AH111" i="3" s="1"/>
  <c r="AE334" i="3"/>
  <c r="AA311" i="3"/>
  <c r="AG311" i="3" s="1"/>
  <c r="AA74" i="3"/>
  <c r="AG74" i="3" s="1"/>
  <c r="AC336" i="3"/>
  <c r="AI336" i="3" s="1"/>
  <c r="AD277" i="3"/>
  <c r="AJ277" i="3" s="1"/>
  <c r="AF305" i="3"/>
  <c r="AA305" i="3"/>
  <c r="AG305" i="3" s="1"/>
  <c r="AC305" i="3"/>
  <c r="AI305" i="3" s="1"/>
  <c r="AD305" i="3"/>
  <c r="AJ305" i="3" s="1"/>
  <c r="AB305" i="3"/>
  <c r="AH305" i="3" s="1"/>
  <c r="AE305" i="3"/>
  <c r="AF356" i="3"/>
  <c r="AD356" i="3"/>
  <c r="AJ356" i="3" s="1"/>
  <c r="AF125" i="3"/>
  <c r="AJ125" i="3"/>
  <c r="AF344" i="3"/>
  <c r="AG344" i="3"/>
  <c r="AF13" i="3"/>
  <c r="AG13" i="3"/>
  <c r="AD13" i="3"/>
  <c r="AJ13" i="3" s="1"/>
  <c r="AE13" i="3"/>
  <c r="AC13" i="3"/>
  <c r="AI13" i="3" s="1"/>
  <c r="AF327" i="3"/>
  <c r="AF329" i="3"/>
  <c r="AC329" i="3"/>
  <c r="AI329" i="3" s="1"/>
  <c r="AE329" i="3"/>
  <c r="AB329" i="3"/>
  <c r="AH329" i="3" s="1"/>
  <c r="AD329" i="3"/>
  <c r="AJ329" i="3" s="1"/>
  <c r="AA329" i="3"/>
  <c r="AG329" i="3" s="1"/>
  <c r="AF37" i="3"/>
  <c r="AA37" i="3"/>
  <c r="AG37" i="3" s="1"/>
  <c r="AC29" i="3"/>
  <c r="AI29" i="3" s="1"/>
  <c r="AF115" i="3"/>
  <c r="AA115" i="3"/>
  <c r="AG115" i="3" s="1"/>
  <c r="AB115" i="3"/>
  <c r="AH115" i="3" s="1"/>
  <c r="AC115" i="3"/>
  <c r="AI115" i="3" s="1"/>
  <c r="AD115" i="3"/>
  <c r="AJ115" i="3" s="1"/>
  <c r="AE115" i="3"/>
  <c r="AF347" i="3"/>
  <c r="AG347" i="3"/>
  <c r="AC347" i="3"/>
  <c r="AI347" i="3" s="1"/>
  <c r="AD347" i="3"/>
  <c r="AJ347" i="3" s="1"/>
  <c r="AE347" i="3"/>
  <c r="AF304" i="3"/>
  <c r="AF228" i="3"/>
  <c r="AI228" i="3"/>
  <c r="AB228" i="3"/>
  <c r="AH228" i="3" s="1"/>
  <c r="AF72" i="3"/>
  <c r="AF181" i="3"/>
  <c r="AI181" i="3"/>
  <c r="AF33" i="3"/>
  <c r="AB376" i="3"/>
  <c r="AH376" i="3" s="1"/>
  <c r="AF184" i="3"/>
  <c r="AH184" i="3"/>
  <c r="AF8" i="3"/>
  <c r="AH8" i="3"/>
  <c r="AF209" i="3"/>
  <c r="AJ209" i="3"/>
  <c r="AF123" i="3"/>
  <c r="AA123" i="3"/>
  <c r="AG123" i="3" s="1"/>
  <c r="AC123" i="3"/>
  <c r="AI123" i="3" s="1"/>
  <c r="AD123" i="3"/>
  <c r="AJ123" i="3" s="1"/>
  <c r="AB123" i="3"/>
  <c r="AH123" i="3" s="1"/>
  <c r="AE123" i="3"/>
  <c r="AF45" i="3"/>
  <c r="AJ45" i="3"/>
  <c r="AA45" i="3"/>
  <c r="AG45" i="3" s="1"/>
  <c r="AB45" i="3"/>
  <c r="AH45" i="3" s="1"/>
  <c r="AF147" i="3"/>
  <c r="AA147" i="3"/>
  <c r="AG147" i="3" s="1"/>
  <c r="AB147" i="3"/>
  <c r="AH147" i="3" s="1"/>
  <c r="AC147" i="3"/>
  <c r="AI147" i="3" s="1"/>
  <c r="AD147" i="3"/>
  <c r="AJ147" i="3" s="1"/>
  <c r="AE147" i="3"/>
  <c r="AF41" i="3"/>
  <c r="AF179" i="3"/>
  <c r="AA179" i="3"/>
  <c r="AG179" i="3" s="1"/>
  <c r="AC179" i="3"/>
  <c r="AI179" i="3" s="1"/>
  <c r="AD179" i="3"/>
  <c r="AJ179" i="3" s="1"/>
  <c r="AE179" i="3"/>
  <c r="AB179" i="3"/>
  <c r="AH179" i="3" s="1"/>
  <c r="AF207" i="3"/>
  <c r="AH207" i="3"/>
  <c r="AC207" i="3"/>
  <c r="AI207" i="3" s="1"/>
  <c r="AD207" i="3"/>
  <c r="AJ207" i="3" s="1"/>
  <c r="AF349" i="3"/>
  <c r="AG349" i="3"/>
  <c r="AC349" i="3"/>
  <c r="AI349" i="3" s="1"/>
  <c r="AF161" i="3"/>
  <c r="AJ161" i="3"/>
  <c r="AF130" i="3"/>
  <c r="AH130" i="3"/>
  <c r="AF323" i="3"/>
  <c r="AA323" i="3"/>
  <c r="AG323" i="3" s="1"/>
  <c r="AD323" i="3"/>
  <c r="AJ323" i="3" s="1"/>
  <c r="AB323" i="3"/>
  <c r="AH323" i="3" s="1"/>
  <c r="AC323" i="3"/>
  <c r="AI323" i="3" s="1"/>
  <c r="AF276" i="3"/>
  <c r="AF358" i="3"/>
  <c r="AE45" i="3"/>
  <c r="AA173" i="3"/>
  <c r="AG173" i="3" s="1"/>
  <c r="AD236" i="3"/>
  <c r="AJ236" i="3" s="1"/>
  <c r="AC348" i="3"/>
  <c r="AI348" i="3" s="1"/>
  <c r="AC120" i="3"/>
  <c r="AI120" i="3" s="1"/>
  <c r="AE201" i="3"/>
  <c r="AD307" i="3"/>
  <c r="AJ307" i="3" s="1"/>
  <c r="AE184" i="3"/>
  <c r="AB54" i="3"/>
  <c r="AH54" i="3" s="1"/>
  <c r="AE176" i="3"/>
  <c r="AC251" i="3"/>
  <c r="AI251" i="3" s="1"/>
  <c r="AE328" i="3"/>
  <c r="AE81" i="3"/>
  <c r="AD224" i="3"/>
  <c r="AJ224" i="3" s="1"/>
  <c r="AB192" i="3"/>
  <c r="AH192" i="3" s="1"/>
  <c r="AB239" i="3"/>
  <c r="AH239" i="3" s="1"/>
  <c r="AB38" i="3"/>
  <c r="AH38" i="3" s="1"/>
  <c r="AE198" i="3"/>
  <c r="AB367" i="3"/>
  <c r="AH367" i="3" s="1"/>
  <c r="AB357" i="3"/>
  <c r="AH357" i="3" s="1"/>
  <c r="AD260" i="3"/>
  <c r="AJ260" i="3" s="1"/>
  <c r="AE114" i="3"/>
  <c r="AE221" i="3"/>
  <c r="AD50" i="3"/>
  <c r="AJ50" i="3" s="1"/>
  <c r="AA130" i="3"/>
  <c r="AG130" i="3" s="1"/>
  <c r="AB320" i="3"/>
  <c r="AH320" i="3" s="1"/>
  <c r="AD181" i="3"/>
  <c r="AJ181" i="3" s="1"/>
  <c r="AC298" i="3"/>
  <c r="AI298" i="3" s="1"/>
  <c r="AB235" i="3"/>
  <c r="AH235" i="3" s="1"/>
  <c r="AC94" i="3"/>
  <c r="AI94" i="3" s="1"/>
  <c r="AA39" i="3"/>
  <c r="AG39" i="3" s="1"/>
  <c r="AA327" i="3"/>
  <c r="AG327" i="3" s="1"/>
  <c r="AE125" i="3"/>
  <c r="AC333" i="3"/>
  <c r="AI333" i="3" s="1"/>
  <c r="AC341" i="3"/>
  <c r="AI341" i="3" s="1"/>
  <c r="AF106" i="3"/>
  <c r="AF157" i="3"/>
  <c r="AI157" i="3"/>
  <c r="AE157" i="3"/>
  <c r="AF284" i="3"/>
  <c r="AI284" i="3"/>
  <c r="AA284" i="3"/>
  <c r="AG284" i="3" s="1"/>
  <c r="AF153" i="3"/>
  <c r="AE267" i="3"/>
  <c r="AF205" i="3"/>
  <c r="AH205" i="3"/>
  <c r="AC205" i="3"/>
  <c r="AI205" i="3" s="1"/>
  <c r="AE205" i="3"/>
  <c r="AD205" i="3"/>
  <c r="AJ205" i="3" s="1"/>
  <c r="AF311" i="3"/>
  <c r="AA236" i="3"/>
  <c r="AG236" i="3" s="1"/>
  <c r="AB113" i="3"/>
  <c r="AH113" i="3" s="1"/>
  <c r="AF225" i="3"/>
  <c r="AA225" i="3"/>
  <c r="AG225" i="3" s="1"/>
  <c r="AB225" i="3"/>
  <c r="AH225" i="3" s="1"/>
  <c r="AC225" i="3"/>
  <c r="AI225" i="3" s="1"/>
  <c r="AD225" i="3"/>
  <c r="AJ225" i="3" s="1"/>
  <c r="AE225" i="3"/>
  <c r="AF254" i="3"/>
  <c r="AF3" i="3"/>
  <c r="AA3" i="3"/>
  <c r="AG3" i="3" s="1"/>
  <c r="AD3" i="3"/>
  <c r="AJ3" i="3" s="1"/>
  <c r="AB3" i="3"/>
  <c r="AH3" i="3" s="1"/>
  <c r="AC3" i="3"/>
  <c r="AI3" i="3" s="1"/>
  <c r="AE3" i="3"/>
  <c r="AF12" i="3"/>
  <c r="AA12" i="3"/>
  <c r="AG12" i="3" s="1"/>
  <c r="AF100" i="3"/>
  <c r="AA100" i="3"/>
  <c r="AG100" i="3" s="1"/>
  <c r="AB100" i="3"/>
  <c r="AH100" i="3" s="1"/>
  <c r="AC100" i="3"/>
  <c r="AI100" i="3" s="1"/>
  <c r="AD100" i="3"/>
  <c r="AJ100" i="3" s="1"/>
  <c r="AF105" i="3"/>
  <c r="AA105" i="3"/>
  <c r="AG105" i="3" s="1"/>
  <c r="AF187" i="3"/>
  <c r="AA187" i="3"/>
  <c r="AG187" i="3" s="1"/>
  <c r="AB187" i="3"/>
  <c r="AH187" i="3" s="1"/>
  <c r="AD187" i="3"/>
  <c r="AJ187" i="3" s="1"/>
  <c r="AC187" i="3"/>
  <c r="AI187" i="3" s="1"/>
  <c r="AE187" i="3"/>
  <c r="AD177" i="3"/>
  <c r="AJ177" i="3" s="1"/>
  <c r="AB247" i="3"/>
  <c r="AH247" i="3" s="1"/>
  <c r="AE215" i="3"/>
  <c r="AA202" i="3"/>
  <c r="AG202" i="3" s="1"/>
  <c r="AE95" i="3"/>
  <c r="AF20" i="3"/>
  <c r="AC20" i="3"/>
  <c r="AI20" i="3" s="1"/>
  <c r="AD20" i="3"/>
  <c r="AJ20" i="3" s="1"/>
  <c r="AE20" i="3"/>
  <c r="AA20" i="3"/>
  <c r="AG20" i="3" s="1"/>
  <c r="AB20" i="3"/>
  <c r="AH20" i="3" s="1"/>
  <c r="AF264" i="3"/>
  <c r="AF226" i="3"/>
  <c r="AD226" i="3"/>
  <c r="AJ226" i="3" s="1"/>
  <c r="AA226" i="3"/>
  <c r="AG226" i="3" s="1"/>
  <c r="AB226" i="3"/>
  <c r="AH226" i="3" s="1"/>
  <c r="AC226" i="3"/>
  <c r="AI226" i="3" s="1"/>
  <c r="AF60" i="3"/>
  <c r="AA60" i="3"/>
  <c r="AG60" i="3" s="1"/>
  <c r="AD60" i="3"/>
  <c r="AJ60" i="3" s="1"/>
  <c r="AE60" i="3"/>
  <c r="AB60" i="3"/>
  <c r="AH60" i="3" s="1"/>
  <c r="AC60" i="3"/>
  <c r="AI60" i="3" s="1"/>
  <c r="AF168" i="3"/>
  <c r="AF85" i="3"/>
  <c r="AJ85" i="3"/>
  <c r="AF316" i="3"/>
  <c r="AE316" i="3"/>
  <c r="AF243" i="3"/>
  <c r="AF127" i="3"/>
  <c r="AH127" i="3"/>
  <c r="AD127" i="3"/>
  <c r="AJ127" i="3" s="1"/>
  <c r="AE127" i="3"/>
  <c r="AF83" i="3"/>
  <c r="AD83" i="3"/>
  <c r="AJ83" i="3" s="1"/>
  <c r="AE83" i="3"/>
  <c r="AA83" i="3"/>
  <c r="AG83" i="3" s="1"/>
  <c r="AC83" i="3"/>
  <c r="AI83" i="3" s="1"/>
  <c r="AB83" i="3"/>
  <c r="AH83" i="3" s="1"/>
  <c r="AF185" i="3"/>
  <c r="AF338" i="3"/>
  <c r="AA338" i="3"/>
  <c r="AG338" i="3" s="1"/>
  <c r="AF69" i="3"/>
  <c r="AI69" i="3"/>
  <c r="AD69" i="3"/>
  <c r="AJ69" i="3" s="1"/>
  <c r="AE69" i="3"/>
  <c r="AF211" i="3"/>
  <c r="AA211" i="3"/>
  <c r="AG211" i="3" s="1"/>
  <c r="AB211" i="3"/>
  <c r="AH211" i="3" s="1"/>
  <c r="AC211" i="3"/>
  <c r="AI211" i="3" s="1"/>
  <c r="AD211" i="3"/>
  <c r="AJ211" i="3" s="1"/>
  <c r="AE211" i="3"/>
  <c r="AA276" i="3"/>
  <c r="AG276" i="3" s="1"/>
  <c r="AC243" i="3"/>
  <c r="AI243" i="3" s="1"/>
  <c r="AB326" i="3"/>
  <c r="AH326" i="3" s="1"/>
  <c r="AD246" i="3"/>
  <c r="AJ246" i="3" s="1"/>
  <c r="AB120" i="3"/>
  <c r="AH120" i="3" s="1"/>
  <c r="AD184" i="3"/>
  <c r="AJ184" i="3" s="1"/>
  <c r="AC184" i="3"/>
  <c r="AI184" i="3" s="1"/>
  <c r="AB251" i="3"/>
  <c r="AH251" i="3" s="1"/>
  <c r="AA316" i="3"/>
  <c r="AG316" i="3" s="1"/>
  <c r="AD81" i="3"/>
  <c r="AJ81" i="3" s="1"/>
  <c r="AB69" i="3"/>
  <c r="AH69" i="3" s="1"/>
  <c r="AE268" i="3"/>
  <c r="AD334" i="3"/>
  <c r="AJ334" i="3" s="1"/>
  <c r="AE192" i="3"/>
  <c r="AA239" i="3"/>
  <c r="AG239" i="3" s="1"/>
  <c r="AA38" i="3"/>
  <c r="AG38" i="3" s="1"/>
  <c r="AD198" i="3"/>
  <c r="AJ198" i="3" s="1"/>
  <c r="AA367" i="3"/>
  <c r="AG367" i="3" s="1"/>
  <c r="AE261" i="3"/>
  <c r="AB270" i="3"/>
  <c r="AH270" i="3" s="1"/>
  <c r="AB39" i="3"/>
  <c r="AH39" i="3" s="1"/>
  <c r="AD221" i="3"/>
  <c r="AJ221" i="3" s="1"/>
  <c r="AC50" i="3"/>
  <c r="AI50" i="3" s="1"/>
  <c r="AC130" i="3"/>
  <c r="AI130" i="3" s="1"/>
  <c r="AA235" i="3"/>
  <c r="AG235" i="3" s="1"/>
  <c r="AE243" i="3"/>
  <c r="AA63" i="3"/>
  <c r="AG63" i="3" s="1"/>
  <c r="AB135" i="3"/>
  <c r="AH135" i="3" s="1"/>
  <c r="AE358" i="3"/>
  <c r="AA114" i="3"/>
  <c r="AG114" i="3" s="1"/>
  <c r="AA157" i="3"/>
  <c r="AG157" i="3" s="1"/>
  <c r="AF189" i="3"/>
  <c r="AI189" i="3"/>
  <c r="AB189" i="3"/>
  <c r="AH189" i="3" s="1"/>
  <c r="AE189" i="3"/>
  <c r="AA189" i="3"/>
  <c r="AG189" i="3" s="1"/>
  <c r="AF376" i="3"/>
  <c r="AF231" i="3"/>
  <c r="AH231" i="3"/>
  <c r="AF128" i="3"/>
  <c r="AD128" i="3"/>
  <c r="AJ128" i="3" s="1"/>
  <c r="AA128" i="3"/>
  <c r="AG128" i="3" s="1"/>
  <c r="AC128" i="3"/>
  <c r="AI128" i="3" s="1"/>
  <c r="AF378" i="3"/>
  <c r="AJ378" i="3"/>
  <c r="AA378" i="3"/>
  <c r="AG378" i="3" s="1"/>
  <c r="AB340" i="3"/>
  <c r="AH340" i="3" s="1"/>
  <c r="AF31" i="3"/>
  <c r="AA31" i="3"/>
  <c r="AG31" i="3" s="1"/>
  <c r="AF137" i="3"/>
  <c r="AD137" i="3"/>
  <c r="AJ137" i="3" s="1"/>
  <c r="AF289" i="3"/>
  <c r="AC289" i="3"/>
  <c r="AI289" i="3" s="1"/>
  <c r="AA289" i="3"/>
  <c r="AG289" i="3" s="1"/>
  <c r="AB289" i="3"/>
  <c r="AH289" i="3" s="1"/>
  <c r="AE289" i="3"/>
  <c r="AD289" i="3"/>
  <c r="AJ289" i="3" s="1"/>
  <c r="AF34" i="3"/>
  <c r="AC137" i="3"/>
  <c r="AI137" i="3" s="1"/>
  <c r="AF90" i="3"/>
  <c r="AF363" i="3"/>
  <c r="AJ363" i="3"/>
  <c r="AE363" i="3"/>
  <c r="AF314" i="3"/>
  <c r="AA314" i="3"/>
  <c r="AG314" i="3" s="1"/>
  <c r="AC314" i="3"/>
  <c r="AI314" i="3" s="1"/>
  <c r="AD314" i="3"/>
  <c r="AJ314" i="3" s="1"/>
  <c r="AB314" i="3"/>
  <c r="AH314" i="3" s="1"/>
  <c r="AF89" i="3"/>
  <c r="AH89" i="3"/>
  <c r="AF279" i="3"/>
  <c r="AG279" i="3"/>
  <c r="AE279" i="3"/>
  <c r="AF249" i="3"/>
  <c r="AC249" i="3"/>
  <c r="AI249" i="3" s="1"/>
  <c r="AE249" i="3"/>
  <c r="AD249" i="3"/>
  <c r="AJ249" i="3" s="1"/>
  <c r="AB249" i="3"/>
  <c r="AH249" i="3" s="1"/>
  <c r="AA249" i="3"/>
  <c r="AG249" i="3" s="1"/>
  <c r="AF160" i="3"/>
  <c r="AF373" i="3"/>
  <c r="AB341" i="3"/>
  <c r="AH341" i="3" s="1"/>
  <c r="AA34" i="3"/>
  <c r="AG34" i="3" s="1"/>
  <c r="AE66" i="3"/>
  <c r="AF84" i="3"/>
  <c r="AA84" i="3"/>
  <c r="AG84" i="3" s="1"/>
  <c r="AE84" i="3"/>
  <c r="AB84" i="3"/>
  <c r="AH84" i="3" s="1"/>
  <c r="AC84" i="3"/>
  <c r="AI84" i="3" s="1"/>
  <c r="AD84" i="3"/>
  <c r="AJ84" i="3" s="1"/>
  <c r="AF57" i="3"/>
  <c r="AF303" i="3"/>
  <c r="AI303" i="3"/>
  <c r="AA303" i="3"/>
  <c r="AG303" i="3" s="1"/>
  <c r="AB303" i="3"/>
  <c r="AH303" i="3" s="1"/>
  <c r="AF232" i="3"/>
  <c r="AF132" i="3"/>
  <c r="AB132" i="3"/>
  <c r="AH132" i="3" s="1"/>
  <c r="AA132" i="3"/>
  <c r="AG132" i="3" s="1"/>
  <c r="AE132" i="3"/>
  <c r="AF175" i="3"/>
  <c r="AA175" i="3"/>
  <c r="AG175" i="3" s="1"/>
  <c r="AD175" i="3"/>
  <c r="AJ175" i="3" s="1"/>
  <c r="AB175" i="3"/>
  <c r="AH175" i="3" s="1"/>
  <c r="AC175" i="3"/>
  <c r="AI175" i="3" s="1"/>
  <c r="AE175" i="3"/>
  <c r="AF170" i="3"/>
  <c r="AJ170" i="3"/>
  <c r="AF109" i="3"/>
  <c r="AG109" i="3"/>
  <c r="AE109" i="3"/>
  <c r="AF292" i="3"/>
  <c r="AG292" i="3"/>
  <c r="AB292" i="3"/>
  <c r="AH292" i="3" s="1"/>
  <c r="AC292" i="3"/>
  <c r="AI292" i="3" s="1"/>
  <c r="AF19" i="3"/>
  <c r="AB19" i="3"/>
  <c r="AH19" i="3" s="1"/>
  <c r="AD19" i="3"/>
  <c r="AJ19" i="3" s="1"/>
  <c r="AE19" i="3"/>
  <c r="AA19" i="3"/>
  <c r="AG19" i="3" s="1"/>
  <c r="AC19" i="3"/>
  <c r="AI19" i="3" s="1"/>
  <c r="AF200" i="3"/>
  <c r="AI200" i="3"/>
  <c r="AF208" i="3"/>
  <c r="AH208" i="3"/>
  <c r="AF7" i="3"/>
  <c r="AF101" i="3"/>
  <c r="AG101" i="3"/>
  <c r="AF320" i="3"/>
  <c r="AD243" i="3"/>
  <c r="AJ243" i="3" s="1"/>
  <c r="AA120" i="3"/>
  <c r="AG120" i="3" s="1"/>
  <c r="AE343" i="3"/>
  <c r="AC235" i="3"/>
  <c r="AI235" i="3" s="1"/>
  <c r="AC363" i="3"/>
  <c r="AI363" i="3" s="1"/>
  <c r="AC70" i="3"/>
  <c r="AI70" i="3" s="1"/>
  <c r="AB324" i="3"/>
  <c r="AH324" i="3" s="1"/>
  <c r="AB200" i="3"/>
  <c r="AH200" i="3" s="1"/>
  <c r="AD64" i="3"/>
  <c r="AJ64" i="3" s="1"/>
  <c r="AE380" i="3"/>
  <c r="AE251" i="3"/>
  <c r="AA246" i="3"/>
  <c r="AG246" i="3" s="1"/>
  <c r="AD316" i="3"/>
  <c r="AJ316" i="3" s="1"/>
  <c r="AC105" i="3"/>
  <c r="AI105" i="3" s="1"/>
  <c r="AA69" i="3"/>
  <c r="AG69" i="3" s="1"/>
  <c r="AC268" i="3"/>
  <c r="AI268" i="3" s="1"/>
  <c r="AC334" i="3"/>
  <c r="AI334" i="3" s="1"/>
  <c r="AE372" i="3"/>
  <c r="AA192" i="3"/>
  <c r="AG192" i="3" s="1"/>
  <c r="AE38" i="3"/>
  <c r="AC198" i="3"/>
  <c r="AI198" i="3" s="1"/>
  <c r="AE367" i="3"/>
  <c r="AD261" i="3"/>
  <c r="AJ261" i="3" s="1"/>
  <c r="AD373" i="3"/>
  <c r="AJ373" i="3" s="1"/>
  <c r="AD376" i="3"/>
  <c r="AJ376" i="3" s="1"/>
  <c r="AC221" i="3"/>
  <c r="AI221" i="3" s="1"/>
  <c r="AB50" i="3"/>
  <c r="AH50" i="3" s="1"/>
  <c r="AC138" i="3"/>
  <c r="AI138" i="3" s="1"/>
  <c r="AD218" i="3"/>
  <c r="AJ218" i="3" s="1"/>
  <c r="AA328" i="3"/>
  <c r="AG328" i="3" s="1"/>
  <c r="AB322" i="3"/>
  <c r="AH322" i="3" s="1"/>
  <c r="AB259" i="3"/>
  <c r="AH259" i="3" s="1"/>
  <c r="AB9" i="3"/>
  <c r="AH9" i="3" s="1"/>
  <c r="AC343" i="3"/>
  <c r="AI343" i="3" s="1"/>
  <c r="AD279" i="3"/>
  <c r="AJ279" i="3" s="1"/>
  <c r="AF97" i="3"/>
  <c r="AF194" i="3"/>
  <c r="AE97" i="3"/>
  <c r="AF116" i="3"/>
  <c r="AE116" i="3"/>
  <c r="AA116" i="3"/>
  <c r="AG116" i="3" s="1"/>
  <c r="AB116" i="3"/>
  <c r="AH116" i="3" s="1"/>
  <c r="AC116" i="3"/>
  <c r="AI116" i="3" s="1"/>
  <c r="AD116" i="3"/>
  <c r="AJ116" i="3" s="1"/>
  <c r="AF236" i="3"/>
  <c r="AD340" i="3"/>
  <c r="AJ340" i="3" s="1"/>
  <c r="AD97" i="3"/>
  <c r="AJ97" i="3" s="1"/>
  <c r="AF222" i="3"/>
  <c r="AF229" i="3"/>
  <c r="AD229" i="3"/>
  <c r="AJ229" i="3" s="1"/>
  <c r="AC229" i="3"/>
  <c r="AI229" i="3" s="1"/>
  <c r="AE229" i="3"/>
  <c r="AF238" i="3"/>
  <c r="AJ238" i="3"/>
  <c r="AF206" i="3"/>
  <c r="AH206" i="3"/>
  <c r="AA206" i="3"/>
  <c r="AG206" i="3" s="1"/>
  <c r="AF182" i="3"/>
  <c r="AF272" i="3"/>
  <c r="AF220" i="3"/>
  <c r="AA220" i="3"/>
  <c r="AG220" i="3" s="1"/>
  <c r="AB220" i="3"/>
  <c r="AH220" i="3" s="1"/>
  <c r="AC220" i="3"/>
  <c r="AI220" i="3" s="1"/>
  <c r="AD220" i="3"/>
  <c r="AJ220" i="3" s="1"/>
  <c r="AF379" i="3"/>
  <c r="AJ379" i="3"/>
  <c r="AC379" i="3"/>
  <c r="AI379" i="3" s="1"/>
  <c r="AE379" i="3"/>
  <c r="AF178" i="3"/>
  <c r="AH178" i="3"/>
  <c r="AF299" i="3"/>
  <c r="AF133" i="3"/>
  <c r="AG133" i="3"/>
  <c r="AC133" i="3"/>
  <c r="AI133" i="3" s="1"/>
  <c r="AD133" i="3"/>
  <c r="AJ133" i="3" s="1"/>
  <c r="AE133" i="3"/>
  <c r="AB15" i="3"/>
  <c r="AH15" i="3" s="1"/>
  <c r="AD160" i="3"/>
  <c r="AJ160" i="3" s="1"/>
  <c r="AB229" i="3"/>
  <c r="AH229" i="3" s="1"/>
  <c r="AF278" i="3"/>
  <c r="AI278" i="3"/>
  <c r="AF180" i="3"/>
  <c r="AE180" i="3"/>
  <c r="AA180" i="3"/>
  <c r="AG180" i="3" s="1"/>
  <c r="AF144" i="3"/>
  <c r="AF64" i="3"/>
  <c r="AF239" i="3"/>
  <c r="AF139" i="3"/>
  <c r="AD139" i="3"/>
  <c r="AJ139" i="3" s="1"/>
  <c r="AC139" i="3"/>
  <c r="AI139" i="3" s="1"/>
  <c r="AA139" i="3"/>
  <c r="AG139" i="3" s="1"/>
  <c r="AB139" i="3"/>
  <c r="AH139" i="3" s="1"/>
  <c r="AE139" i="3"/>
  <c r="AF201" i="3"/>
  <c r="AJ201" i="3"/>
  <c r="AF93" i="3"/>
  <c r="AF117" i="3"/>
  <c r="AJ117" i="3"/>
  <c r="AA117" i="3"/>
  <c r="AG117" i="3" s="1"/>
  <c r="AF319" i="3"/>
  <c r="AG319" i="3"/>
  <c r="AF135" i="3"/>
  <c r="AF252" i="3"/>
  <c r="AG252" i="3"/>
  <c r="AF216" i="3"/>
  <c r="AI216" i="3"/>
  <c r="AF54" i="3"/>
  <c r="AJ54" i="3"/>
  <c r="AF257" i="3"/>
  <c r="AA257" i="3"/>
  <c r="AG257" i="3" s="1"/>
  <c r="AB257" i="3"/>
  <c r="AH257" i="3" s="1"/>
  <c r="AC257" i="3"/>
  <c r="AI257" i="3" s="1"/>
  <c r="AD257" i="3"/>
  <c r="AJ257" i="3" s="1"/>
  <c r="AE257" i="3"/>
  <c r="AF375" i="3"/>
  <c r="AG375" i="3"/>
  <c r="AE204" i="3"/>
  <c r="AA129" i="3"/>
  <c r="AG129" i="3" s="1"/>
  <c r="AB243" i="3"/>
  <c r="AH243" i="3" s="1"/>
  <c r="AE185" i="3"/>
  <c r="AD333" i="3"/>
  <c r="AJ333" i="3" s="1"/>
  <c r="AE286" i="3"/>
  <c r="AD343" i="3"/>
  <c r="AJ343" i="3" s="1"/>
  <c r="AB252" i="3"/>
  <c r="AH252" i="3" s="1"/>
  <c r="AB363" i="3"/>
  <c r="AH363" i="3" s="1"/>
  <c r="AC238" i="3"/>
  <c r="AI238" i="3" s="1"/>
  <c r="AA209" i="3"/>
  <c r="AG209" i="3" s="1"/>
  <c r="AC8" i="3"/>
  <c r="AI8" i="3" s="1"/>
  <c r="AD93" i="3"/>
  <c r="AJ93" i="3" s="1"/>
  <c r="AD251" i="3"/>
  <c r="AJ251" i="3" s="1"/>
  <c r="AC259" i="3"/>
  <c r="AI259" i="3" s="1"/>
  <c r="AE324" i="3"/>
  <c r="AA64" i="3"/>
  <c r="AG64" i="3" s="1"/>
  <c r="AB105" i="3"/>
  <c r="AH105" i="3" s="1"/>
  <c r="AC109" i="3"/>
  <c r="AI109" i="3" s="1"/>
  <c r="AB334" i="3"/>
  <c r="AH334" i="3" s="1"/>
  <c r="AD372" i="3"/>
  <c r="AJ372" i="3" s="1"/>
  <c r="AC222" i="3"/>
  <c r="AI222" i="3" s="1"/>
  <c r="AC239" i="3"/>
  <c r="AI239" i="3" s="1"/>
  <c r="AD38" i="3"/>
  <c r="AJ38" i="3" s="1"/>
  <c r="AB198" i="3"/>
  <c r="AH198" i="3" s="1"/>
  <c r="AD367" i="3"/>
  <c r="AJ367" i="3" s="1"/>
  <c r="AE269" i="3"/>
  <c r="AC373" i="3"/>
  <c r="AI373" i="3" s="1"/>
  <c r="AD283" i="3"/>
  <c r="AJ283" i="3" s="1"/>
  <c r="AB221" i="3"/>
  <c r="AH221" i="3" s="1"/>
  <c r="AA50" i="3"/>
  <c r="AG50" i="3" s="1"/>
  <c r="AB138" i="3"/>
  <c r="AH138" i="3" s="1"/>
  <c r="AC218" i="3"/>
  <c r="AI218" i="3" s="1"/>
  <c r="AB328" i="3"/>
  <c r="AH328" i="3" s="1"/>
  <c r="AB181" i="3"/>
  <c r="AH181" i="3" s="1"/>
  <c r="AE371" i="3"/>
  <c r="AE338" i="3"/>
  <c r="AC283" i="3"/>
  <c r="AI283" i="3" s="1"/>
  <c r="AA87" i="3"/>
  <c r="AG87" i="3" s="1"/>
  <c r="AE8" i="3"/>
  <c r="AE351" i="3"/>
  <c r="AD2" i="3"/>
  <c r="AJ2" i="3" s="1"/>
  <c r="AA181" i="3"/>
  <c r="AG181" i="3" s="1"/>
  <c r="AC7" i="3"/>
  <c r="AI7" i="3" s="1"/>
  <c r="AB114" i="3"/>
  <c r="AH114" i="3" s="1"/>
  <c r="AF36" i="3"/>
  <c r="AA36" i="3"/>
  <c r="AG36" i="3" s="1"/>
  <c r="AB36" i="3"/>
  <c r="AH36" i="3" s="1"/>
  <c r="AC36" i="3"/>
  <c r="AI36" i="3" s="1"/>
  <c r="AD36" i="3"/>
  <c r="AJ36" i="3" s="1"/>
  <c r="AE36" i="3"/>
  <c r="AF146" i="3"/>
  <c r="AF355" i="3"/>
  <c r="AF302" i="3"/>
  <c r="AI302" i="3"/>
  <c r="AD302" i="3"/>
  <c r="AJ302" i="3" s="1"/>
  <c r="AA302" i="3"/>
  <c r="AG302" i="3" s="1"/>
  <c r="AB302" i="3"/>
  <c r="AH302" i="3" s="1"/>
  <c r="AB256" i="3"/>
  <c r="AH256" i="3" s="1"/>
  <c r="AF318" i="3"/>
  <c r="AH318" i="3"/>
  <c r="AF48" i="3"/>
  <c r="AF277" i="3"/>
  <c r="AI277" i="3"/>
  <c r="AD189" i="3"/>
  <c r="AJ189" i="3" s="1"/>
  <c r="AD364" i="3"/>
  <c r="AJ364" i="3" s="1"/>
  <c r="AF70" i="3"/>
  <c r="AB81" i="3"/>
  <c r="AH81" i="3" s="1"/>
  <c r="AF68" i="3"/>
  <c r="AH68" i="3"/>
  <c r="AA68" i="3"/>
  <c r="AG68" i="3" s="1"/>
  <c r="AF203" i="3"/>
  <c r="AA203" i="3"/>
  <c r="AG203" i="3" s="1"/>
  <c r="AD203" i="3"/>
  <c r="AJ203" i="3" s="1"/>
  <c r="AC203" i="3"/>
  <c r="AI203" i="3" s="1"/>
  <c r="AE203" i="3"/>
  <c r="AB203" i="3"/>
  <c r="AH203" i="3" s="1"/>
  <c r="AF103" i="3"/>
  <c r="AE103" i="3"/>
  <c r="AF359" i="3"/>
  <c r="AG359" i="3"/>
  <c r="AB359" i="3"/>
  <c r="AH359" i="3" s="1"/>
  <c r="AC359" i="3"/>
  <c r="AI359" i="3" s="1"/>
  <c r="AF310" i="3"/>
  <c r="AF214" i="3"/>
  <c r="AJ214" i="3"/>
  <c r="AA214" i="3"/>
  <c r="AG214" i="3" s="1"/>
  <c r="AF143" i="3"/>
  <c r="AH143" i="3"/>
  <c r="AD143" i="3"/>
  <c r="AJ143" i="3" s="1"/>
  <c r="AE143" i="3"/>
  <c r="AF213" i="3"/>
  <c r="AB213" i="3"/>
  <c r="AH213" i="3" s="1"/>
  <c r="AA213" i="3"/>
  <c r="AG213" i="3" s="1"/>
  <c r="AD213" i="3"/>
  <c r="AJ213" i="3" s="1"/>
  <c r="AE213" i="3"/>
  <c r="AF339" i="3"/>
  <c r="AH339" i="3"/>
  <c r="AF174" i="3"/>
  <c r="AF296" i="3"/>
  <c r="AI296" i="3"/>
  <c r="AF91" i="3"/>
  <c r="AE91" i="3"/>
  <c r="AB91" i="3"/>
  <c r="AH91" i="3" s="1"/>
  <c r="AC91" i="3"/>
  <c r="AI91" i="3" s="1"/>
  <c r="AA91" i="3"/>
  <c r="AG91" i="3" s="1"/>
  <c r="AD91" i="3"/>
  <c r="AJ91" i="3" s="1"/>
  <c r="AF141" i="3"/>
  <c r="AB141" i="3"/>
  <c r="AH141" i="3" s="1"/>
  <c r="AD141" i="3"/>
  <c r="AJ141" i="3" s="1"/>
  <c r="AE141" i="3"/>
  <c r="AA141" i="3"/>
  <c r="AG141" i="3" s="1"/>
  <c r="AC141" i="3"/>
  <c r="AI141" i="3" s="1"/>
  <c r="AF265" i="3"/>
  <c r="AA265" i="3"/>
  <c r="AG265" i="3" s="1"/>
  <c r="AD265" i="3"/>
  <c r="AJ265" i="3" s="1"/>
  <c r="AB265" i="3"/>
  <c r="AH265" i="3" s="1"/>
  <c r="AC265" i="3"/>
  <c r="AI265" i="3" s="1"/>
  <c r="AE265" i="3"/>
  <c r="AF6" i="3"/>
  <c r="AF162" i="3"/>
  <c r="AF287" i="3"/>
  <c r="AJ287" i="3"/>
  <c r="AE287" i="3"/>
  <c r="AC338" i="3"/>
  <c r="AI338" i="3" s="1"/>
  <c r="AE37" i="3"/>
  <c r="AA243" i="3"/>
  <c r="AG243" i="3" s="1"/>
  <c r="AD202" i="3"/>
  <c r="AJ202" i="3" s="1"/>
  <c r="AE375" i="3"/>
  <c r="AD286" i="3"/>
  <c r="AJ286" i="3" s="1"/>
  <c r="AC264" i="3"/>
  <c r="AI264" i="3" s="1"/>
  <c r="AC288" i="3"/>
  <c r="AI288" i="3" s="1"/>
  <c r="AA363" i="3"/>
  <c r="AG363" i="3" s="1"/>
  <c r="AB238" i="3"/>
  <c r="AH238" i="3" s="1"/>
  <c r="AC85" i="3"/>
  <c r="AI85" i="3" s="1"/>
  <c r="AE365" i="3"/>
  <c r="AE214" i="3"/>
  <c r="AC93" i="3"/>
  <c r="AI93" i="3" s="1"/>
  <c r="AA251" i="3"/>
  <c r="AG251" i="3" s="1"/>
  <c r="AD324" i="3"/>
  <c r="AJ324" i="3" s="1"/>
  <c r="AE80" i="3"/>
  <c r="AE105" i="3"/>
  <c r="AB109" i="3"/>
  <c r="AH109" i="3" s="1"/>
  <c r="AA334" i="3"/>
  <c r="AG334" i="3" s="1"/>
  <c r="AC372" i="3"/>
  <c r="AI372" i="3" s="1"/>
  <c r="AB222" i="3"/>
  <c r="AH222" i="3" s="1"/>
  <c r="AE263" i="3"/>
  <c r="AC38" i="3"/>
  <c r="AI38" i="3" s="1"/>
  <c r="AA198" i="3"/>
  <c r="AG198" i="3" s="1"/>
  <c r="AD10" i="3"/>
  <c r="AJ10" i="3" s="1"/>
  <c r="AD269" i="3"/>
  <c r="AJ269" i="3" s="1"/>
  <c r="AB373" i="3"/>
  <c r="AH373" i="3" s="1"/>
  <c r="AD48" i="3"/>
  <c r="AJ48" i="3" s="1"/>
  <c r="AD63" i="3"/>
  <c r="AJ63" i="3" s="1"/>
  <c r="AE237" i="3"/>
  <c r="AB224" i="3"/>
  <c r="AH224" i="3" s="1"/>
  <c r="AE344" i="3"/>
  <c r="AA380" i="3"/>
  <c r="AG380" i="3" s="1"/>
  <c r="AC190" i="3"/>
  <c r="AI190" i="3" s="1"/>
  <c r="AA103" i="3"/>
  <c r="AG103" i="3" s="1"/>
  <c r="AC16" i="3"/>
  <c r="AI16" i="3" s="1"/>
  <c r="AB33" i="3"/>
  <c r="AH33" i="3" s="1"/>
  <c r="AD359" i="3"/>
  <c r="AJ359" i="3" s="1"/>
  <c r="AC256" i="3"/>
  <c r="AI256" i="3" s="1"/>
  <c r="AC213" i="3"/>
  <c r="AI213" i="3" s="1"/>
  <c r="AF77" i="3"/>
  <c r="AE355" i="3"/>
  <c r="AE284" i="3"/>
  <c r="AF155" i="3"/>
  <c r="AB155" i="3"/>
  <c r="AH155" i="3" s="1"/>
  <c r="AD155" i="3"/>
  <c r="AJ155" i="3" s="1"/>
  <c r="AE155" i="3"/>
  <c r="AA155" i="3"/>
  <c r="AG155" i="3" s="1"/>
  <c r="AC155" i="3"/>
  <c r="AI155" i="3" s="1"/>
  <c r="AE236" i="3"/>
  <c r="AC113" i="3"/>
  <c r="AI113" i="3" s="1"/>
  <c r="AF136" i="3"/>
  <c r="AC136" i="3"/>
  <c r="AI136" i="3" s="1"/>
  <c r="AB97" i="3"/>
  <c r="AH97" i="3" s="1"/>
  <c r="AF124" i="3"/>
  <c r="AC124" i="3"/>
  <c r="AI124" i="3" s="1"/>
  <c r="AD124" i="3"/>
  <c r="AJ124" i="3" s="1"/>
  <c r="AA124" i="3"/>
  <c r="AG124" i="3" s="1"/>
  <c r="AF24" i="3"/>
  <c r="AF177" i="3"/>
  <c r="AF58" i="3"/>
  <c r="AD173" i="3"/>
  <c r="AJ173" i="3" s="1"/>
  <c r="AE275" i="3"/>
  <c r="AC304" i="3"/>
  <c r="AI304" i="3" s="1"/>
  <c r="AA376" i="3"/>
  <c r="AG376" i="3" s="1"/>
  <c r="AF164" i="3"/>
  <c r="AC164" i="3"/>
  <c r="AI164" i="3" s="1"/>
  <c r="AE164" i="3"/>
  <c r="AA164" i="3"/>
  <c r="AG164" i="3" s="1"/>
  <c r="AB164" i="3"/>
  <c r="AH164" i="3" s="1"/>
  <c r="AD164" i="3"/>
  <c r="AJ164" i="3" s="1"/>
  <c r="AF297" i="3"/>
  <c r="AA297" i="3"/>
  <c r="AG297" i="3" s="1"/>
  <c r="AB297" i="3"/>
  <c r="AH297" i="3" s="1"/>
  <c r="AC297" i="3"/>
  <c r="AI297" i="3" s="1"/>
  <c r="AD297" i="3"/>
  <c r="AJ297" i="3" s="1"/>
  <c r="AE297" i="3"/>
  <c r="AF199" i="3"/>
  <c r="AJ199" i="3"/>
  <c r="AB199" i="3"/>
  <c r="AH199" i="3" s="1"/>
  <c r="AF370" i="3"/>
  <c r="AB370" i="3"/>
  <c r="AH370" i="3" s="1"/>
  <c r="AC370" i="3"/>
  <c r="AI370" i="3" s="1"/>
  <c r="AD370" i="3"/>
  <c r="AJ370" i="3" s="1"/>
  <c r="AA370" i="3"/>
  <c r="AG370" i="3" s="1"/>
  <c r="AE370" i="3"/>
  <c r="AF328" i="3"/>
  <c r="AI328" i="3"/>
  <c r="AF59" i="3"/>
  <c r="AC59" i="3"/>
  <c r="AI59" i="3" s="1"/>
  <c r="AA59" i="3"/>
  <c r="AG59" i="3" s="1"/>
  <c r="AB59" i="3"/>
  <c r="AH59" i="3" s="1"/>
  <c r="AE59" i="3"/>
  <c r="AD59" i="3"/>
  <c r="AJ59" i="3" s="1"/>
  <c r="AF150" i="3"/>
  <c r="AI150" i="3"/>
  <c r="AF241" i="3"/>
  <c r="AC241" i="3"/>
  <c r="AI241" i="3" s="1"/>
  <c r="AD241" i="3"/>
  <c r="AJ241" i="3" s="1"/>
  <c r="AA241" i="3"/>
  <c r="AG241" i="3" s="1"/>
  <c r="AB241" i="3"/>
  <c r="AH241" i="3" s="1"/>
  <c r="AE241" i="3"/>
  <c r="AF346" i="3"/>
  <c r="AC346" i="3"/>
  <c r="AI346" i="3" s="1"/>
  <c r="AB346" i="3"/>
  <c r="AH346" i="3" s="1"/>
  <c r="AD346" i="3"/>
  <c r="AJ346" i="3" s="1"/>
  <c r="AA346" i="3"/>
  <c r="AG346" i="3" s="1"/>
  <c r="AF197" i="3"/>
  <c r="AF360" i="3"/>
  <c r="AF230" i="3"/>
  <c r="AI230" i="3"/>
  <c r="AA230" i="3"/>
  <c r="AG230" i="3" s="1"/>
  <c r="AF149" i="3"/>
  <c r="AJ149" i="3"/>
  <c r="AF295" i="3"/>
  <c r="AA295" i="3"/>
  <c r="AG295" i="3" s="1"/>
  <c r="AF22" i="3"/>
  <c r="AH22" i="3"/>
  <c r="AE378" i="3"/>
  <c r="AA153" i="3"/>
  <c r="AG153" i="3" s="1"/>
  <c r="AD37" i="3"/>
  <c r="AJ37" i="3" s="1"/>
  <c r="AC267" i="3"/>
  <c r="AI267" i="3" s="1"/>
  <c r="AE231" i="3"/>
  <c r="AC286" i="3"/>
  <c r="AI286" i="3" s="1"/>
  <c r="AC21" i="3"/>
  <c r="AI21" i="3" s="1"/>
  <c r="AD296" i="3"/>
  <c r="AJ296" i="3" s="1"/>
  <c r="AD16" i="3"/>
  <c r="AJ16" i="3" s="1"/>
  <c r="AE238" i="3"/>
  <c r="AA94" i="3"/>
  <c r="AG94" i="3" s="1"/>
  <c r="AE222" i="3"/>
  <c r="AE85" i="3"/>
  <c r="AE54" i="3"/>
  <c r="AB93" i="3"/>
  <c r="AH93" i="3" s="1"/>
  <c r="AE360" i="3"/>
  <c r="AC324" i="3"/>
  <c r="AI324" i="3" s="1"/>
  <c r="AC80" i="3"/>
  <c r="AI80" i="3" s="1"/>
  <c r="AD105" i="3"/>
  <c r="AJ105" i="3" s="1"/>
  <c r="AC197" i="3"/>
  <c r="AI197" i="3" s="1"/>
  <c r="AB232" i="3"/>
  <c r="AH232" i="3" s="1"/>
  <c r="AE90" i="3"/>
  <c r="AE224" i="3"/>
  <c r="AD263" i="3"/>
  <c r="AJ263" i="3" s="1"/>
  <c r="AB62" i="3"/>
  <c r="AH62" i="3" s="1"/>
  <c r="AE206" i="3"/>
  <c r="AC269" i="3"/>
  <c r="AI269" i="3" s="1"/>
  <c r="AA373" i="3"/>
  <c r="AG373" i="3" s="1"/>
  <c r="AC48" i="3"/>
  <c r="AI48" i="3" s="1"/>
  <c r="AC63" i="3"/>
  <c r="AI63" i="3" s="1"/>
  <c r="AD237" i="3"/>
  <c r="AJ237" i="3" s="1"/>
  <c r="AB58" i="3"/>
  <c r="AH58" i="3" s="1"/>
  <c r="AA224" i="3"/>
  <c r="AG224" i="3" s="1"/>
  <c r="AD344" i="3"/>
  <c r="AJ344" i="3" s="1"/>
  <c r="AD284" i="3"/>
  <c r="AJ284" i="3" s="1"/>
  <c r="AE299" i="3"/>
  <c r="AB214" i="3"/>
  <c r="AH214" i="3" s="1"/>
  <c r="AA111" i="3"/>
  <c r="AG111" i="3" s="1"/>
  <c r="AA40" i="3"/>
  <c r="AG40" i="3" s="1"/>
  <c r="AA41" i="3"/>
  <c r="AG41" i="3" s="1"/>
  <c r="AB375" i="3"/>
  <c r="AH375" i="3" s="1"/>
  <c r="AB264" i="3"/>
  <c r="AH264" i="3" s="1"/>
  <c r="AA264" i="3"/>
  <c r="AG264" i="3" s="1"/>
  <c r="AF2" i="3"/>
  <c r="AV2" i="5"/>
  <c r="Y58" i="5"/>
  <c r="X58" i="5"/>
  <c r="W58" i="5"/>
  <c r="V58" i="5"/>
  <c r="L58" i="5"/>
  <c r="P58" i="5"/>
  <c r="U58" i="5" s="1"/>
  <c r="M58" i="5"/>
  <c r="N58" i="5" s="1"/>
  <c r="AM58" i="5"/>
  <c r="AH58" i="5"/>
  <c r="AL58" i="5"/>
  <c r="AG58" i="5"/>
  <c r="AI58" i="5"/>
  <c r="AV58" i="5"/>
  <c r="AW58" i="5"/>
  <c r="AX58" i="5"/>
  <c r="AH2" i="5"/>
  <c r="AW2" i="5" s="1"/>
  <c r="M2" i="5"/>
  <c r="AM2" i="5"/>
  <c r="N2" i="5"/>
  <c r="AN2" i="5"/>
  <c r="O2" i="5"/>
  <c r="P2" i="5"/>
  <c r="U2" i="5" s="1"/>
  <c r="V2" i="5"/>
  <c r="X31" i="5"/>
  <c r="W31" i="5"/>
  <c r="V31" i="5"/>
  <c r="P31" i="5"/>
  <c r="U31" i="5" s="1"/>
  <c r="M31" i="5"/>
  <c r="AI31" i="5" s="1"/>
  <c r="AX31" i="5" s="1"/>
  <c r="L31" i="5"/>
  <c r="AH31" i="5" s="1"/>
  <c r="AW31" i="5" s="1"/>
  <c r="AM31" i="5"/>
  <c r="AG31" i="5"/>
  <c r="AL31" i="5"/>
  <c r="AV31" i="5"/>
  <c r="AG14" i="5"/>
  <c r="AG6" i="5"/>
  <c r="V37" i="5"/>
  <c r="AH10" i="5"/>
  <c r="AW10" i="5" s="1"/>
  <c r="AG51" i="5"/>
  <c r="AV51" i="5" s="1"/>
  <c r="V52" i="5"/>
  <c r="V26" i="5"/>
  <c r="X19" i="5"/>
  <c r="X15" i="5"/>
  <c r="AG49" i="5"/>
  <c r="AV49" i="5" s="1"/>
  <c r="V15" i="5"/>
  <c r="W26" i="5"/>
  <c r="W15" i="5"/>
  <c r="AG39" i="5"/>
  <c r="AV39" i="5" s="1"/>
  <c r="AG37" i="5"/>
  <c r="AV37" i="5" s="1"/>
  <c r="AG12" i="5"/>
  <c r="AV12" i="5" s="1"/>
  <c r="AG34" i="5"/>
  <c r="AV34" i="5" s="1"/>
  <c r="AG9" i="5"/>
  <c r="AV9" i="5" s="1"/>
  <c r="AG3" i="5"/>
  <c r="AV3" i="5" s="1"/>
  <c r="X25" i="5"/>
  <c r="AG56" i="5"/>
  <c r="AV56" i="5" s="1"/>
  <c r="AG32" i="5"/>
  <c r="AV32" i="5" s="1"/>
  <c r="AG7" i="5"/>
  <c r="AV7" i="5" s="1"/>
  <c r="V24" i="5"/>
  <c r="AG30" i="5"/>
  <c r="AV30" i="5" s="1"/>
  <c r="AG53" i="5"/>
  <c r="AV53" i="5" s="1"/>
  <c r="AG28" i="5"/>
  <c r="AV28" i="5" s="1"/>
  <c r="AG4" i="5"/>
  <c r="AV4" i="5" s="1"/>
  <c r="W19" i="5"/>
  <c r="W52" i="5"/>
  <c r="AG29" i="5"/>
  <c r="AV29" i="5" s="1"/>
  <c r="X45" i="5"/>
  <c r="AG54" i="5"/>
  <c r="AV54" i="5" s="1"/>
  <c r="V45" i="5"/>
  <c r="Q12" i="5"/>
  <c r="AG24" i="5"/>
  <c r="AV24" i="5" s="1"/>
  <c r="AG44" i="5"/>
  <c r="AV44" i="5" s="1"/>
  <c r="AG19" i="5"/>
  <c r="AV19" i="5" s="1"/>
  <c r="X44" i="5"/>
  <c r="AG5" i="5"/>
  <c r="AV5" i="5" s="1"/>
  <c r="AG25" i="5"/>
  <c r="AV25" i="5" s="1"/>
  <c r="AG42" i="5"/>
  <c r="AV42" i="5" s="1"/>
  <c r="AG17" i="5"/>
  <c r="AV17" i="5" s="1"/>
  <c r="W44" i="5"/>
  <c r="AG55" i="5"/>
  <c r="AV55" i="5" s="1"/>
  <c r="X50" i="5"/>
  <c r="AG41" i="5"/>
  <c r="AV41" i="5" s="1"/>
  <c r="AG16" i="5"/>
  <c r="AV16" i="5" s="1"/>
  <c r="AG26" i="5"/>
  <c r="AV26" i="5" s="1"/>
  <c r="AG50" i="5"/>
  <c r="AV50" i="5" s="1"/>
  <c r="AG40" i="5"/>
  <c r="AV40" i="5" s="1"/>
  <c r="AG15" i="5"/>
  <c r="AV15" i="5" s="1"/>
  <c r="X41" i="5"/>
  <c r="AH3" i="5"/>
  <c r="AW3" i="5" s="1"/>
  <c r="AG48" i="5"/>
  <c r="AV48" i="5" s="1"/>
  <c r="AG23" i="5"/>
  <c r="AV23" i="5" s="1"/>
  <c r="AG43" i="5"/>
  <c r="AV43" i="5" s="1"/>
  <c r="AG18" i="5"/>
  <c r="AV18" i="5" s="1"/>
  <c r="AG38" i="5"/>
  <c r="AV38" i="5" s="1"/>
  <c r="AH33" i="5"/>
  <c r="AW33" i="5" s="1"/>
  <c r="AG13" i="5"/>
  <c r="AV13" i="5" s="1"/>
  <c r="AG33" i="5"/>
  <c r="AV33" i="5" s="1"/>
  <c r="AG8" i="5"/>
  <c r="AV8" i="5" s="1"/>
  <c r="V46" i="5"/>
  <c r="AG52" i="5"/>
  <c r="AV52" i="5" s="1"/>
  <c r="AG27" i="5"/>
  <c r="AV27" i="5" s="1"/>
  <c r="AI17" i="5"/>
  <c r="AX17" i="5" s="1"/>
  <c r="AG47" i="5"/>
  <c r="AV47" i="5" s="1"/>
  <c r="AH42" i="5"/>
  <c r="AW42" i="5" s="1"/>
  <c r="AI37" i="5"/>
  <c r="AX37" i="5" s="1"/>
  <c r="AG22" i="5"/>
  <c r="AV22" i="5" s="1"/>
  <c r="X23" i="5"/>
  <c r="R36" i="5"/>
  <c r="AH12" i="5"/>
  <c r="AW12" i="5" s="1"/>
  <c r="AG46" i="5"/>
  <c r="AV46" i="5" s="1"/>
  <c r="AI36" i="5"/>
  <c r="AX36" i="5" s="1"/>
  <c r="AG21" i="5"/>
  <c r="AV21" i="5" s="1"/>
  <c r="V18" i="5"/>
  <c r="R35" i="5"/>
  <c r="V43" i="5"/>
  <c r="AG36" i="5"/>
  <c r="AV36" i="5" s="1"/>
  <c r="AG11" i="5"/>
  <c r="AV11" i="5" s="1"/>
  <c r="X17" i="5"/>
  <c r="X42" i="5"/>
  <c r="AG45" i="5"/>
  <c r="AV45" i="5" s="1"/>
  <c r="AI35" i="5"/>
  <c r="AX35" i="5" s="1"/>
  <c r="AG20" i="5"/>
  <c r="AV20" i="5" s="1"/>
  <c r="AG35" i="5"/>
  <c r="AV35" i="5" s="1"/>
  <c r="AG10" i="5"/>
  <c r="AV10" i="5" s="1"/>
  <c r="X34" i="5"/>
  <c r="AI34" i="5"/>
  <c r="AX34" i="5" s="1"/>
  <c r="X27" i="5"/>
  <c r="AH9" i="5"/>
  <c r="AW9" i="5" s="1"/>
  <c r="W27" i="5"/>
  <c r="Q33" i="5"/>
  <c r="R17" i="5"/>
  <c r="W51" i="5"/>
  <c r="V14" i="5"/>
  <c r="X14" i="5"/>
  <c r="X51" i="5"/>
  <c r="W39" i="5"/>
  <c r="X13" i="5"/>
  <c r="X48" i="5"/>
  <c r="X38" i="5"/>
  <c r="W21" i="5"/>
  <c r="V38" i="5"/>
  <c r="W12" i="5"/>
  <c r="X39" i="5"/>
  <c r="V13" i="5"/>
  <c r="W38" i="5"/>
  <c r="X12" i="5"/>
  <c r="X47" i="5"/>
  <c r="X20" i="5"/>
  <c r="V12" i="5"/>
  <c r="V39" i="5"/>
  <c r="X21" i="5"/>
  <c r="X46" i="5"/>
  <c r="X37" i="5"/>
  <c r="W20" i="5"/>
  <c r="V49" i="5"/>
  <c r="W13" i="5"/>
  <c r="W37" i="5"/>
  <c r="X9" i="5"/>
  <c r="V34" i="5"/>
  <c r="X3" i="5"/>
  <c r="W56" i="5"/>
  <c r="W25" i="5"/>
  <c r="V56" i="5"/>
  <c r="X55" i="5"/>
  <c r="X49" i="5"/>
  <c r="X43" i="5"/>
  <c r="X30" i="5"/>
  <c r="X24" i="5"/>
  <c r="X18" i="5"/>
  <c r="X6" i="5"/>
  <c r="W33" i="5"/>
  <c r="W8" i="5"/>
  <c r="V8" i="5"/>
  <c r="W50" i="5"/>
  <c r="W32" i="5"/>
  <c r="W7" i="5"/>
  <c r="V32" i="5"/>
  <c r="V7" i="5"/>
  <c r="W55" i="5"/>
  <c r="W30" i="5"/>
  <c r="W18" i="5"/>
  <c r="W6" i="5"/>
  <c r="V9" i="5"/>
  <c r="X33" i="5"/>
  <c r="X8" i="5"/>
  <c r="V3" i="5"/>
  <c r="W54" i="5"/>
  <c r="W48" i="5"/>
  <c r="W42" i="5"/>
  <c r="W36" i="5"/>
  <c r="W29" i="5"/>
  <c r="W23" i="5"/>
  <c r="W17" i="5"/>
  <c r="W11" i="5"/>
  <c r="W5" i="5"/>
  <c r="V54" i="5"/>
  <c r="V42" i="5"/>
  <c r="V36" i="5"/>
  <c r="V29" i="5"/>
  <c r="V17" i="5"/>
  <c r="V11" i="5"/>
  <c r="V5" i="5"/>
  <c r="W34" i="5"/>
  <c r="W9" i="5"/>
  <c r="X53" i="5"/>
  <c r="X35" i="5"/>
  <c r="X28" i="5"/>
  <c r="X22" i="5"/>
  <c r="X10" i="5"/>
  <c r="X4" i="5"/>
  <c r="V33" i="5"/>
  <c r="X54" i="5"/>
  <c r="X36" i="5"/>
  <c r="W53" i="5"/>
  <c r="W47" i="5"/>
  <c r="W41" i="5"/>
  <c r="W35" i="5"/>
  <c r="W28" i="5"/>
  <c r="W22" i="5"/>
  <c r="W10" i="5"/>
  <c r="V4" i="5"/>
  <c r="W3" i="5"/>
  <c r="V35" i="5"/>
  <c r="V10" i="5"/>
  <c r="AL3" i="5"/>
  <c r="AM55" i="5"/>
  <c r="AM54" i="5"/>
  <c r="AM53" i="5"/>
  <c r="AM27" i="5"/>
  <c r="AM36" i="5"/>
  <c r="AM30" i="5"/>
  <c r="AM26" i="5"/>
  <c r="AM25" i="5"/>
  <c r="AM49" i="5"/>
  <c r="AM50" i="5"/>
  <c r="AM23" i="5"/>
  <c r="AM6" i="5"/>
  <c r="AM4" i="5"/>
  <c r="AM39" i="5"/>
  <c r="AM37" i="5"/>
  <c r="AM12" i="5"/>
  <c r="AM13" i="5"/>
  <c r="AM11" i="5"/>
  <c r="AM35" i="5"/>
  <c r="AM10" i="5"/>
  <c r="AM9" i="5"/>
  <c r="AM33" i="5"/>
  <c r="AM8" i="5"/>
  <c r="AM14" i="5"/>
  <c r="AM56" i="5"/>
  <c r="AM32" i="5"/>
  <c r="AM7" i="5"/>
  <c r="AV6" i="5"/>
  <c r="AN9" i="5"/>
  <c r="AR9" i="5"/>
  <c r="AN3" i="5"/>
  <c r="AR3" i="5"/>
  <c r="AN10" i="5"/>
  <c r="AR10" i="5"/>
  <c r="AL34" i="5"/>
  <c r="AL38" i="5"/>
  <c r="L11" i="5"/>
  <c r="AH11" i="5" s="1"/>
  <c r="AL47" i="5"/>
  <c r="AL22" i="5"/>
  <c r="G40" i="5"/>
  <c r="AL43" i="5"/>
  <c r="AR12" i="5"/>
  <c r="AL16" i="5"/>
  <c r="N34" i="5"/>
  <c r="AJ34" i="5" s="1"/>
  <c r="AO34" i="5"/>
  <c r="AS34" i="5"/>
  <c r="AO36" i="5"/>
  <c r="AL46" i="5"/>
  <c r="AL45" i="5"/>
  <c r="AL21" i="5"/>
  <c r="AR42" i="5"/>
  <c r="AN42" i="5"/>
  <c r="AL44" i="5"/>
  <c r="G16" i="5"/>
  <c r="AL15" i="5"/>
  <c r="AL24" i="5"/>
  <c r="AL42" i="5"/>
  <c r="AL19" i="5"/>
  <c r="AL52" i="5"/>
  <c r="AL17" i="5"/>
  <c r="AL20" i="5"/>
  <c r="L41" i="5"/>
  <c r="Q41" i="5" s="1"/>
  <c r="AL28" i="5"/>
  <c r="AL18" i="5"/>
  <c r="AL51" i="5"/>
  <c r="N37" i="5"/>
  <c r="AJ37" i="5" s="1"/>
  <c r="AO37" i="5"/>
  <c r="AS37" i="5"/>
  <c r="AL41" i="5"/>
  <c r="AL40" i="5"/>
  <c r="AO17" i="5"/>
  <c r="AV14" i="5"/>
  <c r="AS35" i="5"/>
  <c r="AL48" i="5"/>
  <c r="AL5" i="5"/>
  <c r="AR33" i="5"/>
  <c r="AL29" i="5"/>
  <c r="L56" i="5"/>
  <c r="AH56" i="5" s="1"/>
  <c r="L32" i="5"/>
  <c r="Q32" i="5" s="1"/>
  <c r="L55" i="5"/>
  <c r="AH55" i="5" s="1"/>
  <c r="L30" i="5"/>
  <c r="Q30" i="5" s="1"/>
  <c r="L6" i="5"/>
  <c r="Q6" i="5" s="1"/>
  <c r="M54" i="5"/>
  <c r="R54" i="5" s="1"/>
  <c r="L29" i="5"/>
  <c r="Q29" i="5" s="1"/>
  <c r="L5" i="5"/>
  <c r="Q5" i="5" s="1"/>
  <c r="L7" i="5"/>
  <c r="M53" i="5"/>
  <c r="M28" i="5"/>
  <c r="R28" i="5" s="1"/>
  <c r="R4" i="5"/>
  <c r="M15" i="5"/>
  <c r="AI15" i="5" s="1"/>
  <c r="M49" i="5"/>
  <c r="M27" i="5"/>
  <c r="M50" i="5"/>
  <c r="AI50" i="5" s="1"/>
  <c r="P22" i="5"/>
  <c r="U22" i="5" s="1"/>
  <c r="L52" i="5"/>
  <c r="Q52" i="5" s="1"/>
  <c r="M24" i="5"/>
  <c r="M47" i="5"/>
  <c r="AI47" i="5" s="1"/>
  <c r="M44" i="5"/>
  <c r="L51" i="5"/>
  <c r="AH51" i="5" s="1"/>
  <c r="P48" i="5"/>
  <c r="U48" i="5" s="1"/>
  <c r="L20" i="5"/>
  <c r="AH20" i="5" s="1"/>
  <c r="M25" i="5"/>
  <c r="AI25" i="5" s="1"/>
  <c r="M23" i="5"/>
  <c r="R23" i="5" s="1"/>
  <c r="P21" i="5"/>
  <c r="U21" i="5" s="1"/>
  <c r="M19" i="5"/>
  <c r="R19" i="5" s="1"/>
  <c r="M26" i="5"/>
  <c r="P46" i="5"/>
  <c r="U46" i="5" s="1"/>
  <c r="M45" i="5"/>
  <c r="R45" i="5" s="1"/>
  <c r="M14" i="5"/>
  <c r="R14" i="5" s="1"/>
  <c r="L49" i="5"/>
  <c r="Q49" i="5" s="1"/>
  <c r="L46" i="5"/>
  <c r="Q46" i="5" s="1"/>
  <c r="L34" i="5"/>
  <c r="Q34" i="5" s="1"/>
  <c r="M21" i="5"/>
  <c r="L8" i="5"/>
  <c r="AH8" i="5" s="1"/>
  <c r="M11" i="5"/>
  <c r="P24" i="5"/>
  <c r="U24" i="5" s="1"/>
  <c r="L23" i="5"/>
  <c r="L4" i="5"/>
  <c r="M6" i="5"/>
  <c r="L19" i="5"/>
  <c r="AH19" i="5" s="1"/>
  <c r="L28" i="5"/>
  <c r="AH28" i="5" s="1"/>
  <c r="M43" i="5"/>
  <c r="L50" i="5"/>
  <c r="AH50" i="5" s="1"/>
  <c r="L27" i="5"/>
  <c r="Q27" i="5" s="1"/>
  <c r="M52" i="5"/>
  <c r="R52" i="5" s="1"/>
  <c r="M13" i="5"/>
  <c r="R13" i="5" s="1"/>
  <c r="L26" i="5"/>
  <c r="AH26" i="5" s="1"/>
  <c r="M22" i="5"/>
  <c r="L48" i="5"/>
  <c r="L25" i="5"/>
  <c r="Q25" i="5" s="1"/>
  <c r="M42" i="5"/>
  <c r="R42" i="5" s="1"/>
  <c r="M32" i="5"/>
  <c r="AI32" i="5" s="1"/>
  <c r="M33" i="5"/>
  <c r="R33" i="5" s="1"/>
  <c r="M12" i="5"/>
  <c r="R12" i="5" s="1"/>
  <c r="L47" i="5"/>
  <c r="Q47" i="5" s="1"/>
  <c r="L24" i="5"/>
  <c r="Q24" i="5" s="1"/>
  <c r="M51" i="5"/>
  <c r="AI51" i="5" s="1"/>
  <c r="L45" i="5"/>
  <c r="L22" i="5"/>
  <c r="M41" i="5"/>
  <c r="AI41" i="5" s="1"/>
  <c r="M30" i="5"/>
  <c r="M20" i="5"/>
  <c r="L44" i="5"/>
  <c r="L21" i="5"/>
  <c r="AH21" i="5" s="1"/>
  <c r="L43" i="5"/>
  <c r="AH43" i="5" s="1"/>
  <c r="M10" i="5"/>
  <c r="R10" i="5" s="1"/>
  <c r="M29" i="5"/>
  <c r="R29" i="5" s="1"/>
  <c r="L18" i="5"/>
  <c r="Q18" i="5" s="1"/>
  <c r="M39" i="5"/>
  <c r="AI39" i="5" s="1"/>
  <c r="L17" i="5"/>
  <c r="Q17" i="5" s="1"/>
  <c r="M48" i="5"/>
  <c r="R48" i="5" s="1"/>
  <c r="M9" i="5"/>
  <c r="R9" i="5" s="1"/>
  <c r="P3" i="5"/>
  <c r="U3" i="5" s="1"/>
  <c r="L38" i="5"/>
  <c r="Q38" i="5" s="1"/>
  <c r="L15" i="5"/>
  <c r="Q15" i="5" s="1"/>
  <c r="M38" i="5"/>
  <c r="AI38" i="5" s="1"/>
  <c r="M3" i="5"/>
  <c r="R3" i="5" s="1"/>
  <c r="L39" i="5"/>
  <c r="AH39" i="5" s="1"/>
  <c r="L37" i="5"/>
  <c r="L14" i="5"/>
  <c r="AH14" i="5" s="1"/>
  <c r="N17" i="5"/>
  <c r="M8" i="5"/>
  <c r="M18" i="5"/>
  <c r="L36" i="5"/>
  <c r="L13" i="5"/>
  <c r="M56" i="5"/>
  <c r="R56" i="5" s="1"/>
  <c r="M7" i="5"/>
  <c r="AI7" i="5" s="1"/>
  <c r="L35" i="5"/>
  <c r="Q35" i="5" s="1"/>
  <c r="N36" i="5"/>
  <c r="S36" i="5" s="1"/>
  <c r="M46" i="5"/>
  <c r="AI46" i="5" s="1"/>
  <c r="M55" i="5"/>
  <c r="AI55" i="5" s="1"/>
  <c r="N35" i="5"/>
  <c r="S35" i="5" s="1"/>
  <c r="L54" i="5"/>
  <c r="Q54" i="5" s="1"/>
  <c r="L53" i="5"/>
  <c r="Q53" i="5" s="1"/>
  <c r="M5" i="5"/>
  <c r="AI5" i="5" s="1"/>
  <c r="P14" i="5"/>
  <c r="U14" i="5" s="1"/>
  <c r="P23" i="5"/>
  <c r="U23" i="5" s="1"/>
  <c r="P47" i="5"/>
  <c r="U47" i="5" s="1"/>
  <c r="P45" i="5"/>
  <c r="U45" i="5" s="1"/>
  <c r="P41" i="5"/>
  <c r="U41" i="5" s="1"/>
  <c r="P33" i="5"/>
  <c r="U33" i="5" s="1"/>
  <c r="P7" i="5"/>
  <c r="U7" i="5" s="1"/>
  <c r="P32" i="5"/>
  <c r="U32" i="5" s="1"/>
  <c r="P6" i="5"/>
  <c r="U6" i="5" s="1"/>
  <c r="P56" i="5"/>
  <c r="U56" i="5" s="1"/>
  <c r="P30" i="5"/>
  <c r="U30" i="5" s="1"/>
  <c r="P5" i="5"/>
  <c r="U5" i="5" s="1"/>
  <c r="P55" i="5"/>
  <c r="U55" i="5" s="1"/>
  <c r="P49" i="5"/>
  <c r="U49" i="5" s="1"/>
  <c r="P25" i="5"/>
  <c r="U25" i="5" s="1"/>
  <c r="P9" i="5"/>
  <c r="U9" i="5" s="1"/>
  <c r="P17" i="5"/>
  <c r="U17" i="5" s="1"/>
  <c r="P54" i="5"/>
  <c r="U54" i="5" s="1"/>
  <c r="P15" i="5"/>
  <c r="U15" i="5" s="1"/>
  <c r="P38" i="5"/>
  <c r="U38" i="5" s="1"/>
  <c r="P53" i="5"/>
  <c r="U53" i="5" s="1"/>
  <c r="P29" i="5"/>
  <c r="U29" i="5" s="1"/>
  <c r="P37" i="5"/>
  <c r="U37" i="5" s="1"/>
  <c r="P52" i="5"/>
  <c r="U52" i="5" s="1"/>
  <c r="P28" i="5"/>
  <c r="U28" i="5" s="1"/>
  <c r="P12" i="5"/>
  <c r="U12" i="5" s="1"/>
  <c r="P44" i="5"/>
  <c r="U44" i="5" s="1"/>
  <c r="P36" i="5"/>
  <c r="U36" i="5" s="1"/>
  <c r="P20" i="5"/>
  <c r="U20" i="5" s="1"/>
  <c r="P27" i="5"/>
  <c r="U27" i="5" s="1"/>
  <c r="P51" i="5"/>
  <c r="U51" i="5" s="1"/>
  <c r="P11" i="5"/>
  <c r="U11" i="5" s="1"/>
  <c r="P4" i="5"/>
  <c r="U4" i="5" s="1"/>
  <c r="P43" i="5"/>
  <c r="U43" i="5" s="1"/>
  <c r="P35" i="5"/>
  <c r="U35" i="5" s="1"/>
  <c r="P19" i="5"/>
  <c r="U19" i="5" s="1"/>
  <c r="P50" i="5"/>
  <c r="U50" i="5" s="1"/>
  <c r="P26" i="5"/>
  <c r="U26" i="5" s="1"/>
  <c r="P10" i="5"/>
  <c r="U10" i="5" s="1"/>
  <c r="P42" i="5"/>
  <c r="U42" i="5" s="1"/>
  <c r="P34" i="5"/>
  <c r="U34" i="5" s="1"/>
  <c r="AD266" i="3" l="1"/>
  <c r="AJ266" i="3" s="1"/>
  <c r="AE197" i="3"/>
  <c r="AC193" i="3"/>
  <c r="AI193" i="3" s="1"/>
  <c r="AB193" i="3"/>
  <c r="AH193" i="3" s="1"/>
  <c r="AA193" i="3"/>
  <c r="AG193" i="3" s="1"/>
  <c r="AD193" i="3"/>
  <c r="AJ193" i="3" s="1"/>
  <c r="AA190" i="3"/>
  <c r="AG190" i="3" s="1"/>
  <c r="AA197" i="3"/>
  <c r="AG197" i="3" s="1"/>
  <c r="AB190" i="3"/>
  <c r="AH190" i="3" s="1"/>
  <c r="AB197" i="3"/>
  <c r="AH197" i="3" s="1"/>
  <c r="AE291" i="3"/>
  <c r="AC291" i="3"/>
  <c r="AI291" i="3" s="1"/>
  <c r="AB291" i="3"/>
  <c r="AH291" i="3" s="1"/>
  <c r="AA291" i="3"/>
  <c r="AG291" i="3" s="1"/>
  <c r="AA188" i="3"/>
  <c r="AG188" i="3" s="1"/>
  <c r="AD188" i="3"/>
  <c r="AJ188" i="3" s="1"/>
  <c r="AC188" i="3"/>
  <c r="AI188" i="3" s="1"/>
  <c r="AE188" i="3"/>
  <c r="O58" i="5"/>
  <c r="AK58" i="5" s="1"/>
  <c r="AJ58" i="5"/>
  <c r="AY58" i="5" s="1"/>
  <c r="R58" i="5"/>
  <c r="AO58" i="5"/>
  <c r="AS58" i="5"/>
  <c r="AT58" i="5"/>
  <c r="S58" i="5"/>
  <c r="AP58" i="5"/>
  <c r="AU58" i="5"/>
  <c r="T58" i="5"/>
  <c r="AQ58" i="5"/>
  <c r="AR58" i="5"/>
  <c r="Q58" i="5"/>
  <c r="AN58" i="5"/>
  <c r="AU2" i="5"/>
  <c r="AQ2" i="5"/>
  <c r="T2" i="5"/>
  <c r="AT2" i="5"/>
  <c r="S2" i="5"/>
  <c r="AP2" i="5"/>
  <c r="AS2" i="5"/>
  <c r="R2" i="5"/>
  <c r="AO2" i="5"/>
  <c r="AJ2" i="5"/>
  <c r="AY2" i="5" s="1"/>
  <c r="AI2" i="5"/>
  <c r="AX2" i="5" s="1"/>
  <c r="AK2" i="5"/>
  <c r="AS31" i="5"/>
  <c r="R31" i="5"/>
  <c r="AO31" i="5"/>
  <c r="N31" i="5"/>
  <c r="Q31" i="5"/>
  <c r="AR31" i="5"/>
  <c r="AN31" i="5"/>
  <c r="AI52" i="5"/>
  <c r="AX52" i="5" s="1"/>
  <c r="AH30" i="5"/>
  <c r="AH35" i="5"/>
  <c r="AW35" i="5" s="1"/>
  <c r="AH47" i="5"/>
  <c r="AW47" i="5" s="1"/>
  <c r="AH5" i="5"/>
  <c r="AW5" i="5" s="1"/>
  <c r="AH32" i="5"/>
  <c r="AW32" i="5" s="1"/>
  <c r="AH49" i="5"/>
  <c r="AW49" i="5" s="1"/>
  <c r="AH54" i="5"/>
  <c r="AI23" i="5"/>
  <c r="AX23" i="5" s="1"/>
  <c r="AI48" i="5"/>
  <c r="AX48" i="5" s="1"/>
  <c r="AH29" i="5"/>
  <c r="AW29" i="5" s="1"/>
  <c r="AH46" i="5"/>
  <c r="AW46" i="5" s="1"/>
  <c r="AJ35" i="5"/>
  <c r="AY35" i="5" s="1"/>
  <c r="AI13" i="5"/>
  <c r="AX13" i="5" s="1"/>
  <c r="AJ36" i="5"/>
  <c r="AY36" i="5" s="1"/>
  <c r="AH18" i="5"/>
  <c r="AW18" i="5" s="1"/>
  <c r="AI29" i="5"/>
  <c r="AX29" i="5" s="1"/>
  <c r="AI4" i="5"/>
  <c r="AX4" i="5" s="1"/>
  <c r="R20" i="5"/>
  <c r="Q4" i="5"/>
  <c r="AH52" i="5"/>
  <c r="AW52" i="5" s="1"/>
  <c r="R27" i="5"/>
  <c r="Q13" i="5"/>
  <c r="Q22" i="5"/>
  <c r="AX15" i="5"/>
  <c r="R15" i="5"/>
  <c r="R30" i="5"/>
  <c r="R18" i="5"/>
  <c r="R11" i="5"/>
  <c r="AW8" i="5"/>
  <c r="Q8" i="5"/>
  <c r="R21" i="5"/>
  <c r="R6" i="5"/>
  <c r="R8" i="5"/>
  <c r="AW14" i="5"/>
  <c r="Q14" i="5"/>
  <c r="AH53" i="5"/>
  <c r="AW53" i="5" s="1"/>
  <c r="AH22" i="5"/>
  <c r="AW22" i="5" s="1"/>
  <c r="AI27" i="5"/>
  <c r="AX27" i="5" s="1"/>
  <c r="AX51" i="5"/>
  <c r="R51" i="5"/>
  <c r="Q37" i="5"/>
  <c r="R53" i="5"/>
  <c r="Q44" i="5"/>
  <c r="Q23" i="5"/>
  <c r="AI49" i="5"/>
  <c r="AX49" i="5" s="1"/>
  <c r="R49" i="5"/>
  <c r="Q45" i="5"/>
  <c r="S17" i="5"/>
  <c r="AW39" i="5"/>
  <c r="Q39" i="5"/>
  <c r="Q7" i="5"/>
  <c r="AI14" i="5"/>
  <c r="AX14" i="5" s="1"/>
  <c r="AI6" i="5"/>
  <c r="AX6" i="5" s="1"/>
  <c r="AX38" i="5"/>
  <c r="R38" i="5"/>
  <c r="AX32" i="5"/>
  <c r="R32" i="5"/>
  <c r="AH37" i="5"/>
  <c r="AW37" i="5" s="1"/>
  <c r="AI42" i="5"/>
  <c r="AX42" i="5" s="1"/>
  <c r="AH41" i="5"/>
  <c r="AW41" i="5" s="1"/>
  <c r="AI20" i="5"/>
  <c r="AX20" i="5" s="1"/>
  <c r="R26" i="5"/>
  <c r="AH25" i="5"/>
  <c r="AW25" i="5" s="1"/>
  <c r="AI30" i="5"/>
  <c r="AX30" i="5" s="1"/>
  <c r="Q36" i="5"/>
  <c r="Q48" i="5"/>
  <c r="AY34" i="5"/>
  <c r="S34" i="5"/>
  <c r="R22" i="5"/>
  <c r="AI54" i="5"/>
  <c r="AX54" i="5" s="1"/>
  <c r="AX25" i="5"/>
  <c r="R25" i="5"/>
  <c r="O37" i="5"/>
  <c r="AU37" i="5" s="1"/>
  <c r="S37" i="5"/>
  <c r="AH34" i="5"/>
  <c r="AW34" i="5" s="1"/>
  <c r="AI56" i="5"/>
  <c r="AX56" i="5" s="1"/>
  <c r="AI10" i="5"/>
  <c r="AX10" i="5" s="1"/>
  <c r="AI12" i="5"/>
  <c r="AX12" i="5" s="1"/>
  <c r="AJ17" i="5"/>
  <c r="AY17" i="5" s="1"/>
  <c r="AI21" i="5"/>
  <c r="AX21" i="5" s="1"/>
  <c r="AW20" i="5"/>
  <c r="Q20" i="5"/>
  <c r="AW56" i="5"/>
  <c r="Q56" i="5"/>
  <c r="AI19" i="5"/>
  <c r="AX19" i="5" s="1"/>
  <c r="AH15" i="5"/>
  <c r="AW15" i="5" s="1"/>
  <c r="AH17" i="5"/>
  <c r="AW17" i="5" s="1"/>
  <c r="AI22" i="5"/>
  <c r="AX22" i="5" s="1"/>
  <c r="AI33" i="5"/>
  <c r="AX33" i="5" s="1"/>
  <c r="AW26" i="5"/>
  <c r="Q26" i="5"/>
  <c r="AW50" i="5"/>
  <c r="Q50" i="5"/>
  <c r="AI53" i="5"/>
  <c r="AX53" i="5" s="1"/>
  <c r="AH24" i="5"/>
  <c r="AW24" i="5" s="1"/>
  <c r="AH6" i="5"/>
  <c r="AW6" i="5" s="1"/>
  <c r="AI11" i="5"/>
  <c r="AX11" i="5" s="1"/>
  <c r="AH7" i="5"/>
  <c r="AW7" i="5" s="1"/>
  <c r="AH27" i="5"/>
  <c r="AW27" i="5" s="1"/>
  <c r="AH38" i="5"/>
  <c r="AW38" i="5" s="1"/>
  <c r="AI18" i="5"/>
  <c r="AX18" i="5" s="1"/>
  <c r="AX50" i="5"/>
  <c r="R50" i="5"/>
  <c r="AX41" i="5"/>
  <c r="R41" i="5"/>
  <c r="AH44" i="5"/>
  <c r="AW44" i="5" s="1"/>
  <c r="AH36" i="5"/>
  <c r="AW36" i="5" s="1"/>
  <c r="AX5" i="5"/>
  <c r="R5" i="5"/>
  <c r="AH13" i="5"/>
  <c r="AW13" i="5" s="1"/>
  <c r="Q55" i="5"/>
  <c r="AI45" i="5"/>
  <c r="AX45" i="5" s="1"/>
  <c r="AH45" i="5"/>
  <c r="AW45" i="5" s="1"/>
  <c r="AX7" i="5"/>
  <c r="R7" i="5"/>
  <c r="AI8" i="5"/>
  <c r="AX8" i="5" s="1"/>
  <c r="AH48" i="5"/>
  <c r="AW48" i="5" s="1"/>
  <c r="AI28" i="5"/>
  <c r="AX28" i="5" s="1"/>
  <c r="AX39" i="5"/>
  <c r="R39" i="5"/>
  <c r="AX55" i="5"/>
  <c r="R55" i="5"/>
  <c r="AX46" i="5"/>
  <c r="R46" i="5"/>
  <c r="AW51" i="5"/>
  <c r="Q51" i="5"/>
  <c r="R43" i="5"/>
  <c r="R44" i="5"/>
  <c r="AW43" i="5"/>
  <c r="Q43" i="5"/>
  <c r="AW28" i="5"/>
  <c r="Q28" i="5"/>
  <c r="AX47" i="5"/>
  <c r="R47" i="5"/>
  <c r="AW11" i="5"/>
  <c r="Q11" i="5"/>
  <c r="AI43" i="5"/>
  <c r="AX43" i="5" s="1"/>
  <c r="AW21" i="5"/>
  <c r="Q21" i="5"/>
  <c r="AW19" i="5"/>
  <c r="Q19" i="5"/>
  <c r="AI24" i="5"/>
  <c r="AX24" i="5" s="1"/>
  <c r="R24" i="5"/>
  <c r="AH4" i="5"/>
  <c r="AW4" i="5" s="1"/>
  <c r="AI9" i="5"/>
  <c r="AX9" i="5" s="1"/>
  <c r="AI44" i="5"/>
  <c r="AX44" i="5" s="1"/>
  <c r="AI26" i="5"/>
  <c r="AX26" i="5" s="1"/>
  <c r="AH23" i="5"/>
  <c r="AW23" i="5" s="1"/>
  <c r="AI3" i="5"/>
  <c r="AX3" i="5" s="1"/>
  <c r="P40" i="5"/>
  <c r="U40" i="5" s="1"/>
  <c r="W40" i="5"/>
  <c r="V40" i="5"/>
  <c r="X40" i="5"/>
  <c r="P16" i="5"/>
  <c r="U16" i="5" s="1"/>
  <c r="V16" i="5"/>
  <c r="W16" i="5"/>
  <c r="X16" i="5"/>
  <c r="O34" i="5"/>
  <c r="L16" i="5"/>
  <c r="AR47" i="5"/>
  <c r="AN47" i="5"/>
  <c r="N12" i="5"/>
  <c r="AO12" i="5"/>
  <c r="AS12" i="5"/>
  <c r="N14" i="5"/>
  <c r="AO14" i="5"/>
  <c r="AS14" i="5"/>
  <c r="AR38" i="5"/>
  <c r="AN38" i="5"/>
  <c r="O35" i="5"/>
  <c r="AP35" i="5"/>
  <c r="AT35" i="5"/>
  <c r="N48" i="5"/>
  <c r="AS48" i="5"/>
  <c r="AO48" i="5"/>
  <c r="N22" i="5"/>
  <c r="AS22" i="5"/>
  <c r="AO22" i="5"/>
  <c r="AO19" i="5"/>
  <c r="AS19" i="5"/>
  <c r="N54" i="5"/>
  <c r="AS54" i="5"/>
  <c r="AO54" i="5"/>
  <c r="N49" i="5"/>
  <c r="AO49" i="5"/>
  <c r="AS49" i="5"/>
  <c r="N4" i="5"/>
  <c r="AS4" i="5"/>
  <c r="AO4" i="5"/>
  <c r="AN46" i="5"/>
  <c r="AR46" i="5"/>
  <c r="AP37" i="5"/>
  <c r="AT37" i="5"/>
  <c r="N46" i="5"/>
  <c r="AO46" i="5"/>
  <c r="AS46" i="5"/>
  <c r="AN18" i="5"/>
  <c r="AR18" i="5"/>
  <c r="N52" i="5"/>
  <c r="AO52" i="5"/>
  <c r="AS52" i="5"/>
  <c r="N25" i="5"/>
  <c r="AO25" i="5"/>
  <c r="AS25" i="5"/>
  <c r="AN6" i="5"/>
  <c r="AR6" i="5"/>
  <c r="AN34" i="5"/>
  <c r="AR34" i="5"/>
  <c r="N45" i="5"/>
  <c r="AO45" i="5"/>
  <c r="AS45" i="5"/>
  <c r="AR54" i="5"/>
  <c r="AN54" i="5"/>
  <c r="AW54" i="5"/>
  <c r="N9" i="5"/>
  <c r="AS9" i="5"/>
  <c r="AO9" i="5"/>
  <c r="AR41" i="5"/>
  <c r="AN41" i="5"/>
  <c r="N28" i="5"/>
  <c r="AO28" i="5"/>
  <c r="AS28" i="5"/>
  <c r="AN49" i="5"/>
  <c r="AR49" i="5"/>
  <c r="AR29" i="5"/>
  <c r="AN29" i="5"/>
  <c r="AR17" i="5"/>
  <c r="AN17" i="5"/>
  <c r="N29" i="5"/>
  <c r="AS29" i="5"/>
  <c r="AO29" i="5"/>
  <c r="AN27" i="5"/>
  <c r="AR27" i="5"/>
  <c r="AN20" i="5"/>
  <c r="AR20" i="5"/>
  <c r="AN30" i="5"/>
  <c r="AW30" i="5"/>
  <c r="AR30" i="5"/>
  <c r="AT36" i="5"/>
  <c r="AP36" i="5"/>
  <c r="N10" i="5"/>
  <c r="AS10" i="5"/>
  <c r="AO10" i="5"/>
  <c r="AR50" i="5"/>
  <c r="AN50" i="5"/>
  <c r="AN55" i="5"/>
  <c r="AW55" i="5"/>
  <c r="AR55" i="5"/>
  <c r="N3" i="5"/>
  <c r="AO3" i="5"/>
  <c r="AS3" i="5"/>
  <c r="N33" i="5"/>
  <c r="AO33" i="5"/>
  <c r="AS33" i="5"/>
  <c r="AN15" i="5"/>
  <c r="AR15" i="5"/>
  <c r="AN51" i="5"/>
  <c r="AR51" i="5"/>
  <c r="N21" i="5"/>
  <c r="AO21" i="5"/>
  <c r="AS21" i="5"/>
  <c r="AR7" i="5"/>
  <c r="AN7" i="5"/>
  <c r="AN53" i="5"/>
  <c r="AR53" i="5"/>
  <c r="AN35" i="5"/>
  <c r="AR35" i="5"/>
  <c r="AN28" i="5"/>
  <c r="AR28" i="5"/>
  <c r="N56" i="5"/>
  <c r="AO56" i="5"/>
  <c r="AS56" i="5"/>
  <c r="AN45" i="5"/>
  <c r="AR45" i="5"/>
  <c r="N55" i="5"/>
  <c r="AO55" i="5"/>
  <c r="AS55" i="5"/>
  <c r="N43" i="5"/>
  <c r="AO43" i="5"/>
  <c r="AS43" i="5"/>
  <c r="AO47" i="5"/>
  <c r="AS47" i="5"/>
  <c r="AR13" i="5"/>
  <c r="AN13" i="5"/>
  <c r="AR44" i="5"/>
  <c r="AN44" i="5"/>
  <c r="N19" i="5"/>
  <c r="N24" i="5"/>
  <c r="AO24" i="5"/>
  <c r="AS24" i="5"/>
  <c r="AT34" i="5"/>
  <c r="AP34" i="5"/>
  <c r="N11" i="5"/>
  <c r="AS11" i="5"/>
  <c r="AO11" i="5"/>
  <c r="AN24" i="5"/>
  <c r="AR24" i="5"/>
  <c r="AN39" i="5"/>
  <c r="AR39" i="5"/>
  <c r="N53" i="5"/>
  <c r="AO53" i="5"/>
  <c r="AS53" i="5"/>
  <c r="AO38" i="5"/>
  <c r="AS38" i="5"/>
  <c r="N32" i="5"/>
  <c r="AO32" i="5"/>
  <c r="AS32" i="5"/>
  <c r="AR48" i="5"/>
  <c r="AN48" i="5"/>
  <c r="AN26" i="5"/>
  <c r="AR26" i="5"/>
  <c r="M40" i="5"/>
  <c r="AR19" i="5"/>
  <c r="AN19" i="5"/>
  <c r="N20" i="5"/>
  <c r="AO20" i="5"/>
  <c r="AS20" i="5"/>
  <c r="AN52" i="5"/>
  <c r="AR52" i="5"/>
  <c r="N18" i="5"/>
  <c r="AO18" i="5"/>
  <c r="AS18" i="5"/>
  <c r="N30" i="5"/>
  <c r="AO30" i="5"/>
  <c r="AS30" i="5"/>
  <c r="AR56" i="5"/>
  <c r="AN56" i="5"/>
  <c r="N8" i="5"/>
  <c r="AO8" i="5"/>
  <c r="AS8" i="5"/>
  <c r="N41" i="5"/>
  <c r="AS41" i="5"/>
  <c r="AO41" i="5"/>
  <c r="AR23" i="5"/>
  <c r="AN23" i="5"/>
  <c r="AO50" i="5"/>
  <c r="AS50" i="5"/>
  <c r="AN14" i="5"/>
  <c r="AR14" i="5"/>
  <c r="N5" i="5"/>
  <c r="AS5" i="5"/>
  <c r="AO5" i="5"/>
  <c r="N42" i="5"/>
  <c r="AS42" i="5"/>
  <c r="AO42" i="5"/>
  <c r="AR25" i="5"/>
  <c r="AN25" i="5"/>
  <c r="AR5" i="5"/>
  <c r="AN5" i="5"/>
  <c r="N26" i="5"/>
  <c r="AO26" i="5"/>
  <c r="AS26" i="5"/>
  <c r="N39" i="5"/>
  <c r="AO39" i="5"/>
  <c r="AS39" i="5"/>
  <c r="N13" i="5"/>
  <c r="AO13" i="5"/>
  <c r="AS13" i="5"/>
  <c r="N23" i="5"/>
  <c r="AS23" i="5"/>
  <c r="AO23" i="5"/>
  <c r="AN43" i="5"/>
  <c r="AR43" i="5"/>
  <c r="N7" i="5"/>
  <c r="AO7" i="5"/>
  <c r="AS7" i="5"/>
  <c r="N44" i="5"/>
  <c r="AO44" i="5"/>
  <c r="AS44" i="5"/>
  <c r="L40" i="5"/>
  <c r="Q40" i="5" s="1"/>
  <c r="AR21" i="5"/>
  <c r="AN21" i="5"/>
  <c r="M16" i="5"/>
  <c r="AR36" i="5"/>
  <c r="AN36" i="5"/>
  <c r="N6" i="5"/>
  <c r="AO6" i="5"/>
  <c r="AS6" i="5"/>
  <c r="AR32" i="5"/>
  <c r="AN32" i="5"/>
  <c r="AR4" i="5"/>
  <c r="AN4" i="5"/>
  <c r="AT17" i="5"/>
  <c r="AP17" i="5"/>
  <c r="AR22" i="5"/>
  <c r="AN22" i="5"/>
  <c r="N27" i="5"/>
  <c r="AS27" i="5"/>
  <c r="AO27" i="5"/>
  <c r="AR11" i="5"/>
  <c r="AN11" i="5"/>
  <c r="AN37" i="5"/>
  <c r="AR37" i="5"/>
  <c r="AO51" i="5"/>
  <c r="AS51" i="5"/>
  <c r="AN8" i="5"/>
  <c r="AR8" i="5"/>
  <c r="N15" i="5"/>
  <c r="AO15" i="5"/>
  <c r="AS15" i="5"/>
  <c r="AY37" i="5"/>
  <c r="N50" i="5"/>
  <c r="N47" i="5"/>
  <c r="N51" i="5"/>
  <c r="N38" i="5"/>
  <c r="O17" i="5"/>
  <c r="O36" i="5"/>
  <c r="S31" i="5" l="1"/>
  <c r="AT31" i="5"/>
  <c r="AP31" i="5"/>
  <c r="O31" i="5"/>
  <c r="AJ31" i="5"/>
  <c r="AY31" i="5" s="1"/>
  <c r="AQ37" i="5"/>
  <c r="S51" i="5"/>
  <c r="AJ51" i="5"/>
  <c r="S43" i="5"/>
  <c r="AJ43" i="5"/>
  <c r="S52" i="5"/>
  <c r="AJ52" i="5"/>
  <c r="AY52" i="5" s="1"/>
  <c r="S27" i="5"/>
  <c r="AJ27" i="5"/>
  <c r="AY27" i="5" s="1"/>
  <c r="R40" i="5"/>
  <c r="AI40" i="5"/>
  <c r="AX40" i="5" s="1"/>
  <c r="O11" i="5"/>
  <c r="AU11" i="5" s="1"/>
  <c r="S11" i="5"/>
  <c r="AJ11" i="5"/>
  <c r="AY11" i="5" s="1"/>
  <c r="S22" i="5"/>
  <c r="AJ22" i="5"/>
  <c r="AY22" i="5" s="1"/>
  <c r="S44" i="5"/>
  <c r="AJ44" i="5"/>
  <c r="AY44" i="5" s="1"/>
  <c r="S8" i="5"/>
  <c r="AJ8" i="5"/>
  <c r="AY8" i="5" s="1"/>
  <c r="S55" i="5"/>
  <c r="AJ55" i="5"/>
  <c r="AY55" i="5" s="1"/>
  <c r="O48" i="5"/>
  <c r="S48" i="5"/>
  <c r="AJ48" i="5"/>
  <c r="S47" i="5"/>
  <c r="AJ47" i="5"/>
  <c r="AY47" i="5" s="1"/>
  <c r="S7" i="5"/>
  <c r="AJ7" i="5"/>
  <c r="AY7" i="5" s="1"/>
  <c r="O42" i="5"/>
  <c r="AU42" i="5" s="1"/>
  <c r="S42" i="5"/>
  <c r="AJ42" i="5"/>
  <c r="AY42" i="5" s="1"/>
  <c r="S9" i="5"/>
  <c r="AJ9" i="5"/>
  <c r="AY9" i="5" s="1"/>
  <c r="S46" i="5"/>
  <c r="AJ46" i="5"/>
  <c r="AY46" i="5" s="1"/>
  <c r="S50" i="5"/>
  <c r="AJ50" i="5"/>
  <c r="AY50" i="5" s="1"/>
  <c r="T35" i="5"/>
  <c r="AK35" i="5"/>
  <c r="O5" i="5"/>
  <c r="AQ5" i="5" s="1"/>
  <c r="S5" i="5"/>
  <c r="AJ5" i="5"/>
  <c r="AY5" i="5" s="1"/>
  <c r="S33" i="5"/>
  <c r="AJ33" i="5"/>
  <c r="O30" i="5"/>
  <c r="S30" i="5"/>
  <c r="AJ30" i="5"/>
  <c r="AY30" i="5" s="1"/>
  <c r="S56" i="5"/>
  <c r="AJ56" i="5"/>
  <c r="AY56" i="5" s="1"/>
  <c r="O15" i="5"/>
  <c r="AU15" i="5" s="1"/>
  <c r="S15" i="5"/>
  <c r="AJ15" i="5"/>
  <c r="S23" i="5"/>
  <c r="AJ23" i="5"/>
  <c r="AY23" i="5" s="1"/>
  <c r="S32" i="5"/>
  <c r="AJ32" i="5"/>
  <c r="AY32" i="5" s="1"/>
  <c r="S3" i="5"/>
  <c r="AJ3" i="5"/>
  <c r="AY3" i="5" s="1"/>
  <c r="S45" i="5"/>
  <c r="AJ45" i="5"/>
  <c r="AY45" i="5" s="1"/>
  <c r="S18" i="5"/>
  <c r="AJ18" i="5"/>
  <c r="AY18" i="5" s="1"/>
  <c r="S24" i="5"/>
  <c r="AJ24" i="5"/>
  <c r="S29" i="5"/>
  <c r="AJ29" i="5"/>
  <c r="AY29" i="5" s="1"/>
  <c r="S4" i="5"/>
  <c r="AJ4" i="5"/>
  <c r="AY4" i="5" s="1"/>
  <c r="O19" i="5"/>
  <c r="AU19" i="5" s="1"/>
  <c r="S19" i="5"/>
  <c r="AJ19" i="5"/>
  <c r="AY19" i="5" s="1"/>
  <c r="S14" i="5"/>
  <c r="AJ14" i="5"/>
  <c r="AY14" i="5" s="1"/>
  <c r="T36" i="5"/>
  <c r="AK36" i="5"/>
  <c r="O13" i="5"/>
  <c r="AQ13" i="5" s="1"/>
  <c r="S13" i="5"/>
  <c r="AJ13" i="5"/>
  <c r="AY13" i="5" s="1"/>
  <c r="AJ6" i="5"/>
  <c r="AY6" i="5" s="1"/>
  <c r="S6" i="5"/>
  <c r="O49" i="5"/>
  <c r="AU49" i="5" s="1"/>
  <c r="S49" i="5"/>
  <c r="AJ49" i="5"/>
  <c r="AY49" i="5" s="1"/>
  <c r="S12" i="5"/>
  <c r="AJ12" i="5"/>
  <c r="AY12" i="5" s="1"/>
  <c r="T37" i="5"/>
  <c r="AK37" i="5"/>
  <c r="T17" i="5"/>
  <c r="AK17" i="5"/>
  <c r="S39" i="5"/>
  <c r="AJ39" i="5"/>
  <c r="AY39" i="5" s="1"/>
  <c r="S53" i="5"/>
  <c r="AJ53" i="5"/>
  <c r="AY53" i="5" s="1"/>
  <c r="R16" i="5"/>
  <c r="AI16" i="5"/>
  <c r="AX16" i="5" s="1"/>
  <c r="O20" i="5"/>
  <c r="AQ20" i="5" s="1"/>
  <c r="S20" i="5"/>
  <c r="AJ20" i="5"/>
  <c r="AY20" i="5" s="1"/>
  <c r="S38" i="5"/>
  <c r="AJ38" i="5"/>
  <c r="AY38" i="5" s="1"/>
  <c r="S26" i="5"/>
  <c r="AJ26" i="5"/>
  <c r="AY26" i="5" s="1"/>
  <c r="S54" i="5"/>
  <c r="AJ54" i="5"/>
  <c r="AY54" i="5" s="1"/>
  <c r="Q16" i="5"/>
  <c r="S25" i="5"/>
  <c r="AJ25" i="5"/>
  <c r="AY25" i="5" s="1"/>
  <c r="AQ34" i="5"/>
  <c r="T34" i="5"/>
  <c r="AK34" i="5"/>
  <c r="O21" i="5"/>
  <c r="AQ21" i="5" s="1"/>
  <c r="S21" i="5"/>
  <c r="AJ21" i="5"/>
  <c r="AY21" i="5" s="1"/>
  <c r="O10" i="5"/>
  <c r="S10" i="5"/>
  <c r="AJ10" i="5"/>
  <c r="AY10" i="5" s="1"/>
  <c r="AH40" i="5"/>
  <c r="AW40" i="5" s="1"/>
  <c r="S41" i="5"/>
  <c r="AJ41" i="5"/>
  <c r="AY41" i="5" s="1"/>
  <c r="S28" i="5"/>
  <c r="AJ28" i="5"/>
  <c r="AY28" i="5" s="1"/>
  <c r="AH16" i="5"/>
  <c r="AW16" i="5" s="1"/>
  <c r="AR16" i="5"/>
  <c r="AN16" i="5"/>
  <c r="AU34" i="5"/>
  <c r="O41" i="5"/>
  <c r="O29" i="5"/>
  <c r="O8" i="5"/>
  <c r="O18" i="5"/>
  <c r="AT11" i="5"/>
  <c r="AP11" i="5"/>
  <c r="AP43" i="5"/>
  <c r="AT43" i="5"/>
  <c r="AY43" i="5"/>
  <c r="O28" i="5"/>
  <c r="AP28" i="5"/>
  <c r="AT28" i="5"/>
  <c r="AP25" i="5"/>
  <c r="AT25" i="5"/>
  <c r="O46" i="5"/>
  <c r="AP13" i="5"/>
  <c r="AT13" i="5"/>
  <c r="O55" i="5"/>
  <c r="AP55" i="5"/>
  <c r="AT55" i="5"/>
  <c r="AT39" i="5"/>
  <c r="AP39" i="5"/>
  <c r="AP56" i="5"/>
  <c r="AT56" i="5"/>
  <c r="AU36" i="5"/>
  <c r="AQ36" i="5"/>
  <c r="AO16" i="5"/>
  <c r="AS16" i="5"/>
  <c r="N16" i="5"/>
  <c r="AQ35" i="5"/>
  <c r="AU35" i="5"/>
  <c r="AP32" i="5"/>
  <c r="AT32" i="5"/>
  <c r="AT48" i="5"/>
  <c r="AP48" i="5"/>
  <c r="AY48" i="5"/>
  <c r="AQ19" i="5"/>
  <c r="O32" i="5"/>
  <c r="AP3" i="5"/>
  <c r="AT3" i="5"/>
  <c r="O23" i="5"/>
  <c r="AT23" i="5"/>
  <c r="AP23" i="5"/>
  <c r="AP30" i="5"/>
  <c r="AT30" i="5"/>
  <c r="AP6" i="5"/>
  <c r="AT6" i="5"/>
  <c r="AP18" i="5"/>
  <c r="AT18" i="5"/>
  <c r="AT33" i="5"/>
  <c r="AP33" i="5"/>
  <c r="AY33" i="5"/>
  <c r="AP46" i="5"/>
  <c r="AT46" i="5"/>
  <c r="AT51" i="5"/>
  <c r="AP51" i="5"/>
  <c r="AY51" i="5"/>
  <c r="O24" i="5"/>
  <c r="AP24" i="5"/>
  <c r="AT24" i="5"/>
  <c r="AY24" i="5"/>
  <c r="AT52" i="5"/>
  <c r="AP52" i="5"/>
  <c r="AU30" i="5"/>
  <c r="AQ30" i="5"/>
  <c r="O22" i="5"/>
  <c r="AT22" i="5"/>
  <c r="AP22" i="5"/>
  <c r="AU17" i="5"/>
  <c r="AQ17" i="5"/>
  <c r="AU21" i="5"/>
  <c r="O26" i="5"/>
  <c r="AP26" i="5"/>
  <c r="AT26" i="5"/>
  <c r="AP19" i="5"/>
  <c r="AT19" i="5"/>
  <c r="AT29" i="5"/>
  <c r="AP29" i="5"/>
  <c r="AP45" i="5"/>
  <c r="AT45" i="5"/>
  <c r="AT9" i="5"/>
  <c r="AP9" i="5"/>
  <c r="O52" i="5"/>
  <c r="O6" i="5"/>
  <c r="AR40" i="5"/>
  <c r="AN40" i="5"/>
  <c r="AT20" i="5"/>
  <c r="AP20" i="5"/>
  <c r="O4" i="5"/>
  <c r="AT4" i="5"/>
  <c r="AP4" i="5"/>
  <c r="O56" i="5"/>
  <c r="O25" i="5"/>
  <c r="O53" i="5"/>
  <c r="AP53" i="5"/>
  <c r="AT53" i="5"/>
  <c r="O14" i="5"/>
  <c r="AT14" i="5"/>
  <c r="AP14" i="5"/>
  <c r="O3" i="5"/>
  <c r="O33" i="5"/>
  <c r="O27" i="5"/>
  <c r="AP27" i="5"/>
  <c r="AT27" i="5"/>
  <c r="AP38" i="5"/>
  <c r="AT38" i="5"/>
  <c r="O39" i="5"/>
  <c r="O45" i="5"/>
  <c r="O44" i="5"/>
  <c r="AP44" i="5"/>
  <c r="AT44" i="5"/>
  <c r="AP49" i="5"/>
  <c r="AT49" i="5"/>
  <c r="AT41" i="5"/>
  <c r="AP41" i="5"/>
  <c r="O12" i="5"/>
  <c r="AP12" i="5"/>
  <c r="AT12" i="5"/>
  <c r="O47" i="5"/>
  <c r="AT47" i="5"/>
  <c r="AP47" i="5"/>
  <c r="O50" i="5"/>
  <c r="AP50" i="5"/>
  <c r="AT50" i="5"/>
  <c r="O7" i="5"/>
  <c r="AP7" i="5"/>
  <c r="AT7" i="5"/>
  <c r="N40" i="5"/>
  <c r="AS40" i="5"/>
  <c r="AO40" i="5"/>
  <c r="O43" i="5"/>
  <c r="AT42" i="5"/>
  <c r="AP42" i="5"/>
  <c r="AP8" i="5"/>
  <c r="AT8" i="5"/>
  <c r="AT21" i="5"/>
  <c r="AP21" i="5"/>
  <c r="AT5" i="5"/>
  <c r="AP5" i="5"/>
  <c r="AP15" i="5"/>
  <c r="AT15" i="5"/>
  <c r="AY15" i="5"/>
  <c r="O9" i="5"/>
  <c r="AP10" i="5"/>
  <c r="AT10" i="5"/>
  <c r="AT54" i="5"/>
  <c r="AP54" i="5"/>
  <c r="O54" i="5"/>
  <c r="O51" i="5"/>
  <c r="O38" i="5"/>
  <c r="AQ31" i="5" l="1"/>
  <c r="AU31" i="5"/>
  <c r="T31" i="5"/>
  <c r="AK31" i="5"/>
  <c r="AQ42" i="5"/>
  <c r="AU5" i="5"/>
  <c r="T48" i="5"/>
  <c r="AK48" i="5"/>
  <c r="S16" i="5"/>
  <c r="AJ16" i="5"/>
  <c r="AY16" i="5" s="1"/>
  <c r="T12" i="5"/>
  <c r="AK12" i="5"/>
  <c r="T5" i="5"/>
  <c r="AK5" i="5"/>
  <c r="T43" i="5"/>
  <c r="AK43" i="5"/>
  <c r="T27" i="5"/>
  <c r="AK27" i="5"/>
  <c r="AK49" i="5"/>
  <c r="T49" i="5"/>
  <c r="T18" i="5"/>
  <c r="AK18" i="5"/>
  <c r="AK24" i="5"/>
  <c r="T24" i="5"/>
  <c r="T51" i="5"/>
  <c r="AK51" i="5"/>
  <c r="T20" i="5"/>
  <c r="AK20" i="5"/>
  <c r="AK6" i="5"/>
  <c r="T6" i="5"/>
  <c r="T11" i="5"/>
  <c r="AK11" i="5"/>
  <c r="T28" i="5"/>
  <c r="AK28" i="5"/>
  <c r="T7" i="5"/>
  <c r="AK7" i="5"/>
  <c r="T52" i="5"/>
  <c r="AK52" i="5"/>
  <c r="T26" i="5"/>
  <c r="AK26" i="5"/>
  <c r="T54" i="5"/>
  <c r="AK54" i="5"/>
  <c r="AU20" i="5"/>
  <c r="T44" i="5"/>
  <c r="AK44" i="5"/>
  <c r="AQ49" i="5"/>
  <c r="T32" i="5"/>
  <c r="AK32" i="5"/>
  <c r="AQ8" i="5"/>
  <c r="T8" i="5"/>
  <c r="AK8" i="5"/>
  <c r="T3" i="5"/>
  <c r="AK3" i="5"/>
  <c r="T45" i="5"/>
  <c r="AK45" i="5"/>
  <c r="T19" i="5"/>
  <c r="AK19" i="5"/>
  <c r="T15" i="5"/>
  <c r="AK15" i="5"/>
  <c r="T50" i="5"/>
  <c r="AK50" i="5"/>
  <c r="T39" i="5"/>
  <c r="AK39" i="5"/>
  <c r="AQ11" i="5"/>
  <c r="T55" i="5"/>
  <c r="AK55" i="5"/>
  <c r="AU13" i="5"/>
  <c r="T42" i="5"/>
  <c r="AK42" i="5"/>
  <c r="T33" i="5"/>
  <c r="AK33" i="5"/>
  <c r="S40" i="5"/>
  <c r="AJ40" i="5"/>
  <c r="AK14" i="5"/>
  <c r="T14" i="5"/>
  <c r="T10" i="5"/>
  <c r="AK10" i="5"/>
  <c r="T21" i="5"/>
  <c r="AK21" i="5"/>
  <c r="T53" i="5"/>
  <c r="AK53" i="5"/>
  <c r="AQ48" i="5"/>
  <c r="AQ29" i="5"/>
  <c r="T29" i="5"/>
  <c r="AK29" i="5"/>
  <c r="T4" i="5"/>
  <c r="AK4" i="5"/>
  <c r="T38" i="5"/>
  <c r="AK38" i="5"/>
  <c r="T23" i="5"/>
  <c r="AK23" i="5"/>
  <c r="T13" i="5"/>
  <c r="AK13" i="5"/>
  <c r="AU48" i="5"/>
  <c r="T56" i="5"/>
  <c r="AK56" i="5"/>
  <c r="T46" i="5"/>
  <c r="AK46" i="5"/>
  <c r="AU10" i="5"/>
  <c r="AQ15" i="5"/>
  <c r="T30" i="5"/>
  <c r="AK30" i="5"/>
  <c r="T25" i="5"/>
  <c r="AK25" i="5"/>
  <c r="T47" i="5"/>
  <c r="AK47" i="5"/>
  <c r="AU41" i="5"/>
  <c r="T41" i="5"/>
  <c r="AK41" i="5"/>
  <c r="T9" i="5"/>
  <c r="AK9" i="5"/>
  <c r="AQ10" i="5"/>
  <c r="T22" i="5"/>
  <c r="AK22" i="5"/>
  <c r="AQ41" i="5"/>
  <c r="AU8" i="5"/>
  <c r="AU29" i="5"/>
  <c r="AQ18" i="5"/>
  <c r="AU18" i="5"/>
  <c r="AQ54" i="5"/>
  <c r="AU54" i="5"/>
  <c r="AP16" i="5"/>
  <c r="AT16" i="5"/>
  <c r="O16" i="5"/>
  <c r="AU43" i="5"/>
  <c r="AQ43" i="5"/>
  <c r="AQ22" i="5"/>
  <c r="AU22" i="5"/>
  <c r="AU55" i="5"/>
  <c r="AQ55" i="5"/>
  <c r="AQ28" i="5"/>
  <c r="AU28" i="5"/>
  <c r="AQ7" i="5"/>
  <c r="AU7" i="5"/>
  <c r="AU6" i="5"/>
  <c r="AQ6" i="5"/>
  <c r="AQ50" i="5"/>
  <c r="AU50" i="5"/>
  <c r="AQ44" i="5"/>
  <c r="AU44" i="5"/>
  <c r="AQ52" i="5"/>
  <c r="AU52" i="5"/>
  <c r="AQ38" i="5"/>
  <c r="AU38" i="5"/>
  <c r="AT40" i="5"/>
  <c r="AP40" i="5"/>
  <c r="AY40" i="5"/>
  <c r="O40" i="5"/>
  <c r="AQ33" i="5"/>
  <c r="AU33" i="5"/>
  <c r="AQ51" i="5"/>
  <c r="AU51" i="5"/>
  <c r="AQ3" i="5"/>
  <c r="AU3" i="5"/>
  <c r="AQ4" i="5"/>
  <c r="AU4" i="5"/>
  <c r="AQ14" i="5"/>
  <c r="AU14" i="5"/>
  <c r="AU24" i="5"/>
  <c r="AQ24" i="5"/>
  <c r="AQ27" i="5"/>
  <c r="AU27" i="5"/>
  <c r="AQ45" i="5"/>
  <c r="AU45" i="5"/>
  <c r="AU46" i="5"/>
  <c r="AQ46" i="5"/>
  <c r="AU12" i="5"/>
  <c r="AQ12" i="5"/>
  <c r="AQ23" i="5"/>
  <c r="AU23" i="5"/>
  <c r="AU47" i="5"/>
  <c r="AQ47" i="5"/>
  <c r="AU39" i="5"/>
  <c r="AQ39" i="5"/>
  <c r="AQ26" i="5"/>
  <c r="AU26" i="5"/>
  <c r="AQ9" i="5"/>
  <c r="AU9" i="5"/>
  <c r="AQ53" i="5"/>
  <c r="AU53" i="5"/>
  <c r="AQ25" i="5"/>
  <c r="AU25" i="5"/>
  <c r="AQ56" i="5"/>
  <c r="AU56" i="5"/>
  <c r="AQ32" i="5"/>
  <c r="AU32" i="5"/>
  <c r="T40" i="5" l="1"/>
  <c r="AK40" i="5"/>
  <c r="T16" i="5"/>
  <c r="AK16" i="5"/>
  <c r="AQ16" i="5"/>
  <c r="AU16" i="5"/>
  <c r="AU40" i="5"/>
  <c r="AQ40" i="5"/>
</calcChain>
</file>

<file path=xl/sharedStrings.xml><?xml version="1.0" encoding="utf-8"?>
<sst xmlns="http://schemas.openxmlformats.org/spreadsheetml/2006/main" count="4362" uniqueCount="1284">
  <si>
    <t>Munition</t>
  </si>
  <si>
    <t>Calibre</t>
  </si>
  <si>
    <t>type</t>
  </si>
  <si>
    <t>vitesse (m/s)</t>
  </si>
  <si>
    <t>poids munition</t>
  </si>
  <si>
    <t>5,45 M74</t>
  </si>
  <si>
    <t>5,45x39</t>
  </si>
  <si>
    <t>BO</t>
  </si>
  <si>
    <t>5,45 7N22</t>
  </si>
  <si>
    <t>AP</t>
  </si>
  <si>
    <t>5,56 M193</t>
  </si>
  <si>
    <t>5,56x45</t>
  </si>
  <si>
    <t>5,56 M855</t>
  </si>
  <si>
    <t>5,56 M995 AP45</t>
  </si>
  <si>
    <t>5,56 M855A1 EPR</t>
  </si>
  <si>
    <t>Sniper</t>
  </si>
  <si>
    <t>5,56 Mk262</t>
  </si>
  <si>
    <t>.22 LR</t>
  </si>
  <si>
    <t>5,56x15</t>
  </si>
  <si>
    <t>.22 LR Creuse</t>
  </si>
  <si>
    <t>Expansion</t>
  </si>
  <si>
    <t>.22 LR High Velocity</t>
  </si>
  <si>
    <t>.22 LR Stinger</t>
  </si>
  <si>
    <t>.22 Magnum</t>
  </si>
  <si>
    <t>.22 LR Sub</t>
  </si>
  <si>
    <t>Subsonique</t>
  </si>
  <si>
    <t>.25 ACP</t>
  </si>
  <si>
    <t>6,35x16</t>
  </si>
  <si>
    <t>7,5 MAS Mle 29C</t>
  </si>
  <si>
    <t>7,5x54</t>
  </si>
  <si>
    <t>7,5 MAS Lourde Mle33</t>
  </si>
  <si>
    <t>7,5 MAS perfo Mle29D</t>
  </si>
  <si>
    <t>7,62 TT</t>
  </si>
  <si>
    <t>7,62x25</t>
  </si>
  <si>
    <t>7.62 TTP</t>
  </si>
  <si>
    <t>7.62 TT M48</t>
  </si>
  <si>
    <t>7,62 T Sub</t>
  </si>
  <si>
    <t>7,62 R</t>
  </si>
  <si>
    <t>7,62x39</t>
  </si>
  <si>
    <t>7,62 R AP</t>
  </si>
  <si>
    <t>.30 Carbine</t>
  </si>
  <si>
    <t>7,62x33</t>
  </si>
  <si>
    <t>.30-30</t>
  </si>
  <si>
    <t>7,8x52</t>
  </si>
  <si>
    <t>.300 BLK</t>
  </si>
  <si>
    <t>7,8x34</t>
  </si>
  <si>
    <t>.300 AAC</t>
  </si>
  <si>
    <t>.300 Whisper</t>
  </si>
  <si>
    <t>Sub</t>
  </si>
  <si>
    <t>.303 british</t>
  </si>
  <si>
    <t>.303</t>
  </si>
  <si>
    <t>7,62 N</t>
  </si>
  <si>
    <t>7,62x51</t>
  </si>
  <si>
    <t>7,62 M993</t>
  </si>
  <si>
    <t>7,62 M118LR</t>
  </si>
  <si>
    <t>Sniper AP</t>
  </si>
  <si>
    <t>7,62 M948SABOT</t>
  </si>
  <si>
    <t>.30-06</t>
  </si>
  <si>
    <t>7,62x63</t>
  </si>
  <si>
    <t>.30-06 plus</t>
  </si>
  <si>
    <t>7,62x54 RAP</t>
  </si>
  <si>
    <t>7,62x54</t>
  </si>
  <si>
    <t>7,62x54 R</t>
  </si>
  <si>
    <t>7,62x54 RSP</t>
  </si>
  <si>
    <t>.32 ACP</t>
  </si>
  <si>
    <t>7,65x17</t>
  </si>
  <si>
    <t>7,92x33</t>
  </si>
  <si>
    <t>8mm Mauser</t>
  </si>
  <si>
    <t>7,92x57</t>
  </si>
  <si>
    <t>8mm Lebel</t>
  </si>
  <si>
    <t>8x51</t>
  </si>
  <si>
    <t>8 Nambu</t>
  </si>
  <si>
    <t>8x22</t>
  </si>
  <si>
    <t>.380 ACP</t>
  </si>
  <si>
    <t>9x17</t>
  </si>
  <si>
    <t>9M</t>
  </si>
  <si>
    <t>9x18</t>
  </si>
  <si>
    <t>9M PBM</t>
  </si>
  <si>
    <t>9M SP 7</t>
  </si>
  <si>
    <t>9x19</t>
  </si>
  <si>
    <t>9 PAP</t>
  </si>
  <si>
    <t>9 PF</t>
  </si>
  <si>
    <t>9 S</t>
  </si>
  <si>
    <t>.38 Special</t>
  </si>
  <si>
    <t>9x29</t>
  </si>
  <si>
    <t>.38 Spe Blindé</t>
  </si>
  <si>
    <t>.38 Spe Tête creuse</t>
  </si>
  <si>
    <t>.38 Spe SJHP</t>
  </si>
  <si>
    <t>.38 Spe JHP</t>
  </si>
  <si>
    <t>.38 Spe Grizzly</t>
  </si>
  <si>
    <t>JHP+P</t>
  </si>
  <si>
    <t>.38 Spe +P+</t>
  </si>
  <si>
    <t>.38 Spe Super Police</t>
  </si>
  <si>
    <t>.38 Cor-Bon FMJ</t>
  </si>
  <si>
    <t>.357 Magnum</t>
  </si>
  <si>
    <t>9x33</t>
  </si>
  <si>
    <t>.357 Mag SB</t>
  </si>
  <si>
    <t>.357 Mag Blindé</t>
  </si>
  <si>
    <t>.357 Mag TT creuse</t>
  </si>
  <si>
    <t>.357 Mag JHP 1</t>
  </si>
  <si>
    <t>.357 Mag JHP 2</t>
  </si>
  <si>
    <t>.44-40</t>
  </si>
  <si>
    <t>.44 Magnum</t>
  </si>
  <si>
    <t>11,43x23</t>
  </si>
  <si>
    <t>.44 AMP</t>
  </si>
  <si>
    <t>10,74x33</t>
  </si>
  <si>
    <t>.40 S&amp;W</t>
  </si>
  <si>
    <t>10x22</t>
  </si>
  <si>
    <t>.45 ACP</t>
  </si>
  <si>
    <t>.45 ACP Blindé</t>
  </si>
  <si>
    <t>.45 ACP TT creuse</t>
  </si>
  <si>
    <t>9 SP 6</t>
  </si>
  <si>
    <t>9x39</t>
  </si>
  <si>
    <t>9 SP 5</t>
  </si>
  <si>
    <t>9 BP</t>
  </si>
  <si>
    <t>7,62 SP 4</t>
  </si>
  <si>
    <t>9 PBP</t>
  </si>
  <si>
    <t>7N21</t>
  </si>
  <si>
    <t>7N31</t>
  </si>
  <si>
    <t>7N28 / SP-11</t>
  </si>
  <si>
    <t>9x21</t>
  </si>
  <si>
    <t>7N29 / SP-10</t>
  </si>
  <si>
    <t>5,45 MPT</t>
  </si>
  <si>
    <t>SS190</t>
  </si>
  <si>
    <t>5,7x28</t>
  </si>
  <si>
    <t>SB193</t>
  </si>
  <si>
    <t>SS192</t>
  </si>
  <si>
    <t>5,8 DBP87</t>
  </si>
  <si>
    <t>5,8x42</t>
  </si>
  <si>
    <t>5,8 DBP88</t>
  </si>
  <si>
    <t>.50 BMG</t>
  </si>
  <si>
    <t>12,7x99</t>
  </si>
  <si>
    <t>.50 BMG HP</t>
  </si>
  <si>
    <t>.50 BMG API-S</t>
  </si>
  <si>
    <t>14,5 MDZ</t>
  </si>
  <si>
    <t>14,5x114</t>
  </si>
  <si>
    <t>14,5 BS</t>
  </si>
  <si>
    <t>14,5 BZT</t>
  </si>
  <si>
    <t>8x57 JR</t>
  </si>
  <si>
    <t>7,92x94</t>
  </si>
  <si>
    <t>7,92DS</t>
  </si>
  <si>
    <t>7,92x107</t>
  </si>
  <si>
    <t>12,7R</t>
  </si>
  <si>
    <t>12,7x108</t>
  </si>
  <si>
    <t>12,7 BZT</t>
  </si>
  <si>
    <t>13x92SR</t>
  </si>
  <si>
    <t>13x92</t>
  </si>
  <si>
    <t>.55 Boys</t>
  </si>
  <si>
    <t>13,9x99</t>
  </si>
  <si>
    <t>15,2x114</t>
  </si>
  <si>
    <t>.308 Winchester D46</t>
  </si>
  <si>
    <t>.308 Winchester AP</t>
  </si>
  <si>
    <t>.308 Winchester Sub</t>
  </si>
  <si>
    <t>4,6x30</t>
  </si>
  <si>
    <t>Cal. 12 G</t>
  </si>
  <si>
    <t>18,5x70</t>
  </si>
  <si>
    <t>Grenaille</t>
  </si>
  <si>
    <t>Cal. 12 Mag</t>
  </si>
  <si>
    <t>Cal. 12 B</t>
  </si>
  <si>
    <t>Brenneke</t>
  </si>
  <si>
    <t>Cal. 12 E</t>
  </si>
  <si>
    <t>Cal. 16 G</t>
  </si>
  <si>
    <t>16,8x70</t>
  </si>
  <si>
    <t>Cal. 16 B</t>
  </si>
  <si>
    <t>Cal. 20 G</t>
  </si>
  <si>
    <t>15,6x67</t>
  </si>
  <si>
    <t>Cal. 20 E</t>
  </si>
  <si>
    <t>Cal. 20 B</t>
  </si>
  <si>
    <t>.300 WM</t>
  </si>
  <si>
    <t>7,62x66</t>
  </si>
  <si>
    <t>8,58x71</t>
  </si>
  <si>
    <t>7,62x42</t>
  </si>
  <si>
    <t>.50 AE</t>
  </si>
  <si>
    <t>12,7 x 32,6</t>
  </si>
  <si>
    <t>STS-130 TP</t>
  </si>
  <si>
    <t>12,7x55</t>
  </si>
  <si>
    <t>STS-130 BP</t>
  </si>
  <si>
    <t>7,65 L</t>
  </si>
  <si>
    <t>7,65x20</t>
  </si>
  <si>
    <t>8 court</t>
  </si>
  <si>
    <t>8x27</t>
  </si>
  <si>
    <t>Type de munition</t>
  </si>
  <si>
    <t>9 P</t>
  </si>
  <si>
    <t>Nom</t>
  </si>
  <si>
    <t>Poids à vide</t>
  </si>
  <si>
    <t>Tula Arms Plant - MSS Vul</t>
  </si>
  <si>
    <t>Accuracy international - AW50F</t>
  </si>
  <si>
    <t>Accuracy internationnal - AT308</t>
  </si>
  <si>
    <t>ARES - LMG-1</t>
  </si>
  <si>
    <t>Ares Inc - FMG</t>
  </si>
  <si>
    <t>Armalite - AR 18</t>
  </si>
  <si>
    <t>Armurier Breton - FSA Commando</t>
  </si>
  <si>
    <t>Armurier Breton - FSA Précision</t>
  </si>
  <si>
    <t>Armurier Breton - FSA Précision S</t>
  </si>
  <si>
    <t>Atchisson - AA-12</t>
  </si>
  <si>
    <t>Auto mag corporation - .44 Automag</t>
  </si>
  <si>
    <t>Auto-Ordonnance Cie - Thompson Mle 1928</t>
  </si>
  <si>
    <t>Barrett - M82A1 Light-Fifty</t>
  </si>
  <si>
    <t>Barrett - M82A2 Light-Fifty</t>
  </si>
  <si>
    <t>Barrett - M95</t>
  </si>
  <si>
    <t>Benelli - Benelli Supernova</t>
  </si>
  <si>
    <t>Benelli - M2</t>
  </si>
  <si>
    <t>Benelli - M3</t>
  </si>
  <si>
    <t>Beretta - AR 70</t>
  </si>
  <si>
    <t>beretta - Beretta 92FS</t>
  </si>
  <si>
    <t>Beretta - Beretta 93 R</t>
  </si>
  <si>
    <t>Beretta - Beretta 93 R stock</t>
  </si>
  <si>
    <t>beretta - Beretta 96 CP</t>
  </si>
  <si>
    <t>10,17x29</t>
  </si>
  <si>
    <t>Beretta - Beretta ARX-100</t>
  </si>
  <si>
    <t>Beretta - Beretta AS 70/90</t>
  </si>
  <si>
    <t>Beretta - Beretta BM59</t>
  </si>
  <si>
    <t>beretta - Beretta CX-4 Storm</t>
  </si>
  <si>
    <t>Beretta - Beretta M12</t>
  </si>
  <si>
    <t>Beretta - Beretta M1918</t>
  </si>
  <si>
    <t>Beretta - Beretta M34</t>
  </si>
  <si>
    <t>Beretta - Beretta Model 1951</t>
  </si>
  <si>
    <t>Beretta - Beretta Model 70S</t>
  </si>
  <si>
    <t>Beretta - Beretta Model 84</t>
  </si>
  <si>
    <t>Beretta - Beretta Model12S</t>
  </si>
  <si>
    <t>Bergmann - MP35</t>
  </si>
  <si>
    <t>Browning - .50 M2HB</t>
  </si>
  <si>
    <t>Browning - BDA-380</t>
  </si>
  <si>
    <t>.380ACP</t>
  </si>
  <si>
    <t>Browning - Buck Mk22</t>
  </si>
  <si>
    <t>Browning - HP 35</t>
  </si>
  <si>
    <t>9x19 P</t>
  </si>
  <si>
    <t>BSAC - Welrod .32</t>
  </si>
  <si>
    <t>BSAC - Welrod 9</t>
  </si>
  <si>
    <t>Bushmaster internationnal - BAP</t>
  </si>
  <si>
    <t>5.56N</t>
  </si>
  <si>
    <t>Ceská zbrojovka - VZ-24</t>
  </si>
  <si>
    <t>Ceská zbrojovka - Vz-52</t>
  </si>
  <si>
    <t>Ceská zbrojovka - Vz-54</t>
  </si>
  <si>
    <t>Ceská zbrojovka - VZ-59</t>
  </si>
  <si>
    <t>Ceská zbrojovka - Vz-61/62 Skorpion</t>
  </si>
  <si>
    <t>CETME - CETME C</t>
  </si>
  <si>
    <t>CETME - CETME L</t>
  </si>
  <si>
    <t>CETME - CETME LC</t>
  </si>
  <si>
    <t>CETME - CETMI Ameli</t>
  </si>
  <si>
    <t>Chauchat - RSC Mle1918</t>
  </si>
  <si>
    <t>CKIB - VKS - Vychlop</t>
  </si>
  <si>
    <t>Colt - Special police</t>
  </si>
  <si>
    <t>Colt - .44 anaconda 8'</t>
  </si>
  <si>
    <t>10,9x41</t>
  </si>
  <si>
    <t>Colt - AR 15 A2</t>
  </si>
  <si>
    <t>Colt - CAR 15 (M177)</t>
  </si>
  <si>
    <t>Colt - Colt Police 12"</t>
  </si>
  <si>
    <t>.38 special</t>
  </si>
  <si>
    <t>Colt - Colt Python 15"</t>
  </si>
  <si>
    <t>Colt - Colt Python 6"</t>
  </si>
  <si>
    <t>Colt - combat commander</t>
  </si>
  <si>
    <t>Colt - détective special</t>
  </si>
  <si>
    <t>Colt - Government M380</t>
  </si>
  <si>
    <t>Colt - M16 A1</t>
  </si>
  <si>
    <t>Colt - M16 A1 carbine</t>
  </si>
  <si>
    <t>Colt - M16 A1 HBAR</t>
  </si>
  <si>
    <t>Colt - M16 A2</t>
  </si>
  <si>
    <t>Colt - M16 A2 Carbine</t>
  </si>
  <si>
    <t>Colt - M16 A4</t>
  </si>
  <si>
    <t>Colt - M1911A1</t>
  </si>
  <si>
    <t>Colt - M3 A1</t>
  </si>
  <si>
    <t>Colt - M4A1</t>
  </si>
  <si>
    <t>Colt - M4A4</t>
  </si>
  <si>
    <t>Colt - SR 635 KAC</t>
  </si>
  <si>
    <t>Colt - SR 635 SMG</t>
  </si>
  <si>
    <t>CZ - CZ 75</t>
  </si>
  <si>
    <t>Degtiarev - DShK</t>
  </si>
  <si>
    <t>Degtiarev - DShK sur trepied</t>
  </si>
  <si>
    <t>Delisle - Carbine</t>
  </si>
  <si>
    <t>Detonic - DA 9</t>
  </si>
  <si>
    <t>Detonic - Scoremaster</t>
  </si>
  <si>
    <t>Diemaco - C 3A1</t>
  </si>
  <si>
    <t>Diemaco - C7A1</t>
  </si>
  <si>
    <t>Einfield - Mk I Boys Antitank Rifle monopod</t>
  </si>
  <si>
    <t>Einfield - Mk II Boys Antitank Rifle</t>
  </si>
  <si>
    <t>Enfield - Sten</t>
  </si>
  <si>
    <t>Enfield - Sten Mk II S</t>
  </si>
  <si>
    <t>Erma - EMP 36</t>
  </si>
  <si>
    <t>Erma - EMP 36 S</t>
  </si>
  <si>
    <t>FEG - AMD-65</t>
  </si>
  <si>
    <t>FN HERSTAL - FN P2000</t>
  </si>
  <si>
    <t>FN HERSTAL - FN P90</t>
  </si>
  <si>
    <t>FN HERSTAL - FNC M2</t>
  </si>
  <si>
    <t>FN HERSTAL - FNC M3 Para</t>
  </si>
  <si>
    <t>FN HERSTAL - FNFAL</t>
  </si>
  <si>
    <t>FN HERSTAL - M249 Minimi</t>
  </si>
  <si>
    <t>FN HERSTAL - Minimi Para</t>
  </si>
  <si>
    <t>FN HERSTAL - SAFN49</t>
  </si>
  <si>
    <t>Franchi - PA3</t>
  </si>
  <si>
    <t>Franchi - SPAS 12</t>
  </si>
  <si>
    <t>Franchi - SPAS-15</t>
  </si>
  <si>
    <t>Franchi - SPAS-15 Close with buckshot</t>
  </si>
  <si>
    <t>Franchi - SPAS-15 Medium with buckshot (p200)</t>
  </si>
  <si>
    <t>G8 A1</t>
  </si>
  <si>
    <t>Galil - 99SR</t>
  </si>
  <si>
    <t>Galil - ACE</t>
  </si>
  <si>
    <t>Galil - ARM</t>
  </si>
  <si>
    <t>Galil - Galatz SR</t>
  </si>
  <si>
    <t>Galil - MAR</t>
  </si>
  <si>
    <t>Galil - SAR</t>
  </si>
  <si>
    <t>General Electric - M214 sans trepied</t>
  </si>
  <si>
    <t>General Electric - M214 sur trepied</t>
  </si>
  <si>
    <t>Glock - G17</t>
  </si>
  <si>
    <t>Glock - G21</t>
  </si>
  <si>
    <t>Glock - G22</t>
  </si>
  <si>
    <t>GM - M3A1</t>
  </si>
  <si>
    <t>GP35</t>
  </si>
  <si>
    <t>Hawk SA</t>
  </si>
  <si>
    <t>Heckler&amp;Koch - HK 21 A1</t>
  </si>
  <si>
    <t>Heckler&amp;Koch - HK 23E</t>
  </si>
  <si>
    <t>Heckler&amp;Koch - HK 33 A2</t>
  </si>
  <si>
    <t>Heckler&amp;Koch - HK 33 A3</t>
  </si>
  <si>
    <t>Heckler&amp;Koch - HK 33 K A1</t>
  </si>
  <si>
    <t>Heckler&amp;Koch - HK 33 SG/1</t>
  </si>
  <si>
    <t>Heckler&amp;Koch - HK 416</t>
  </si>
  <si>
    <t>Heckler&amp;Koch - HK 417 D20</t>
  </si>
  <si>
    <t>7,62 x 51</t>
  </si>
  <si>
    <t>Heckler&amp;Koch - HK 53</t>
  </si>
  <si>
    <t>Heckler&amp;Koch - HK 94 SG1</t>
  </si>
  <si>
    <t>Heckler&amp;Koch - HK CAWS</t>
  </si>
  <si>
    <t>Heckler&amp;Koch - HK D10RS</t>
  </si>
  <si>
    <t>Heckler&amp;Koch - HK G3 A3</t>
  </si>
  <si>
    <t>Heckler&amp;Koch - HK G3 A4</t>
  </si>
  <si>
    <t>Heckler&amp;Koch - HK G3 K</t>
  </si>
  <si>
    <t>Heckler&amp;Koch - HK G3 SG/1</t>
  </si>
  <si>
    <t>Heckler&amp;Koch - HK G36</t>
  </si>
  <si>
    <t>Heckler&amp;Koch - HK G36 K</t>
  </si>
  <si>
    <t>Heckler&amp;Koch - HK G41 A1</t>
  </si>
  <si>
    <t>Heckler&amp;Koch - HK G41 A2</t>
  </si>
  <si>
    <t>Heckler&amp;Koch - HK G41 K</t>
  </si>
  <si>
    <t>Heckler&amp;Koch - HK Mk23 Mod 0 S</t>
  </si>
  <si>
    <t>Heckler&amp;Koch - HK MP 2000</t>
  </si>
  <si>
    <t>Heckler&amp;Koch - HK MP5 A2</t>
  </si>
  <si>
    <t>Heckler&amp;Koch - HK MP5 A3</t>
  </si>
  <si>
    <t>Heckler&amp;Koch - HK MP5 A4</t>
  </si>
  <si>
    <t>Heckler&amp;Koch - HK MP5 A5</t>
  </si>
  <si>
    <t>Heckler&amp;Koch - HK MP5 K</t>
  </si>
  <si>
    <t>Heckler&amp;Koch - HK MP5 SD5</t>
  </si>
  <si>
    <t>Heckler&amp;Koch - HK MP5 SD6</t>
  </si>
  <si>
    <t>Heckler&amp;Koch - HK MP5/40</t>
  </si>
  <si>
    <t>Heckler&amp;Koch - HK MP7</t>
  </si>
  <si>
    <t>Heckler&amp;Koch - HK P2000</t>
  </si>
  <si>
    <t>Heckler&amp;Koch - HK P7M9-13</t>
  </si>
  <si>
    <t>Heckler&amp;Koch - HK P9S</t>
  </si>
  <si>
    <t>Heckler&amp;Koch - HK PSG1</t>
  </si>
  <si>
    <t>Heckler&amp;Koch - HK USP</t>
  </si>
  <si>
    <t>Heckler&amp;Koch - HK XM 8</t>
  </si>
  <si>
    <t>Heckler&amp;Koch - HK-4</t>
  </si>
  <si>
    <t>High Standart - HDM</t>
  </si>
  <si>
    <t>Hight Standart - Sharp Derringer</t>
  </si>
  <si>
    <t>Mendoza - HM-3</t>
  </si>
  <si>
    <t>Hotchkiss - Mle 1914</t>
  </si>
  <si>
    <t>8mm lebel</t>
  </si>
  <si>
    <t>IMBEL - 45 UC</t>
  </si>
  <si>
    <t>IMBEL - 9 GC</t>
  </si>
  <si>
    <t>IMBEL - MD2</t>
  </si>
  <si>
    <t>IMBEL - MD97LC</t>
  </si>
  <si>
    <t>IMI - M91 UZI</t>
  </si>
  <si>
    <t>IMI - Micro UZI</t>
  </si>
  <si>
    <t>IMI - Mini UZI</t>
  </si>
  <si>
    <t>IMI - MTAR-21 Micro Tavor</t>
  </si>
  <si>
    <t>IMI - TAR-21 Tavor</t>
  </si>
  <si>
    <t>IMI - X-95 Tavor</t>
  </si>
  <si>
    <t>Ingram - M 11</t>
  </si>
  <si>
    <t>Ingram - M10</t>
  </si>
  <si>
    <t>Ingram - M10 .45</t>
  </si>
  <si>
    <t>Ingram - M10 SD</t>
  </si>
  <si>
    <t>Ingram - M11/9 SD</t>
  </si>
  <si>
    <t>IWI - 941FS JERICHO</t>
  </si>
  <si>
    <t>Izhmash - SR-3M VIKHR</t>
  </si>
  <si>
    <t>Izhmash - SV-98</t>
  </si>
  <si>
    <t>Izhmash - SVD</t>
  </si>
  <si>
    <t>Izhmash - SVU-A</t>
  </si>
  <si>
    <t>Jati-Matic</t>
  </si>
  <si>
    <t>K11</t>
  </si>
  <si>
    <t>Kalashnikov - AK-104</t>
  </si>
  <si>
    <t>Kalashnikov - AK-105</t>
  </si>
  <si>
    <t>Kalashnikov - AK-107</t>
  </si>
  <si>
    <t>Kalashnikov - AK-108</t>
  </si>
  <si>
    <t>Kalashnikov - AK-12</t>
  </si>
  <si>
    <t>Kalashnikov - AK-15</t>
  </si>
  <si>
    <t>Kalashnikov - AK-47</t>
  </si>
  <si>
    <t>Kalashnikov - AK-74</t>
  </si>
  <si>
    <t>Kalashnikov - AK-9</t>
  </si>
  <si>
    <t>Kalashnikov - AKM</t>
  </si>
  <si>
    <t>Kalashnikov - AKMS</t>
  </si>
  <si>
    <t>Kalashnikov - AKR</t>
  </si>
  <si>
    <t>Kalashnikov - AKS-74U</t>
  </si>
  <si>
    <t>Kalashnikov - KR-9SBR</t>
  </si>
  <si>
    <t>Kalashnikov - KS-12T</t>
  </si>
  <si>
    <t>cal. 12 g</t>
  </si>
  <si>
    <t>12 gauge</t>
  </si>
  <si>
    <t>KPV</t>
  </si>
  <si>
    <t>Lee Einfield - L42 A1</t>
  </si>
  <si>
    <t>Lee Einfield - L85 A1</t>
  </si>
  <si>
    <t>Lee Einfield - L86 A1</t>
  </si>
  <si>
    <t>Lee Einfield - L96 A1</t>
  </si>
  <si>
    <t>Lebel-Berthier - mousqueton 1916</t>
  </si>
  <si>
    <t>Lee Einfield - Lee Einfield Mk4</t>
  </si>
  <si>
    <t>Lewis - Mk1</t>
  </si>
  <si>
    <t>Lithgow - SMG F1A1</t>
  </si>
  <si>
    <t>Llama - Large Frame Auto</t>
  </si>
  <si>
    <t>Luger - Luger P08</t>
  </si>
  <si>
    <t>M 45B</t>
  </si>
  <si>
    <t>M 45B SD</t>
  </si>
  <si>
    <t>M134 Minigun</t>
  </si>
  <si>
    <t>M14</t>
  </si>
  <si>
    <t>M40 A1</t>
  </si>
  <si>
    <t>M60</t>
  </si>
  <si>
    <t>M60 E3 L</t>
  </si>
  <si>
    <t>M60 E3 S</t>
  </si>
  <si>
    <t>MAB - Baby Browning</t>
  </si>
  <si>
    <t>MAB - Micro Unique</t>
  </si>
  <si>
    <t>MAC - AA-52</t>
  </si>
  <si>
    <t>MAC - PAMAC 50</t>
  </si>
  <si>
    <t>Magnum Research - Desert Eagle .50AE</t>
  </si>
  <si>
    <t>Magnum Research - Desert eagle 357</t>
  </si>
  <si>
    <t>Magnum Research - Desert eagle 44</t>
  </si>
  <si>
    <t>11,2x32,8</t>
  </si>
  <si>
    <t>Makarov - PM Makarov</t>
  </si>
  <si>
    <t>Mamba</t>
  </si>
  <si>
    <t>Manufacture d'armes de Bayonne - PA-15</t>
  </si>
  <si>
    <t>Manurhin - MR 88</t>
  </si>
  <si>
    <t>Manurhin - MR73</t>
  </si>
  <si>
    <t>Manurhin - Walther PPK</t>
  </si>
  <si>
    <t>Manurhin - Walther PPK/S</t>
  </si>
  <si>
    <t>MAS - Darne</t>
  </si>
  <si>
    <t>MAS - FA-MAS F1</t>
  </si>
  <si>
    <t>MAS - FAMAS Commando</t>
  </si>
  <si>
    <t>MAS - Famas Felin</t>
  </si>
  <si>
    <t>MAS - FAMAS G2</t>
  </si>
  <si>
    <t>MAS - FM 24/29</t>
  </si>
  <si>
    <t>MAS - FR F1</t>
  </si>
  <si>
    <t>MAS - FR F2</t>
  </si>
  <si>
    <t>MAS - MAS 36</t>
  </si>
  <si>
    <t>MAS - MAS 36 CR</t>
  </si>
  <si>
    <t>MAS - MAS 38</t>
  </si>
  <si>
    <t>MAS - MAS-40</t>
  </si>
  <si>
    <t>MAS - MAS49-56 FSA</t>
  </si>
  <si>
    <t>MAS - MAS49/56 MSE</t>
  </si>
  <si>
    <t>MAS - Model 1892</t>
  </si>
  <si>
    <t>MAT - MAT 49</t>
  </si>
  <si>
    <t>Mauser - C96</t>
  </si>
  <si>
    <t>Mauser - C96 Mle 1916 "red nine"</t>
  </si>
  <si>
    <t>Mauser - C96 Schnellfeuer</t>
  </si>
  <si>
    <t>Mauser - K98</t>
  </si>
  <si>
    <t>8mm mauser</t>
  </si>
  <si>
    <t>Mauser - MG3 (MG 42/59)</t>
  </si>
  <si>
    <t>Mauser - SP66</t>
  </si>
  <si>
    <t>Mosberg - 500 Special</t>
  </si>
  <si>
    <t>15,7x67</t>
  </si>
  <si>
    <t>Mosberg - 930</t>
  </si>
  <si>
    <t>Mosberg - Maverick</t>
  </si>
  <si>
    <t>MP-444</t>
  </si>
  <si>
    <t>9x19P</t>
  </si>
  <si>
    <t>MP-445</t>
  </si>
  <si>
    <t>MPi 81</t>
  </si>
  <si>
    <t>Neguev lmg</t>
  </si>
  <si>
    <t>Neostad Shotgun</t>
  </si>
  <si>
    <t>Nikonov - AN-94</t>
  </si>
  <si>
    <t>Norinco - QBB-95</t>
  </si>
  <si>
    <t>Norinco - QBU-88</t>
  </si>
  <si>
    <t>Norinco - QBZ-95</t>
  </si>
  <si>
    <t>Norinco - QBZ-97</t>
  </si>
  <si>
    <t>5,56X45</t>
  </si>
  <si>
    <t>Norinco - Type 64</t>
  </si>
  <si>
    <t>Norinco - Type 67</t>
  </si>
  <si>
    <t>Norinco - Type 85</t>
  </si>
  <si>
    <t>NSVS tu</t>
  </si>
  <si>
    <t>Ots-14-1A Groza-1</t>
  </si>
  <si>
    <t>OTs-14-4A Groza-4</t>
  </si>
  <si>
    <t>Ots-22</t>
  </si>
  <si>
    <t>PGM UR Commando</t>
  </si>
  <si>
    <t>PGM UR Hecate 2</t>
  </si>
  <si>
    <t>PGM UR Intervention</t>
  </si>
  <si>
    <t>PKM</t>
  </si>
  <si>
    <t>PP-19 Bizon II</t>
  </si>
  <si>
    <t>PPsH-41</t>
  </si>
  <si>
    <t>RAI model 300</t>
  </si>
  <si>
    <t>RAI model 500</t>
  </si>
  <si>
    <t>Remington - 870</t>
  </si>
  <si>
    <t>Remington - M24A3</t>
  </si>
  <si>
    <t>RPK-74</t>
  </si>
  <si>
    <t>Ruger - AC 556</t>
  </si>
  <si>
    <t>Ruger - AC 556 F</t>
  </si>
  <si>
    <t>Ruger - Mini 14</t>
  </si>
  <si>
    <t>Ruger - Ruger Blackhawk</t>
  </si>
  <si>
    <t>.44 Mag</t>
  </si>
  <si>
    <t>Ruger - Ruger P-85</t>
  </si>
  <si>
    <t>Saab-Bofors - CBJ MS</t>
  </si>
  <si>
    <t>6,5x25</t>
  </si>
  <si>
    <t>SACM - PA35A</t>
  </si>
  <si>
    <t>Saiga 12K</t>
  </si>
  <si>
    <t>SAR 80</t>
  </si>
  <si>
    <t>Sauer&amp;Sohn - Sig P230</t>
  </si>
  <si>
    <t>Sauer&amp;Sohn - SIG P230</t>
  </si>
  <si>
    <t>Sauer&amp;Sohn - SIG P239</t>
  </si>
  <si>
    <t>Savage 311-R</t>
  </si>
  <si>
    <t>Savage 311-R Close with buckshot</t>
  </si>
  <si>
    <t>Savage 311-R Medium with buckshot (p200)</t>
  </si>
  <si>
    <t>SCAR H CQC</t>
  </si>
  <si>
    <t>SCAR H Standart</t>
  </si>
  <si>
    <t>SCAR L CQC</t>
  </si>
  <si>
    <t>SCAR L standart</t>
  </si>
  <si>
    <t>SCS 70/90</t>
  </si>
  <si>
    <t>Sig-Manurhin - SIG 540</t>
  </si>
  <si>
    <t>Sig-Manurhin - SIG 542</t>
  </si>
  <si>
    <t>Sig-Manurhin - SIG 543</t>
  </si>
  <si>
    <t>Sigsauer - SIG 2000 300</t>
  </si>
  <si>
    <t>Sigsauer - SIG 2000 7</t>
  </si>
  <si>
    <t>Sigsauer - SIG 2000 7,5</t>
  </si>
  <si>
    <t>7,5x55</t>
  </si>
  <si>
    <t>Sigsauer - SIG 510</t>
  </si>
  <si>
    <t>SKS Simonov</t>
  </si>
  <si>
    <t>Smith&amp;Wesson - MP45</t>
  </si>
  <si>
    <t>Smith&amp;Wesson - MP9</t>
  </si>
  <si>
    <t>Smith&amp;Wesson - S&amp;W model 29/16.5</t>
  </si>
  <si>
    <t>Smith&amp;Wesson - S&amp;W model 29/21</t>
  </si>
  <si>
    <t>Smith&amp;Wesson - S&amp;W model 36</t>
  </si>
  <si>
    <t>Smith&amp;Wesson - S&amp;W model 439</t>
  </si>
  <si>
    <t>Smith&amp;Wesson - S&amp;W model 459</t>
  </si>
  <si>
    <t>Spectre M4</t>
  </si>
  <si>
    <t>Springfield - Garand M1</t>
  </si>
  <si>
    <t>Springfield Armory - M21</t>
  </si>
  <si>
    <t>Sterling - L2A3</t>
  </si>
  <si>
    <t>Sterling - L34A1</t>
  </si>
  <si>
    <t>Steyr - AUG A1</t>
  </si>
  <si>
    <t>Steyr - AUG HBar</t>
  </si>
  <si>
    <t>Steyr - AUG LMG</t>
  </si>
  <si>
    <t>Steyr - AUG Para</t>
  </si>
  <si>
    <t>Steyr - GB80</t>
  </si>
  <si>
    <t>Steyr - MP-40</t>
  </si>
  <si>
    <t>Steyr - MPi 69</t>
  </si>
  <si>
    <t>Steyr - SSG 69</t>
  </si>
  <si>
    <t>Swiss Arms - SIG 550</t>
  </si>
  <si>
    <t>Swiss Arms - SIG 551</t>
  </si>
  <si>
    <t>Swiss Arms - SIG 552</t>
  </si>
  <si>
    <t>Swiss Arms - Sig P210</t>
  </si>
  <si>
    <t>Swiss Arms - Sig P226</t>
  </si>
  <si>
    <t>Tokarev - SVT40</t>
  </si>
  <si>
    <t>Tokarev - Tokarev TT-33</t>
  </si>
  <si>
    <t>7.62x25</t>
  </si>
  <si>
    <t>TsNIItochMash - AS VAL</t>
  </si>
  <si>
    <t>TsNIITochMash - VSS Vintorez</t>
  </si>
  <si>
    <t>Tula Arms Plant - TOZ 194</t>
  </si>
  <si>
    <t>Type 62</t>
  </si>
  <si>
    <t>Ultimax 100 M3</t>
  </si>
  <si>
    <t>UZI</t>
  </si>
  <si>
    <t>V-94</t>
  </si>
  <si>
    <t>Valmet - RK71 / M71S</t>
  </si>
  <si>
    <t>Vickers - Mk I Tripod</t>
  </si>
  <si>
    <t>Viking systems Inc - SMG</t>
  </si>
  <si>
    <t>Voere - 180 M-2</t>
  </si>
  <si>
    <t>VSK94</t>
  </si>
  <si>
    <t>Walther - G41W</t>
  </si>
  <si>
    <t>Walther - WA 2000</t>
  </si>
  <si>
    <t>Walther - Walter MP K</t>
  </si>
  <si>
    <t>Walther - Walter MP L</t>
  </si>
  <si>
    <t>Walther - Walther P-38</t>
  </si>
  <si>
    <t>Z 62/70B</t>
  </si>
  <si>
    <t>Z 84 long</t>
  </si>
  <si>
    <t>Z 84 short</t>
  </si>
  <si>
    <t>ZVI - Falcon OP99</t>
  </si>
  <si>
    <t>Knight Armement Company - M110A2</t>
  </si>
  <si>
    <t>Sous-type d'arme</t>
  </si>
  <si>
    <t>Range Med</t>
  </si>
  <si>
    <t>Range Long</t>
  </si>
  <si>
    <t>Range Extrem</t>
  </si>
  <si>
    <t>Compétence associée</t>
  </si>
  <si>
    <t>Folder</t>
  </si>
  <si>
    <t>Armes à feu\Pistolet auto</t>
  </si>
  <si>
    <t>Armes à feu\Fusil Sniper</t>
  </si>
  <si>
    <t>Armes à feu\Fusil</t>
  </si>
  <si>
    <t>Armes à feu\Mitrailleuse</t>
  </si>
  <si>
    <t>Armes à feu\Fusil d'assaut</t>
  </si>
  <si>
    <t>Armes à feu\Fusil pompe</t>
  </si>
  <si>
    <t>Armes à feu\Pistolet Mitrailleur</t>
  </si>
  <si>
    <t>Armes à feu\Pistolet</t>
  </si>
  <si>
    <t>Armes à feu\fusil</t>
  </si>
  <si>
    <t>Armes à feu\revolver</t>
  </si>
  <si>
    <t>Armes à feu\Fusil sniper</t>
  </si>
  <si>
    <t>Armes à feu\mitrailleuse</t>
  </si>
  <si>
    <t>Armes à feu\Revolver</t>
  </si>
  <si>
    <t>Munition\5,45x39\BO</t>
  </si>
  <si>
    <t>Munition\5,45x39\AP</t>
  </si>
  <si>
    <t>Munition\5,56x45\BO</t>
  </si>
  <si>
    <t>Munition\5,56x45\AP</t>
  </si>
  <si>
    <t>Munition\5,56x45\Sniper</t>
  </si>
  <si>
    <t>Munition\5,56x15\BO</t>
  </si>
  <si>
    <t>Munition\5,56x15\Expansion</t>
  </si>
  <si>
    <t>Munition\5,56x15\Sniper</t>
  </si>
  <si>
    <t>Munition\5,56x15\Subsonique</t>
  </si>
  <si>
    <t>Munition\6,35x16\BO</t>
  </si>
  <si>
    <t>Munition\7,5x54\BO</t>
  </si>
  <si>
    <t>Munition\7,5x54\AP</t>
  </si>
  <si>
    <t>Munition\7,62x25\BO</t>
  </si>
  <si>
    <t>Munition\7,62x25\Expansion</t>
  </si>
  <si>
    <t>Munition\7,62x39\BO</t>
  </si>
  <si>
    <t>Munition\7,62x39\AP</t>
  </si>
  <si>
    <t>Munition\7,62x33\BO</t>
  </si>
  <si>
    <t>Munition\7,8x52\BO</t>
  </si>
  <si>
    <t>Munition\7,8x34\BO</t>
  </si>
  <si>
    <t>Munition\7,8x34\AP</t>
  </si>
  <si>
    <t>Munition\7,8x34\Sub</t>
  </si>
  <si>
    <t>Munition\.303\BO</t>
  </si>
  <si>
    <t>Munition\7,62x51\BO</t>
  </si>
  <si>
    <t>Munition\7,62x51\Sniper</t>
  </si>
  <si>
    <t>Munition\7,62x51\Sniper AP</t>
  </si>
  <si>
    <t>Munition\7,62x51\AP</t>
  </si>
  <si>
    <t>Munition\7,62x63\BO</t>
  </si>
  <si>
    <t>Munition\7,62x63\AP</t>
  </si>
  <si>
    <t>Munition\7,62x54\AP</t>
  </si>
  <si>
    <t>Munition\7,62x54\BO</t>
  </si>
  <si>
    <t>Munition\7,65x17\BO</t>
  </si>
  <si>
    <t>Munition\7,92x33\BO</t>
  </si>
  <si>
    <t>Munition\7,92x57\BO</t>
  </si>
  <si>
    <t>Munition\8x51\BO</t>
  </si>
  <si>
    <t>Munition\8x22\BO</t>
  </si>
  <si>
    <t>Munition\9x17\BO</t>
  </si>
  <si>
    <t>Munition\9x18\BO</t>
  </si>
  <si>
    <t>Munition\9x18\AP</t>
  </si>
  <si>
    <t>Munition\9x18\Expansion</t>
  </si>
  <si>
    <t>Munition\9x19\BO</t>
  </si>
  <si>
    <t>Munition\9x19\AP</t>
  </si>
  <si>
    <t>Munition\9x19\Expansion</t>
  </si>
  <si>
    <t>Munition\9x19\Subsonique</t>
  </si>
  <si>
    <t>Munition\9x29\BO</t>
  </si>
  <si>
    <t>Munition\9X29\JHP+P</t>
  </si>
  <si>
    <t>Munition\9x33\BO</t>
  </si>
  <si>
    <t>Munition\9x33\AP</t>
  </si>
  <si>
    <t>Munition\11,43x23\BO</t>
  </si>
  <si>
    <t>Munition\10,74x33\BO</t>
  </si>
  <si>
    <t>Munition\10x22\BO</t>
  </si>
  <si>
    <t>Munition\11,43x23\AP</t>
  </si>
  <si>
    <t>Munition\11,43x23\Expansion</t>
  </si>
  <si>
    <t>Munition\9x39\AP</t>
  </si>
  <si>
    <t>Munition\9x39\BO</t>
  </si>
  <si>
    <t>Munition\7.62x41\Subsonique</t>
  </si>
  <si>
    <t>Munition\9x21\BO</t>
  </si>
  <si>
    <t>Munition\9x21\AP</t>
  </si>
  <si>
    <t>Munition\5,7x28\BO</t>
  </si>
  <si>
    <t>Munition\5,7x28\Subsonique</t>
  </si>
  <si>
    <t>Munition\5,7x28\Expansion</t>
  </si>
  <si>
    <t>Munition\5,8x42\BO</t>
  </si>
  <si>
    <t>Munition\5,8x42\AP</t>
  </si>
  <si>
    <t>Munition\12,7x99\BO</t>
  </si>
  <si>
    <t>Munition\12,7x99\Sniper</t>
  </si>
  <si>
    <t>Munition\12,7x99\AP</t>
  </si>
  <si>
    <t>Munition\14,5x114\Expansion</t>
  </si>
  <si>
    <t>Munition\14,5x114\AP</t>
  </si>
  <si>
    <t>Munition\7,92x57\AP</t>
  </si>
  <si>
    <t>Munition\7,92x94\AP</t>
  </si>
  <si>
    <t>Munition\7,92x107\AP</t>
  </si>
  <si>
    <t>Munition\12,7x108\BO</t>
  </si>
  <si>
    <t>Munition\12,7x108\AP</t>
  </si>
  <si>
    <t>Munition\13x92\AP</t>
  </si>
  <si>
    <t>Munition\13,9x99\AP</t>
  </si>
  <si>
    <t>Munition\15,2x114\AP</t>
  </si>
  <si>
    <t>Munition\7,62x51\Subsonique</t>
  </si>
  <si>
    <t>Munition\4,6x30\BO</t>
  </si>
  <si>
    <t>Munition\18,5x70\Grenaille</t>
  </si>
  <si>
    <t>Munition\18,5x70\Brenneke</t>
  </si>
  <si>
    <t>Munition\18,5x70\Expansion</t>
  </si>
  <si>
    <t>Munition\16,8x70\Grenaille</t>
  </si>
  <si>
    <t>Munition\16,8x70\Brenneke</t>
  </si>
  <si>
    <t>Munition\15,6x67\Grenaille</t>
  </si>
  <si>
    <t>Munition\15,6x67\Expansion</t>
  </si>
  <si>
    <t>Munition\15,6x67\Brenneke</t>
  </si>
  <si>
    <t>Munition\7,62x66\BO</t>
  </si>
  <si>
    <t>Munition\8,58x71\BO</t>
  </si>
  <si>
    <t>Munition\7,62x42\BO</t>
  </si>
  <si>
    <t>Munition\12,7 x 32,6\BO</t>
  </si>
  <si>
    <t>Munition\12,7x55\BO</t>
  </si>
  <si>
    <t>Munition\12,7x55\AP</t>
  </si>
  <si>
    <t>Munition\7,65x20\BO</t>
  </si>
  <si>
    <t>Munition\8x27\BO</t>
  </si>
  <si>
    <t>Munition\9x29</t>
  </si>
  <si>
    <t>Munition\9x33</t>
  </si>
  <si>
    <t>Munition\5,45x39</t>
  </si>
  <si>
    <t>bullet</t>
  </si>
  <si>
    <t>powder_projectiles</t>
  </si>
  <si>
    <t>6,5x52</t>
  </si>
  <si>
    <t>6,5 Carcano</t>
  </si>
  <si>
    <t>Munition\6,5x52\BO</t>
  </si>
  <si>
    <t>STG 44</t>
  </si>
  <si>
    <t>Beretta - Model 42</t>
  </si>
  <si>
    <t>Carcano - M91/38</t>
  </si>
  <si>
    <t>Mauser - MG-34</t>
  </si>
  <si>
    <t>Mauser - MG-42</t>
  </si>
  <si>
    <t>Range Short</t>
  </si>
  <si>
    <t>Recul C/C</t>
  </si>
  <si>
    <t>Recul Burst</t>
  </si>
  <si>
    <t>ROF mode</t>
  </si>
  <si>
    <t>ROF limited</t>
  </si>
  <si>
    <t>1/50</t>
  </si>
  <si>
    <t>8 Kurtz</t>
  </si>
  <si>
    <t>Breda - Modello 30</t>
  </si>
  <si>
    <t>Chargeur</t>
  </si>
  <si>
    <t>BA</t>
  </si>
  <si>
    <t>Beretta - M35</t>
  </si>
  <si>
    <t>SA</t>
  </si>
  <si>
    <t>PA</t>
  </si>
  <si>
    <t>PA/SA</t>
  </si>
  <si>
    <t>S A</t>
  </si>
  <si>
    <t>DAR</t>
  </si>
  <si>
    <t>10/100</t>
  </si>
  <si>
    <t>1/(55)</t>
  </si>
  <si>
    <t>1/(75)</t>
  </si>
  <si>
    <t>1/(65)</t>
  </si>
  <si>
    <t>1/15/100</t>
  </si>
  <si>
    <t>1/15/95</t>
  </si>
  <si>
    <t>B A</t>
  </si>
  <si>
    <t>125/160</t>
  </si>
  <si>
    <t>SA/BA</t>
  </si>
  <si>
    <t>1/55</t>
  </si>
  <si>
    <t>1/65</t>
  </si>
  <si>
    <t>1/3</t>
  </si>
  <si>
    <t>1/7</t>
  </si>
  <si>
    <t>1/3/50</t>
  </si>
  <si>
    <t>1/45</t>
  </si>
  <si>
    <t>1/5/40</t>
  </si>
  <si>
    <t>1/10/20</t>
  </si>
  <si>
    <t>1/10/60</t>
  </si>
  <si>
    <t>9/85</t>
  </si>
  <si>
    <t>1/60</t>
  </si>
  <si>
    <t>1/3/65</t>
  </si>
  <si>
    <t>1/3/21</t>
  </si>
  <si>
    <t>1/3/60</t>
  </si>
  <si>
    <t>1/5/50</t>
  </si>
  <si>
    <t>1/10/75</t>
  </si>
  <si>
    <t>4/50</t>
  </si>
  <si>
    <t>1/3/90</t>
  </si>
  <si>
    <t>1/3/55</t>
  </si>
  <si>
    <t>1/5/55</t>
  </si>
  <si>
    <t>9/75</t>
  </si>
  <si>
    <t>9/70</t>
  </si>
  <si>
    <t>1/68</t>
  </si>
  <si>
    <t>1/9</t>
  </si>
  <si>
    <t>1/4/75</t>
  </si>
  <si>
    <t>1/75</t>
  </si>
  <si>
    <t>1/3/70</t>
  </si>
  <si>
    <t>1/3/80</t>
  </si>
  <si>
    <t>1/3/40</t>
  </si>
  <si>
    <t>1/80</t>
  </si>
  <si>
    <t>1/10/90</t>
  </si>
  <si>
    <t>1/8</t>
  </si>
  <si>
    <t>1/3/10</t>
  </si>
  <si>
    <t>1/4/50</t>
  </si>
  <si>
    <t>1/10/55</t>
  </si>
  <si>
    <t>1/12</t>
  </si>
  <si>
    <t>1/10/65</t>
  </si>
  <si>
    <t>10/50</t>
  </si>
  <si>
    <t>5/50</t>
  </si>
  <si>
    <t>5/45</t>
  </si>
  <si>
    <t>1/5/45</t>
  </si>
  <si>
    <t>1/90</t>
  </si>
  <si>
    <t>1/10/80</t>
  </si>
  <si>
    <t>1/5/60</t>
  </si>
  <si>
    <t>1/2/50</t>
  </si>
  <si>
    <t>1/70</t>
  </si>
  <si>
    <t>1/10/70</t>
  </si>
  <si>
    <t>1/66</t>
  </si>
  <si>
    <t>Beretta M42</t>
  </si>
  <si>
    <t>carcano M91-38</t>
  </si>
  <si>
    <t>Breda modello 30</t>
  </si>
  <si>
    <t>MG34</t>
  </si>
  <si>
    <t>MG42</t>
  </si>
  <si>
    <t>STG44</t>
  </si>
  <si>
    <t>Beretta M35</t>
  </si>
  <si>
    <t>VSS Vintorez</t>
  </si>
  <si>
    <t>SVT40</t>
  </si>
  <si>
    <t>TT33</t>
  </si>
  <si>
    <t>SACM35A</t>
  </si>
  <si>
    <t>K98</t>
  </si>
  <si>
    <t>Mauser C96</t>
  </si>
  <si>
    <t>Mle1892</t>
  </si>
  <si>
    <t>MAS49-56</t>
  </si>
  <si>
    <t>MAS40</t>
  </si>
  <si>
    <t>MAS38</t>
  </si>
  <si>
    <t>MAS36CR</t>
  </si>
  <si>
    <t>Luger P08</t>
  </si>
  <si>
    <t>Lebel1916</t>
  </si>
  <si>
    <t>Sten</t>
  </si>
  <si>
    <t>Beretta M12</t>
  </si>
  <si>
    <t>Beretta CX-4</t>
  </si>
  <si>
    <t>Beretta 93R</t>
  </si>
  <si>
    <t>Beretta 92FS</t>
  </si>
  <si>
    <t>AA-12</t>
  </si>
  <si>
    <t>MP40</t>
  </si>
  <si>
    <t>Walter G41</t>
  </si>
  <si>
    <t>Welrod MkI</t>
  </si>
  <si>
    <t>Darne</t>
  </si>
  <si>
    <t>FM24-29</t>
  </si>
  <si>
    <t>7,62x41</t>
  </si>
  <si>
    <t>12,7x32,6</t>
  </si>
  <si>
    <t>Nom du Calibre</t>
  </si>
  <si>
    <t>Coeff, de traînée (Cd​)</t>
  </si>
  <si>
    <t>Dégat</t>
  </si>
  <si>
    <t>indice perforation</t>
  </si>
  <si>
    <t>Masse (g)</t>
  </si>
  <si>
    <t>Diamètre (mm)</t>
  </si>
  <si>
    <t>Rho (kg/m³)</t>
  </si>
  <si>
    <t>Vitesse initiale (m/s)</t>
  </si>
  <si>
    <t>Énergie Initiale (joules)</t>
  </si>
  <si>
    <t>Portée Max - Portée Balistique (mètre)</t>
  </si>
  <si>
    <t>Portée Courte - 80% Énergie restante (mètre)</t>
  </si>
  <si>
    <t>Portée Moyenne - 50% Énergie restante (mètre)</t>
  </si>
  <si>
    <t>Portée Longue - Limite Supersonique (mètre)</t>
  </si>
  <si>
    <t>Portée Extrême - Transition Transsonique (mètre)</t>
  </si>
  <si>
    <t>Longueur Canon court (pouces)</t>
  </si>
  <si>
    <t>vitesse Initial Canon court (m/s)</t>
  </si>
  <si>
    <t>vitesse Initial cannon long (m/s)</t>
  </si>
  <si>
    <t>Énergie Initiale Canon court (joules)</t>
  </si>
  <si>
    <t>Longueur Canon standard (pouces)</t>
  </si>
  <si>
    <t>Longueur Canon long (pouces)</t>
  </si>
  <si>
    <t>Énergie Initiale Canon Long (joules)</t>
  </si>
  <si>
    <t>Densité Sect. (kg/m²)</t>
  </si>
  <si>
    <t>Pénétr. Bouche (mm)</t>
  </si>
  <si>
    <t>Pénétr. Courte (mm)</t>
  </si>
  <si>
    <t>Pénétr. Moyenne (mm)</t>
  </si>
  <si>
    <t>Pénétr. Longue (mm)</t>
  </si>
  <si>
    <t>Pénétr. Extrême (mm)</t>
  </si>
  <si>
    <t>Surface (m2)</t>
  </si>
  <si>
    <t>Indice de freinage (1/m)</t>
  </si>
  <si>
    <t>Malus de Tir portée courte</t>
  </si>
  <si>
    <t>Malus de Tir portée Extreme</t>
  </si>
  <si>
    <t>Malus de Tir portée longue</t>
  </si>
  <si>
    <t>Malus de Tir portée moyenne</t>
  </si>
  <si>
    <t>malus par tranche de blingage (courte)</t>
  </si>
  <si>
    <t>malus par tranche de blingage (moyenne)</t>
  </si>
  <si>
    <t>malus par tranche de blingage (extreme)</t>
  </si>
  <si>
    <t>malus par tranche de blingage (longue)</t>
  </si>
  <si>
    <t>chute balistique portée courte (cm)</t>
  </si>
  <si>
    <t>chute balistique porté moyenne (cm)</t>
  </si>
  <si>
    <t>chute balistique porté longue (cm)</t>
  </si>
  <si>
    <t>chute balisitque porté extreme (cm)</t>
  </si>
  <si>
    <t>chute balistique porté Max (cm)</t>
  </si>
  <si>
    <t>Chute balistique &lt; 1cm (mètre)</t>
  </si>
  <si>
    <t>chute balisitique &lt; 2cm (mètre)</t>
  </si>
  <si>
    <t>chute balisitique &lt; 8cm (mètre)</t>
  </si>
  <si>
    <t>7,62x51 AP</t>
  </si>
  <si>
    <t>9x39 AP</t>
  </si>
  <si>
    <t>Dégat porté moyenne (50% puissance)</t>
  </si>
  <si>
    <t>5,45x39 AP</t>
  </si>
  <si>
    <t>chute balisitique &lt; 50cm (mètre)</t>
  </si>
  <si>
    <t>Canon (pouces)</t>
  </si>
  <si>
    <t>MAS36</t>
  </si>
  <si>
    <t>Beretta - SC 70</t>
  </si>
  <si>
    <t>Beretta - SC 70 Carbine</t>
  </si>
  <si>
    <t>Beretta - SC 70/90</t>
  </si>
  <si>
    <t>SCAR H PR</t>
  </si>
  <si>
    <t>1/10/50</t>
  </si>
  <si>
    <t>Type 56</t>
  </si>
  <si>
    <t>Masse Munition</t>
  </si>
  <si>
    <t>Energie Arme (joules)</t>
  </si>
  <si>
    <t>Vitesse initiale arme (m/s)</t>
  </si>
  <si>
    <t>Dégats</t>
  </si>
  <si>
    <t>Densité Sect. munition (kg/m²)</t>
  </si>
  <si>
    <t>ind. Perfo. Munition</t>
  </si>
  <si>
    <t>Illustration</t>
  </si>
  <si>
    <t>Vitesse initiale munition (m/s)</t>
  </si>
  <si>
    <t>Indice de freinage Munition (1/m)</t>
  </si>
  <si>
    <t>type feature</t>
  </si>
  <si>
    <t>Reduction de bruit</t>
  </si>
  <si>
    <t>Reduction de bruit Latérale</t>
  </si>
  <si>
    <t>Augmentation de longueur</t>
  </si>
  <si>
    <t>Rarete</t>
  </si>
  <si>
    <t>Prix</t>
  </si>
  <si>
    <t>Poids (kg)</t>
  </si>
  <si>
    <t>Description</t>
  </si>
  <si>
    <t>Visée rudimentaire</t>
  </si>
  <si>
    <t>Pointeur mixte</t>
  </si>
  <si>
    <t>Viseur Holographique</t>
  </si>
  <si>
    <t>Visée lunette</t>
  </si>
  <si>
    <t>Aimpoint x2</t>
  </si>
  <si>
    <t>Lunette IL x10</t>
  </si>
  <si>
    <t>Lunette IL x16</t>
  </si>
  <si>
    <t>Lunette IL x3</t>
  </si>
  <si>
    <t>Lunette IL x4</t>
  </si>
  <si>
    <t>Lunette IL x6</t>
  </si>
  <si>
    <t>Lunette Jour x16</t>
  </si>
  <si>
    <t>Lunette Jour x2,5-6</t>
  </si>
  <si>
    <t>Lunette jour x4</t>
  </si>
  <si>
    <t>Lunette Jour x4-16</t>
  </si>
  <si>
    <t>Lunette Jour x6-24</t>
  </si>
  <si>
    <t>Lunette Jour x7-35</t>
  </si>
  <si>
    <t>Lunette Jour x5-30</t>
  </si>
  <si>
    <t>Lunette mixte x3-15</t>
  </si>
  <si>
    <t>Lunette Thermique x10</t>
  </si>
  <si>
    <t>Addons</t>
  </si>
  <si>
    <t>Adaptateur Thermique</t>
  </si>
  <si>
    <t>Loupe Jour Basculante x3</t>
  </si>
  <si>
    <t>Silencieux</t>
  </si>
  <si>
    <t>Silencieux civil Léger</t>
  </si>
  <si>
    <t>pour armes de poings</t>
  </si>
  <si>
    <t>Silencieux civil Lourd</t>
  </si>
  <si>
    <t>Calibres de .22 à 9x19</t>
  </si>
  <si>
    <t>Silencieux civil Auto</t>
  </si>
  <si>
    <t>calibres de .222 à .308</t>
  </si>
  <si>
    <t>Silencieux militaire Léger</t>
  </si>
  <si>
    <t>Silencieux militaire Lourd</t>
  </si>
  <si>
    <t>calibres de .223 à .338</t>
  </si>
  <si>
    <t>Silencieux militaire Auto</t>
  </si>
  <si>
    <t>Calibres de 5,56 à 9mm pour armes automatiques</t>
  </si>
  <si>
    <t>nom</t>
  </si>
  <si>
    <t>crane</t>
  </si>
  <si>
    <t>visage</t>
  </si>
  <si>
    <t>cou</t>
  </si>
  <si>
    <t>poitrine_gch</t>
  </si>
  <si>
    <t>poitrine_dr</t>
  </si>
  <si>
    <t>abdomen_gch</t>
  </si>
  <si>
    <t>abdomen_dr</t>
  </si>
  <si>
    <t>bas_ventre</t>
  </si>
  <si>
    <t>bras_gch</t>
  </si>
  <si>
    <t>bras_dr</t>
  </si>
  <si>
    <t>av_bras_gch</t>
  </si>
  <si>
    <t>av_bras_dr</t>
  </si>
  <si>
    <t>main_gch</t>
  </si>
  <si>
    <t>main_dr</t>
  </si>
  <si>
    <t>cuisse_gch</t>
  </si>
  <si>
    <t>cuisse_dr</t>
  </si>
  <si>
    <t>jambe_gch</t>
  </si>
  <si>
    <t>jambe_dr</t>
  </si>
  <si>
    <t>pied_gch</t>
  </si>
  <si>
    <t>pied_dr</t>
  </si>
  <si>
    <t>Armures\Gilets</t>
  </si>
  <si>
    <t>Gilet souple NIJ I</t>
  </si>
  <si>
    <t>common</t>
  </si>
  <si>
    <t>Gilet souple NIJ IIA</t>
  </si>
  <si>
    <t>Gilet souple NIJ II</t>
  </si>
  <si>
    <t>Gilet souple NIJ IIIA</t>
  </si>
  <si>
    <t>uncommon</t>
  </si>
  <si>
    <t>Gilet tactique NIJ IIIA + cervical</t>
  </si>
  <si>
    <t>rare</t>
  </si>
  <si>
    <t>Combinaison de protection CBRN</t>
  </si>
  <si>
    <t>Armures\Casques</t>
  </si>
  <si>
    <t>Casque lourd PASGT</t>
  </si>
  <si>
    <t>Casque ACH (Advanced Combat Helmet)</t>
  </si>
  <si>
    <t>Casque FAST Ballistic</t>
  </si>
  <si>
    <t>Casque lourd EOD</t>
  </si>
  <si>
    <t>Armures\Membres</t>
  </si>
  <si>
    <t>Brassards de protection</t>
  </si>
  <si>
    <t>Kit protection membres complet</t>
  </si>
  <si>
    <t>Armures\Completes</t>
  </si>
  <si>
    <t>Equipement\Medical</t>
  </si>
  <si>
    <t>Trousse de premiers secours légère</t>
  </si>
  <si>
    <t>Kit de trauma tactique (IFAK)</t>
  </si>
  <si>
    <t>Pansement hémostatique QuikClot, décompression thoracique, garrot CAT, gants nitrile</t>
  </si>
  <si>
    <t>Trousse médicale avancée (TCCC)</t>
  </si>
  <si>
    <t>Matériel réanimation, intubation nasopharyngée, sutures, traitement multi-plaies graves</t>
  </si>
  <si>
    <t>Défibrillateur portable DEA</t>
  </si>
  <si>
    <t>Auto-injecteur morphine x5</t>
  </si>
  <si>
    <t>Garrot tourniquet CAT x3</t>
  </si>
  <si>
    <t>Equipement\Communication</t>
  </si>
  <si>
    <t>Radio MBITR AN/PRC-148</t>
  </si>
  <si>
    <t>Radio longue portée AN/PRC-117G</t>
  </si>
  <si>
    <t>Casque tactique Peltor ComTac IV</t>
  </si>
  <si>
    <t>Balise de détresse PLB 406MHz</t>
  </si>
  <si>
    <t>Système de communication intra-équipe</t>
  </si>
  <si>
    <t>Equipement\Optique</t>
  </si>
  <si>
    <t>Jumelles 8x42 tactiques</t>
  </si>
  <si>
    <t>Télémètre laser Vectronix PLRF</t>
  </si>
  <si>
    <t>Equipement\CBRN</t>
  </si>
  <si>
    <t>Masque respiratoire M50</t>
  </si>
  <si>
    <t>Détecteur d'agents chimiques M8A1</t>
  </si>
  <si>
    <t>Tenue MOPP4 complète</t>
  </si>
  <si>
    <t>Tablettes décontamination RSDL x10</t>
  </si>
  <si>
    <t>Equipement\Transport</t>
  </si>
  <si>
    <t>Sac d'assaut MOLLE 45L</t>
  </si>
  <si>
    <t>Porte-plaques tactique (PC) MOLLE</t>
  </si>
  <si>
    <t>Ceinturon ALICE avec accessoires</t>
  </si>
  <si>
    <t>Ceinturon militaire avec porte-gourde, poches munitions et holster toile</t>
  </si>
  <si>
    <t>Caisse de transport Pelican 1510</t>
  </si>
  <si>
    <t>Equipement\Survie</t>
  </si>
  <si>
    <t>Kit de survie 72h</t>
  </si>
  <si>
    <t>Eau purifiée, barres énergétiques, bivouac urgence, allumettes tempête, miroir signal</t>
  </si>
  <si>
    <t>Couvertures thermiques de survie x3</t>
  </si>
  <si>
    <t>Filtre à eau LifeStraw Mission</t>
  </si>
  <si>
    <t>GPS militaire Garmin GPSMAP 64sx</t>
  </si>
  <si>
    <t>Equipement\Eclairage</t>
  </si>
  <si>
    <t>Lampe tactique Streamlight TLR-1</t>
  </si>
  <si>
    <t>Lampe frontale militaire THL-1 NV</t>
  </si>
  <si>
    <t>Bâtons lumineux chimiques x10</t>
  </si>
  <si>
    <t>Equipement\Outils</t>
  </si>
  <si>
    <t>Outil multifonction Leatherman MUT</t>
  </si>
  <si>
    <t>Outil multifonction avec adaptateur nettoyage arme, chasse-goupille et kit AR</t>
  </si>
  <si>
    <t>Pince coupe-barbelés renforcée</t>
  </si>
  <si>
    <t>Pied de biche tactique compact</t>
  </si>
  <si>
    <t>Scie-câble de survie</t>
  </si>
  <si>
    <t>Détecteur de métaux Garrett THD</t>
  </si>
  <si>
    <t>Protection balistique légère contre petits calibres — arrête les fragments et chevrotines</t>
  </si>
  <si>
    <t>Protection contre munitions FMJ 9mm et .40 S&amp;W basse vélocité</t>
  </si>
  <si>
    <t>Protection contre munitions FMJ .357 Magnum et 9mm haute vélocité</t>
  </si>
  <si>
    <t>Protection contre munitions .44 Magnum et SMG — port discret possible</t>
  </si>
  <si>
    <t>Gilet NIJ IIIA avec rehausse cervicale — protection poitrine, abdomen, bas-ventre et cou</t>
  </si>
  <si>
    <t>Tenue NBC avec gilet anti-fragmentation intégré — protection chimique 8h</t>
  </si>
  <si>
    <t>Tenue EOD légère</t>
  </si>
  <si>
    <t>Protection contre explosions et fragmentation pour opérations déminage légères</t>
  </si>
  <si>
    <t>Casque kevlar utilisé par les forces armées américaines depuis 1983 — protection balistique sol</t>
  </si>
  <si>
    <t>Casque modulaire rails latéraux — compatible NVG, caméra et systèmes de communication</t>
  </si>
  <si>
    <t>Casque allégé coupe haute — compatibilité systèmes de communication et interphone</t>
  </si>
  <si>
    <t>Casque Galvion Caiman avec visière</t>
  </si>
  <si>
    <t>Casque balistique haut de gamme avec visière balistique NIJ IIIA escamotable</t>
  </si>
  <si>
    <t>Casque intégral demi-sphère pour opérations déminage — protection visage et cou</t>
  </si>
  <si>
    <t>Coudières tactiques Hatch</t>
  </si>
  <si>
    <t>Protection polymère renforcée pour coudes — compatibles sous-vêtement ou sur uniforme</t>
  </si>
  <si>
    <t>Genouillères tactiques Hatch</t>
  </si>
  <si>
    <t>Genouillères à glissière gel anatomique — positions de tir prolongées</t>
  </si>
  <si>
    <t>Protection avant-bras contre éclats et contusions en milieu urbain</t>
  </si>
  <si>
    <t>Jambières tactiques balistiques</t>
  </si>
  <si>
    <t>Protection jambe basse et cheville — milieu urbain et opérations de brèche</t>
  </si>
  <si>
    <t>Ensemble brassards + genouillères + coudières — protection périphérique complète</t>
  </si>
  <si>
    <t>Armure légère complète (LAW)</t>
  </si>
  <si>
    <t>Casque ACH + gilet NIJ IIIA + protection membres légère — configuration d'intervention</t>
  </si>
  <si>
    <t>Armure assault complète (SAP)</t>
  </si>
  <si>
    <t>IOTV + casque FAST + membres — configuration assaut haute intensité</t>
  </si>
  <si>
    <t>Exosquelette de combat léger</t>
  </si>
  <si>
    <t>Equipement\Armes</t>
  </si>
  <si>
    <t>Housse étanche pour arme</t>
  </si>
  <si>
    <t>Chargeur PA</t>
  </si>
  <si>
    <t xml:space="preserve">Chargeur standart à 15x9P </t>
  </si>
  <si>
    <t>Chargeur Fusil</t>
  </si>
  <si>
    <t>Chargeur standart à 10x7,62N</t>
  </si>
  <si>
    <t>Chargeur Fusil d'assaut</t>
  </si>
  <si>
    <t>Chargeur standart à 30x5,56N</t>
  </si>
  <si>
    <t>Chargeur Fusil Tireur d'Elite</t>
  </si>
  <si>
    <t>Chargeur Fusil Tireur d'Elite Lourd</t>
  </si>
  <si>
    <t>Chargeur standart à 5x12,7BMG</t>
  </si>
  <si>
    <t>Machine a garnir les bandes</t>
  </si>
  <si>
    <t>Boite à Munitions (50)</t>
  </si>
  <si>
    <t>Boite à Munitions (100)</t>
  </si>
  <si>
    <t>Atropine</t>
  </si>
  <si>
    <t>liquide</t>
  </si>
  <si>
    <t>S3C</t>
  </si>
  <si>
    <t>seringue</t>
  </si>
  <si>
    <t>radio portable 2km</t>
  </si>
  <si>
    <t>kit Oreillette</t>
  </si>
  <si>
    <t>radio de Véhicule ou sac 5/25 km</t>
  </si>
  <si>
    <t>radio de Véhicule ou sac 5/25 km cryptée</t>
  </si>
  <si>
    <t>radio de Véhicule 50 km</t>
  </si>
  <si>
    <t>radio de Véhicule 50 km cryptée</t>
  </si>
  <si>
    <t>Radio Tactique Individuelle</t>
  </si>
  <si>
    <t>portée 2 km</t>
  </si>
  <si>
    <t>Smartphone</t>
  </si>
  <si>
    <t>TAM-TAM</t>
  </si>
  <si>
    <t>boum boum woula woula</t>
  </si>
  <si>
    <t>Téléphone portable</t>
  </si>
  <si>
    <t>Téléphone satellitaire (INMARSAT)</t>
  </si>
  <si>
    <t>Antenne Satellite portable</t>
  </si>
  <si>
    <t>Micro directionnel</t>
  </si>
  <si>
    <t>Transpondeur</t>
  </si>
  <si>
    <t>Personal Locator System</t>
  </si>
  <si>
    <t>Talky-Walky</t>
  </si>
  <si>
    <t xml:space="preserve">Portée 500m </t>
  </si>
  <si>
    <t>Equipement\Divers</t>
  </si>
  <si>
    <t>Cartes de zones</t>
  </si>
  <si>
    <t>Zone et echelle a définir</t>
  </si>
  <si>
    <t>Boule à neige</t>
  </si>
  <si>
    <t>Très très commun</t>
  </si>
  <si>
    <t>y'en a partout</t>
  </si>
  <si>
    <t>Frigo</t>
  </si>
  <si>
    <t>Jerrican 20 L</t>
  </si>
  <si>
    <t>Equipement de plongée</t>
  </si>
  <si>
    <t>Treillis</t>
  </si>
  <si>
    <t>Rangers</t>
  </si>
  <si>
    <t>Chaussures de marche</t>
  </si>
  <si>
    <t>Combinaison de plongée</t>
  </si>
  <si>
    <t>Combinaison de Vol</t>
  </si>
  <si>
    <t>Combinaison de saut</t>
  </si>
  <si>
    <t>Pour faire du trampoline</t>
  </si>
  <si>
    <t>Equipement de pluie</t>
  </si>
  <si>
    <t>pour chanter sous la pluie</t>
  </si>
  <si>
    <t>Equipement temps froid</t>
  </si>
  <si>
    <t>Equipement Polaire</t>
  </si>
  <si>
    <t>Flash light</t>
  </si>
  <si>
    <t>Strobe Light Jour+nuit+IR</t>
  </si>
  <si>
    <t>Feux de Bengale</t>
  </si>
  <si>
    <t>Lampe torche</t>
  </si>
  <si>
    <t>Lampe baladeuse</t>
  </si>
  <si>
    <t>Anémomêtre portable électronique</t>
  </si>
  <si>
    <t>Anémomêtre portable mécanique</t>
  </si>
  <si>
    <t>Calculateur ballistique</t>
  </si>
  <si>
    <t>Tablette 7"</t>
  </si>
  <si>
    <t>Tablette 10"</t>
  </si>
  <si>
    <t>Caméra Numérique</t>
  </si>
  <si>
    <t>GoPro</t>
  </si>
  <si>
    <t>Carte Mémoire</t>
  </si>
  <si>
    <t>récepteur GPS</t>
  </si>
  <si>
    <t>Ordinateur Portable bas de gamme</t>
  </si>
  <si>
    <t>Ordinateur Portable moyen gamme</t>
  </si>
  <si>
    <t>Ordinateur portable haut de gamme</t>
  </si>
  <si>
    <t>Appareil photo</t>
  </si>
  <si>
    <t>Appareil photo numérique</t>
  </si>
  <si>
    <t>Caméra mini DV</t>
  </si>
  <si>
    <t>Kit complet fibre optique (1m)</t>
  </si>
  <si>
    <t>cam+ecran+poigné</t>
  </si>
  <si>
    <t>Radar de surveillance sol</t>
  </si>
  <si>
    <t>avec 100m de cables</t>
  </si>
  <si>
    <t>Radar de Contre-Batterie mortier</t>
  </si>
  <si>
    <t>Radar de Contre-Batterie artillerie</t>
  </si>
  <si>
    <t>Palm</t>
  </si>
  <si>
    <t>Cassette mini DV</t>
  </si>
  <si>
    <t>Equipement\Explosifs</t>
  </si>
  <si>
    <t>Baton de Dynamite</t>
  </si>
  <si>
    <t>C4 (100gr)</t>
  </si>
  <si>
    <t>Semtex (50gr)</t>
  </si>
  <si>
    <t>Mine AP</t>
  </si>
  <si>
    <t>Mine AP directionnelle</t>
  </si>
  <si>
    <t>Mine AC</t>
  </si>
  <si>
    <t>Mise de feu électrique</t>
  </si>
  <si>
    <t>-</t>
  </si>
  <si>
    <t>Mise de feu mécanique</t>
  </si>
  <si>
    <t>Cordeau détonant instantané</t>
  </si>
  <si>
    <t>5900m/s</t>
  </si>
  <si>
    <t>Cordeau détonant à retard</t>
  </si>
  <si>
    <t>100m/s</t>
  </si>
  <si>
    <t>Fil piège</t>
  </si>
  <si>
    <t>Détonateur à retard</t>
  </si>
  <si>
    <t>Retard réglable de 30s à 48h</t>
  </si>
  <si>
    <t>Détonateur instantané</t>
  </si>
  <si>
    <t>Boitier déclancheur électrique</t>
  </si>
  <si>
    <t>10 charges en même temps</t>
  </si>
  <si>
    <t>Fil électrique</t>
  </si>
  <si>
    <t>Télécommande de détonateur</t>
  </si>
  <si>
    <t>Anesthésiant Complet</t>
  </si>
  <si>
    <t>liquide ou gaz</t>
  </si>
  <si>
    <t>Anesthésiant Local</t>
  </si>
  <si>
    <t>Antibiotique, plaquette de 8</t>
  </si>
  <si>
    <t>liquide ou oral (250$/100)</t>
  </si>
  <si>
    <t>Anti fièvre, plaquette de 8</t>
  </si>
  <si>
    <t>Sedatif faible</t>
  </si>
  <si>
    <t>oral</t>
  </si>
  <si>
    <t>Sedatif fort</t>
  </si>
  <si>
    <t>liquide (injection)</t>
  </si>
  <si>
    <t>Morphine x2</t>
  </si>
  <si>
    <t>Poche de Sang</t>
  </si>
  <si>
    <t>Poche de plasma</t>
  </si>
  <si>
    <t>Instruments chirurgicaux</t>
  </si>
  <si>
    <t>Jumelles milspecs résistantes chocs et eau</t>
  </si>
  <si>
    <t>PMU : 200m</t>
  </si>
  <si>
    <t>PMU : 1200m</t>
  </si>
  <si>
    <t>PMU : 1500m</t>
  </si>
  <si>
    <t>PMU : 1000m</t>
  </si>
  <si>
    <t>PMU : 1300m</t>
  </si>
  <si>
    <t>PMU : 2000m</t>
  </si>
  <si>
    <t>PMU : 1700m</t>
  </si>
  <si>
    <t>PMU : 1400mJ, 1200mN</t>
  </si>
  <si>
    <t>Lunette Thermique x4</t>
  </si>
  <si>
    <t>Adaptateur Thermique pour lunette jour</t>
  </si>
  <si>
    <t>PMU : fct lunette, portée de detection 1500m</t>
  </si>
  <si>
    <t>PMU : 500m, à combiner avec un Aimpoint ou Holosight</t>
  </si>
  <si>
    <t>Désignateur IL</t>
  </si>
  <si>
    <t>pointeur laser IL</t>
  </si>
  <si>
    <t>PMU : 300m</t>
  </si>
  <si>
    <t>PMU : 500m</t>
  </si>
  <si>
    <t>PMU : 200m, pas de grossissement permet visée rudimentaire a chaque tir, tant que recul absorbé</t>
  </si>
  <si>
    <t>NVG (binoculaires)</t>
  </si>
  <si>
    <t>Intensificateur de lumière Gen III binoculaire</t>
  </si>
  <si>
    <t>Thermal sight (type Vector)</t>
  </si>
  <si>
    <t>Analyse thermique IR longue portée détection silhouettes humaines à 1000m+. Grossissement 2-8</t>
  </si>
  <si>
    <t>NVG (monoculaire)</t>
  </si>
  <si>
    <t>Outil de Démolition</t>
  </si>
  <si>
    <t>Outils basiques, masse</t>
  </si>
  <si>
    <t>Set d'outil classique</t>
  </si>
  <si>
    <t>tournevis, etc</t>
  </si>
  <si>
    <t>Set d'outils haut de gamme</t>
  </si>
  <si>
    <t>outils electriques</t>
  </si>
  <si>
    <t>Outils pour Vehicule à roue</t>
  </si>
  <si>
    <t>La caisse a outils basique du coffre de la voiture</t>
  </si>
  <si>
    <t>Outils pour Vehicules a Chenilles</t>
  </si>
  <si>
    <t>Une foutu grosse barre a mine</t>
  </si>
  <si>
    <t>Outils pour bateaux</t>
  </si>
  <si>
    <t>De quoi faire des réparations de fortune</t>
  </si>
  <si>
    <t>Outils pour Hélicoptères</t>
  </si>
  <si>
    <t>Outils pour Avion</t>
  </si>
  <si>
    <t>Outils de construction</t>
  </si>
  <si>
    <t xml:space="preserve">Outils pour armes </t>
  </si>
  <si>
    <t>Outils pour armes lourdes</t>
  </si>
  <si>
    <t>Set d'electricien</t>
  </si>
  <si>
    <t>Set informaticien</t>
  </si>
  <si>
    <t>Etabli modulaire portatif</t>
  </si>
  <si>
    <t>Outil de crochetage</t>
  </si>
  <si>
    <t>kit sécurité</t>
  </si>
  <si>
    <t>outils,multimetre,etc</t>
  </si>
  <si>
    <t>Equipement\Saut</t>
  </si>
  <si>
    <t>Parachute rond</t>
  </si>
  <si>
    <t>Parachute rectangulaire</t>
  </si>
  <si>
    <t>Parachute de secours</t>
  </si>
  <si>
    <t>parapente</t>
  </si>
  <si>
    <t>deltaplane</t>
  </si>
  <si>
    <t>vitesse : 120km/h</t>
  </si>
  <si>
    <t>Kit de larguage véhicules leger</t>
  </si>
  <si>
    <t>Kit de parachutage véhicules leger</t>
  </si>
  <si>
    <t>Miroir de survie</t>
  </si>
  <si>
    <t>Fusées de détresse x3</t>
  </si>
  <si>
    <t>Gourde 1L</t>
  </si>
  <si>
    <t>Camelback 2L</t>
  </si>
  <si>
    <t>Boussole</t>
  </si>
  <si>
    <t>Harnais d'escalade</t>
  </si>
  <si>
    <t>Filet de Camouflage 6x4</t>
  </si>
  <si>
    <t>Filet de Camouflage 10x8</t>
  </si>
  <si>
    <t>ECR</t>
  </si>
  <si>
    <t>Pelle US</t>
  </si>
  <si>
    <t>Scie</t>
  </si>
  <si>
    <t>Hache</t>
  </si>
  <si>
    <t>interdit aux nains</t>
  </si>
  <si>
    <t>Réchaufeuse d'air</t>
  </si>
  <si>
    <t>Réchaud</t>
  </si>
  <si>
    <t>4,75kw</t>
  </si>
  <si>
    <t>Gamelles</t>
  </si>
  <si>
    <t>Glacière</t>
  </si>
  <si>
    <t>Tente biplace</t>
  </si>
  <si>
    <t>Tente 4 places</t>
  </si>
  <si>
    <t>Tente 10 places</t>
  </si>
  <si>
    <t>Ration de combat 1J</t>
  </si>
  <si>
    <t>Ration Commando 1J</t>
  </si>
  <si>
    <t>Corde 15 m</t>
  </si>
  <si>
    <t xml:space="preserve">Grappin </t>
  </si>
  <si>
    <t>Sac 25 L</t>
  </si>
  <si>
    <t>sac 30 L</t>
  </si>
  <si>
    <t>sac 40 L</t>
  </si>
  <si>
    <t>Holster hanche</t>
  </si>
  <si>
    <t>Holster d'aisselle</t>
  </si>
  <si>
    <t>silencieux intégral</t>
  </si>
  <si>
    <t>Bonus tir portée courte</t>
  </si>
  <si>
    <t>Bonus tir portée moyenne</t>
  </si>
  <si>
    <t>Bonus tir portée longue</t>
  </si>
  <si>
    <t>Bonus tir portée extreme</t>
  </si>
  <si>
    <t>Année</t>
  </si>
  <si>
    <t>Feature\Visée rudimentaire</t>
  </si>
  <si>
    <t>Feature\Visée lunette</t>
  </si>
  <si>
    <t>PMU : 600m, portée de détection 2000m</t>
  </si>
  <si>
    <t>PMU : 1500m portée de detection 4000m</t>
  </si>
  <si>
    <t>Feature\Addons</t>
  </si>
  <si>
    <t>Feature\Silencieux</t>
  </si>
  <si>
    <t>Masque gaz militaire – protection agents chimiques et biologiques – autonomie 24h</t>
  </si>
  <si>
    <t>Détecteur automatique agents neurotoxiques et vésicants – alarme sonore et visuelle</t>
  </si>
  <si>
    <t>Ensemble protecteur NBC intégral (masque non inclus) – résistance certifiée 24h</t>
  </si>
  <si>
    <t>10 lingettes décontaminantes peau – neutralisation agents chimiques en 2min</t>
  </si>
  <si>
    <t>Radio militaire multi-bandes sécurisée – portée 5km sol-sol avec chiffrement</t>
  </si>
  <si>
    <t>Radio tactique wideband avec capacité satcom – portée 50km+</t>
  </si>
  <si>
    <t>Protection auditive active avec passerelle radio intégrée – atténuation 26dB</t>
  </si>
  <si>
    <t>Balise localisatrice personnelle COSPAS-SARSAT – activation manuelle ou automatique</t>
  </si>
  <si>
    <t>Kit PTT discret avec écouteur intra et micro laryngophone – discrétion opérationnelle</t>
  </si>
  <si>
    <t>Permet de resister a des tempé jusqu'à -10</t>
  </si>
  <si>
    <t>Permet de resister pendant 8h a des tempé jusqu'à -40</t>
  </si>
  <si>
    <t>Lampe rail Picatinny 300 lumens – activation ambidextre – IP54</t>
  </si>
  <si>
    <t>Lampe frontale 4 modes: blanc/rouge/IR/strobe – compatible NVG</t>
  </si>
  <si>
    <t>Cyalume 12h – balisage et jalonnement discret – spectre vert et infrarouge</t>
  </si>
  <si>
    <t>Anémomètre portable électronique</t>
  </si>
  <si>
    <t>Anémomètre portable mécanique</t>
  </si>
  <si>
    <t>Bandages stériles, désinfectant, garrot CAT – traitement blessures légères</t>
  </si>
  <si>
    <t>Défibrillateur automatique externe – usage par personnel non médical</t>
  </si>
  <si>
    <t>5 auto-injecteurs morphine 10mg – analgésie d'urgence au combat</t>
  </si>
  <si>
    <t>3 garrots Combat Application Tourniquet – 1 main possible – norme TCCC</t>
  </si>
  <si>
    <t>scalpels… non ca c'est unpoireau, etc</t>
  </si>
  <si>
    <t>Télémètre militaire 25m-10km avec boussole numérique et GPS intégré</t>
  </si>
  <si>
    <t>Intensificateur de lumière Gen III – vision nocturne opérationnelle 0 à 300m</t>
  </si>
  <si>
    <t>Pince coupe acier galvanisé 5mm et câble acier 3mm – manche isolé</t>
  </si>
  <si>
    <t>Pied de biche acier forgé 35cm – forçage portes et extraction matériel</t>
  </si>
  <si>
    <t>Scie-câble acier inox – coupe bois, os et matériaux composites légers</t>
  </si>
  <si>
    <t>Détecteur de métaux portable – mines PT et IED à moins de 15cm – mode discrimination</t>
  </si>
  <si>
    <t>Couvertures aluminisées réfléchissantes – protection hypothermie jusqu'à -20°C</t>
  </si>
  <si>
    <t>Filtre portatif 1L/min – élimination 99,9999% bactéries et 99,9% parasites</t>
  </si>
  <si>
    <t>GPS milspecs IP68 – cartes topo MGRS – autonomie 16h batteries AA</t>
  </si>
  <si>
    <t>Sac à dos tactique modulaire MOLLE – tissu 1000D Cordura – capacité 45L</t>
  </si>
  <si>
    <t>Porte-équipement MOLLE sans plaques – transport matériel combat 15 poches modulaires</t>
  </si>
  <si>
    <t>Malette rigide étanche IP67 – transport équipement sensible 56x36x23cm</t>
  </si>
  <si>
    <t>Gilet tactique lourd cl IIIA + cervicales et bas ventre. Plaque CL IV en option</t>
  </si>
  <si>
    <t>Set d'éléctronicien</t>
  </si>
  <si>
    <t>Détonateur à distance</t>
  </si>
  <si>
    <t>A coupler avec une télécommande</t>
  </si>
  <si>
    <t>Exosquelette assisté motorisé Bonus de FO et levage</t>
  </si>
  <si>
    <t>FB Radom - P64</t>
  </si>
  <si>
    <t>Smith &amp; wMod 76</t>
  </si>
  <si>
    <t>Equipement\Electronique</t>
  </si>
  <si>
    <t>Gilet OTV Gen III type CIRAS</t>
  </si>
  <si>
    <t>Gilet IOTV Gen IV type I-CIRAS</t>
  </si>
  <si>
    <t>Kit plaques balistiques NIJ IV</t>
  </si>
  <si>
    <t xml:space="preserve">plaques ESAPI NIJ IV + panneaux latéraux </t>
  </si>
  <si>
    <t>Remplacement complet du canon</t>
  </si>
  <si>
    <t>pointeur laser jour</t>
  </si>
  <si>
    <t>PMU : 500m se rajoute sur une lunnette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</si>
</sst>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  <numFmt numFmtId="166" formatCode="_-* #,##0.0_-;\-* #,##0.0_-;_-* &quot;-&quot;??_-;_-@_-"/>
    <numFmt numFmtId="167" formatCode="_-* #,##0.000_-;\-* #,##0.0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2" fillId="2" borderId="1" xfId="2" applyAlignment="1">
      <alignment horizontal="center" vertical="center" wrapText="1"/>
    </xf>
    <xf numFmtId="0" fontId="3" fillId="4" borderId="0" xfId="4" applyAlignment="1">
      <alignment horizontal="center" vertical="center" wrapText="1"/>
    </xf>
    <xf numFmtId="164" fontId="3" fillId="4" borderId="0" xfId="4" applyNumberFormat="1" applyAlignment="1">
      <alignment horizontal="center" vertical="center" wrapText="1"/>
    </xf>
    <xf numFmtId="164" fontId="3" fillId="3" borderId="0" xfId="3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 wrapText="1"/>
    </xf>
    <xf numFmtId="165" fontId="0" fillId="0" borderId="0" xfId="1" applyNumberFormat="1" applyFont="1"/>
    <xf numFmtId="166" fontId="0" fillId="0" borderId="0" xfId="1" applyNumberFormat="1" applyFont="1" applyAlignment="1">
      <alignment horizontal="center" vertical="center" wrapText="1"/>
    </xf>
    <xf numFmtId="166" fontId="0" fillId="0" borderId="0" xfId="1" applyNumberFormat="1" applyFont="1"/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0" xfId="0" quotePrefix="1" applyNumberFormat="1" applyAlignment="1">
      <alignment horizontal="center" wrapText="1"/>
    </xf>
    <xf numFmtId="1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5" fillId="5" borderId="0" xfId="5" applyAlignment="1">
      <alignment horizontal="center" vertical="center" wrapText="1"/>
    </xf>
    <xf numFmtId="0" fontId="5" fillId="5" borderId="0" xfId="5"/>
    <xf numFmtId="164" fontId="7" fillId="6" borderId="1" xfId="7" applyNumberFormat="1" applyAlignment="1">
      <alignment horizontal="center" vertical="center" wrapText="1"/>
    </xf>
    <xf numFmtId="164" fontId="7" fillId="6" borderId="1" xfId="7" applyNumberFormat="1"/>
    <xf numFmtId="0" fontId="7" fillId="6" borderId="1" xfId="7" applyAlignment="1">
      <alignment horizontal="center" vertical="center" wrapText="1"/>
    </xf>
    <xf numFmtId="0" fontId="7" fillId="6" borderId="1" xfId="7"/>
    <xf numFmtId="0" fontId="6" fillId="6" borderId="2" xfId="6" applyAlignment="1">
      <alignment horizontal="center" vertical="center" wrapText="1"/>
    </xf>
    <xf numFmtId="0" fontId="6" fillId="6" borderId="2" xfId="6" applyAlignment="1">
      <alignment horizontal="center" vertical="center"/>
    </xf>
    <xf numFmtId="0" fontId="6" fillId="6" borderId="2" xfId="6" applyAlignment="1">
      <alignment horizontal="center"/>
    </xf>
    <xf numFmtId="0" fontId="7" fillId="6" borderId="1" xfId="7" applyAlignment="1">
      <alignment horizontal="center" vertical="center"/>
    </xf>
    <xf numFmtId="49" fontId="0" fillId="0" borderId="0" xfId="0" applyNumberFormat="1"/>
    <xf numFmtId="0" fontId="8" fillId="0" borderId="0" xfId="0" quotePrefix="1" applyFont="1" applyAlignment="1">
      <alignment horizontal="left"/>
    </xf>
    <xf numFmtId="9" fontId="0" fillId="0" borderId="0" xfId="8" applyNumberFormat="1" applyFont="1"/>
    <xf numFmtId="9" fontId="0" fillId="0" borderId="0" xfId="0" applyNumberFormat="1"/>
    <xf numFmtId="0" fontId="0" fillId="0" borderId="0" xfId="0" applyNumberFormat="1"/>
  </cellXfs>
  <cellStyles count="9">
    <cellStyle name="Accent1" xfId="3" builtinId="29"/>
    <cellStyle name="Accent6" xfId="4" builtinId="49"/>
    <cellStyle name="Calcul" xfId="7" builtinId="22"/>
    <cellStyle name="Entrée" xfId="2" builtinId="20"/>
    <cellStyle name="Milliers" xfId="1" builtinId="3"/>
    <cellStyle name="Normal" xfId="0" builtinId="0"/>
    <cellStyle name="Pourcentage" xfId="8" builtinId="5"/>
    <cellStyle name="Satisfaisant" xfId="5" builtinId="26"/>
    <cellStyle name="Sortie" xfId="6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"/>
  <sheetViews>
    <sheetView workbookViewId="0">
      <pane ySplit="1" topLeftCell="A2" activePane="bottomLeft" state="frozen"/>
      <selection pane="bottomLeft" activeCell="B49" sqref="B49"/>
    </sheetView>
  </sheetViews>
  <sheetFormatPr baseColWidth="10" defaultRowHeight="15"/>
  <cols>
    <col min="1" max="1" width="31.140625" customWidth="1"/>
    <col min="2" max="2" width="25" customWidth="1"/>
    <col min="3" max="3" width="16.5703125" customWidth="1"/>
    <col min="4" max="4" width="15.7109375" customWidth="1"/>
    <col min="5" max="5" width="14.140625" customWidth="1"/>
    <col min="6" max="6" width="17.7109375" bestFit="1" customWidth="1"/>
    <col min="7" max="11" width="17.7109375" customWidth="1"/>
    <col min="12" max="12" width="17.85546875" customWidth="1"/>
    <col min="13" max="13" width="18.5703125" customWidth="1"/>
    <col min="14" max="14" width="15.28515625" style="30" customWidth="1"/>
    <col min="15" max="15" width="16.42578125" style="30" customWidth="1"/>
    <col min="16" max="16" width="15.7109375" style="30" customWidth="1"/>
  </cols>
  <sheetData>
    <row r="1" spans="1:16" s="3" customFormat="1" ht="30">
      <c r="A1" s="3" t="s">
        <v>570</v>
      </c>
      <c r="B1" s="3" t="s">
        <v>0</v>
      </c>
      <c r="C1" s="3" t="s">
        <v>181</v>
      </c>
      <c r="D1" s="3" t="s">
        <v>1</v>
      </c>
      <c r="E1" s="3" t="s">
        <v>2</v>
      </c>
      <c r="F1" s="3" t="s">
        <v>800</v>
      </c>
      <c r="G1" s="3" t="s">
        <v>801</v>
      </c>
      <c r="H1" s="3" t="s">
        <v>797</v>
      </c>
      <c r="I1" s="3" t="s">
        <v>802</v>
      </c>
      <c r="J1" s="3" t="s">
        <v>799</v>
      </c>
      <c r="K1" s="3" t="s">
        <v>814</v>
      </c>
      <c r="L1" s="3" t="s">
        <v>3</v>
      </c>
      <c r="M1" s="3" t="s">
        <v>4</v>
      </c>
      <c r="N1" s="34" t="s">
        <v>823</v>
      </c>
      <c r="O1" s="29" t="s">
        <v>824</v>
      </c>
      <c r="P1" s="29" t="s">
        <v>817</v>
      </c>
    </row>
    <row r="2" spans="1:16">
      <c r="A2" t="s">
        <v>584</v>
      </c>
      <c r="B2" t="s">
        <v>5</v>
      </c>
      <c r="C2" t="s">
        <v>680</v>
      </c>
      <c r="D2" t="s">
        <v>6</v>
      </c>
      <c r="E2" t="s">
        <v>7</v>
      </c>
      <c r="F2">
        <v>3.43</v>
      </c>
      <c r="G2">
        <v>5.45</v>
      </c>
      <c r="H2">
        <v>0.25</v>
      </c>
      <c r="I2">
        <v>1.2250000000000001</v>
      </c>
      <c r="J2">
        <v>1</v>
      </c>
      <c r="K2">
        <v>16</v>
      </c>
      <c r="L2">
        <v>900</v>
      </c>
      <c r="M2">
        <v>10.5</v>
      </c>
      <c r="N2" s="30">
        <f>PI()*G2^2/4000000</f>
        <v>2.3328288948312706E-5</v>
      </c>
      <c r="O2" s="30">
        <f>0.5 * N2 * H2 * I2</f>
        <v>3.5721442452103835E-6</v>
      </c>
      <c r="P2" s="30">
        <f>(F2/1000) / ((PI() * (G2/1000)^2) / 4)</f>
        <v>147.03178649748705</v>
      </c>
    </row>
    <row r="3" spans="1:16">
      <c r="A3" t="s">
        <v>585</v>
      </c>
      <c r="B3" t="s">
        <v>8</v>
      </c>
      <c r="C3" t="s">
        <v>680</v>
      </c>
      <c r="D3" t="s">
        <v>6</v>
      </c>
      <c r="E3" t="s">
        <v>9</v>
      </c>
      <c r="F3">
        <v>4.0999999999999996</v>
      </c>
      <c r="G3">
        <v>5.45</v>
      </c>
      <c r="H3">
        <v>0.25</v>
      </c>
      <c r="I3">
        <v>1.2250000000000001</v>
      </c>
      <c r="J3">
        <v>1.5</v>
      </c>
      <c r="K3">
        <v>16</v>
      </c>
      <c r="L3">
        <v>880</v>
      </c>
      <c r="M3">
        <v>11.2</v>
      </c>
      <c r="N3" s="30">
        <f t="shared" ref="N3:N66" si="0">PI()*G3^2/4000000</f>
        <v>2.3328288948312706E-5</v>
      </c>
      <c r="O3" s="30">
        <f t="shared" ref="O3:O66" si="1">0.5 * N3 * H3 * I3</f>
        <v>3.5721442452103835E-6</v>
      </c>
      <c r="P3" s="30">
        <f t="shared" ref="P3:P66" si="2">(F3/1000) / ((PI() * (G3/1000)^2) / 4)</f>
        <v>175.7522812360632</v>
      </c>
    </row>
    <row r="4" spans="1:16">
      <c r="A4" t="s">
        <v>586</v>
      </c>
      <c r="B4" t="s">
        <v>10</v>
      </c>
      <c r="C4" t="s">
        <v>680</v>
      </c>
      <c r="D4" t="s">
        <v>11</v>
      </c>
      <c r="E4" t="s">
        <v>7</v>
      </c>
      <c r="F4">
        <v>3.56</v>
      </c>
      <c r="G4">
        <v>5.56</v>
      </c>
      <c r="H4">
        <v>0.25</v>
      </c>
      <c r="I4">
        <v>1.2250000000000001</v>
      </c>
      <c r="J4">
        <v>1</v>
      </c>
      <c r="K4">
        <v>20</v>
      </c>
      <c r="L4">
        <v>878</v>
      </c>
      <c r="M4">
        <v>11.2</v>
      </c>
      <c r="N4" s="30">
        <f t="shared" si="0"/>
        <v>2.4279484664003351E-5</v>
      </c>
      <c r="O4" s="30">
        <f t="shared" si="1"/>
        <v>3.7177960891755132E-6</v>
      </c>
      <c r="P4" s="30">
        <f t="shared" si="2"/>
        <v>146.62584685242678</v>
      </c>
    </row>
    <row r="5" spans="1:16">
      <c r="A5" t="s">
        <v>586</v>
      </c>
      <c r="B5" t="s">
        <v>12</v>
      </c>
      <c r="C5" t="s">
        <v>680</v>
      </c>
      <c r="D5" t="s">
        <v>11</v>
      </c>
      <c r="E5" t="s">
        <v>7</v>
      </c>
      <c r="F5">
        <v>4</v>
      </c>
      <c r="G5">
        <v>5.56</v>
      </c>
      <c r="H5">
        <v>0.25</v>
      </c>
      <c r="I5">
        <v>1.2250000000000001</v>
      </c>
      <c r="J5">
        <v>1</v>
      </c>
      <c r="K5">
        <v>20</v>
      </c>
      <c r="L5">
        <v>922</v>
      </c>
      <c r="M5">
        <v>12</v>
      </c>
      <c r="N5" s="30">
        <f t="shared" si="0"/>
        <v>2.4279484664003351E-5</v>
      </c>
      <c r="O5" s="30">
        <f t="shared" si="1"/>
        <v>3.7177960891755132E-6</v>
      </c>
      <c r="P5" s="30">
        <f t="shared" si="2"/>
        <v>164.74814253081658</v>
      </c>
    </row>
    <row r="6" spans="1:16">
      <c r="A6" t="s">
        <v>587</v>
      </c>
      <c r="B6" t="s">
        <v>13</v>
      </c>
      <c r="C6" t="s">
        <v>680</v>
      </c>
      <c r="D6" t="s">
        <v>11</v>
      </c>
      <c r="E6" t="s">
        <v>9</v>
      </c>
      <c r="F6">
        <v>4.5</v>
      </c>
      <c r="G6">
        <v>5.56</v>
      </c>
      <c r="H6">
        <v>0.25</v>
      </c>
      <c r="I6">
        <v>1.2250000000000001</v>
      </c>
      <c r="J6">
        <v>1.5</v>
      </c>
      <c r="K6">
        <v>20</v>
      </c>
      <c r="L6">
        <v>1050</v>
      </c>
      <c r="M6">
        <v>13</v>
      </c>
      <c r="N6" s="30">
        <f t="shared" si="0"/>
        <v>2.4279484664003351E-5</v>
      </c>
      <c r="O6" s="30">
        <f t="shared" si="1"/>
        <v>3.7177960891755132E-6</v>
      </c>
      <c r="P6" s="30">
        <f t="shared" si="2"/>
        <v>185.34166034716864</v>
      </c>
    </row>
    <row r="7" spans="1:16">
      <c r="A7" t="s">
        <v>588</v>
      </c>
      <c r="B7" t="s">
        <v>14</v>
      </c>
      <c r="C7" t="s">
        <v>680</v>
      </c>
      <c r="D7" t="s">
        <v>11</v>
      </c>
      <c r="E7" t="s">
        <v>15</v>
      </c>
      <c r="F7">
        <v>4</v>
      </c>
      <c r="G7">
        <v>5.56</v>
      </c>
      <c r="H7">
        <v>0.25</v>
      </c>
      <c r="I7">
        <v>1.2250000000000001</v>
      </c>
      <c r="J7">
        <v>1</v>
      </c>
      <c r="K7">
        <v>20</v>
      </c>
      <c r="L7">
        <v>960</v>
      </c>
      <c r="M7">
        <v>12</v>
      </c>
      <c r="N7" s="30">
        <f t="shared" si="0"/>
        <v>2.4279484664003351E-5</v>
      </c>
      <c r="O7" s="30">
        <f t="shared" si="1"/>
        <v>3.7177960891755132E-6</v>
      </c>
      <c r="P7" s="30">
        <f t="shared" si="2"/>
        <v>164.74814253081658</v>
      </c>
    </row>
    <row r="8" spans="1:16">
      <c r="A8" t="s">
        <v>586</v>
      </c>
      <c r="B8" t="s">
        <v>16</v>
      </c>
      <c r="C8" t="s">
        <v>680</v>
      </c>
      <c r="D8" t="s">
        <v>11</v>
      </c>
      <c r="E8" t="s">
        <v>7</v>
      </c>
      <c r="F8">
        <v>5</v>
      </c>
      <c r="G8">
        <v>5.56</v>
      </c>
      <c r="H8">
        <v>0.25</v>
      </c>
      <c r="I8">
        <v>1.2250000000000001</v>
      </c>
      <c r="J8">
        <v>1</v>
      </c>
      <c r="K8">
        <v>20</v>
      </c>
      <c r="L8">
        <v>892</v>
      </c>
      <c r="M8">
        <v>13</v>
      </c>
      <c r="N8" s="30">
        <f t="shared" si="0"/>
        <v>2.4279484664003351E-5</v>
      </c>
      <c r="O8" s="30">
        <f t="shared" si="1"/>
        <v>3.7177960891755132E-6</v>
      </c>
      <c r="P8" s="30">
        <f t="shared" si="2"/>
        <v>205.93517816352073</v>
      </c>
    </row>
    <row r="9" spans="1:16">
      <c r="A9" t="s">
        <v>589</v>
      </c>
      <c r="B9" t="s">
        <v>17</v>
      </c>
      <c r="C9" t="s">
        <v>680</v>
      </c>
      <c r="D9" t="s">
        <v>18</v>
      </c>
      <c r="E9" t="s">
        <v>7</v>
      </c>
      <c r="F9">
        <v>2.59</v>
      </c>
      <c r="G9">
        <v>5.56</v>
      </c>
      <c r="H9">
        <v>0.35</v>
      </c>
      <c r="I9">
        <v>1.2250000000000001</v>
      </c>
      <c r="J9">
        <v>1</v>
      </c>
      <c r="K9">
        <v>16</v>
      </c>
      <c r="L9">
        <v>345</v>
      </c>
      <c r="M9">
        <v>7</v>
      </c>
      <c r="N9" s="30">
        <f t="shared" si="0"/>
        <v>2.4279484664003351E-5</v>
      </c>
      <c r="O9" s="30">
        <f t="shared" si="1"/>
        <v>5.204914524845718E-6</v>
      </c>
      <c r="P9" s="30">
        <f t="shared" si="2"/>
        <v>106.67442228870374</v>
      </c>
    </row>
    <row r="10" spans="1:16">
      <c r="A10" t="s">
        <v>590</v>
      </c>
      <c r="B10" t="s">
        <v>19</v>
      </c>
      <c r="C10" t="s">
        <v>680</v>
      </c>
      <c r="D10" t="s">
        <v>18</v>
      </c>
      <c r="E10" t="s">
        <v>20</v>
      </c>
      <c r="F10">
        <v>2.0699999999999998</v>
      </c>
      <c r="G10">
        <v>5.56</v>
      </c>
      <c r="H10">
        <v>0.35</v>
      </c>
      <c r="I10">
        <v>1.2250000000000001</v>
      </c>
      <c r="J10">
        <v>1</v>
      </c>
      <c r="K10">
        <v>16</v>
      </c>
      <c r="L10">
        <v>330</v>
      </c>
      <c r="M10">
        <v>6.5</v>
      </c>
      <c r="N10" s="30">
        <f t="shared" si="0"/>
        <v>2.4279484664003351E-5</v>
      </c>
      <c r="O10" s="30">
        <f t="shared" si="1"/>
        <v>5.204914524845718E-6</v>
      </c>
      <c r="P10" s="30">
        <f t="shared" si="2"/>
        <v>85.257163759697576</v>
      </c>
    </row>
    <row r="11" spans="1:16">
      <c r="A11" t="s">
        <v>591</v>
      </c>
      <c r="B11" t="s">
        <v>21</v>
      </c>
      <c r="C11" t="s">
        <v>680</v>
      </c>
      <c r="D11" t="s">
        <v>18</v>
      </c>
      <c r="E11" t="s">
        <v>15</v>
      </c>
      <c r="F11">
        <v>2.46</v>
      </c>
      <c r="G11">
        <v>5.56</v>
      </c>
      <c r="H11">
        <v>0.35</v>
      </c>
      <c r="I11">
        <v>1.2250000000000001</v>
      </c>
      <c r="J11">
        <v>1</v>
      </c>
      <c r="K11">
        <v>16</v>
      </c>
      <c r="L11">
        <v>405</v>
      </c>
      <c r="M11">
        <v>7</v>
      </c>
      <c r="N11" s="30">
        <f t="shared" si="0"/>
        <v>2.4279484664003351E-5</v>
      </c>
      <c r="O11" s="30">
        <f t="shared" si="1"/>
        <v>5.204914524845718E-6</v>
      </c>
      <c r="P11" s="30">
        <f t="shared" si="2"/>
        <v>101.32010765645219</v>
      </c>
    </row>
    <row r="12" spans="1:16">
      <c r="A12" t="s">
        <v>591</v>
      </c>
      <c r="B12" t="s">
        <v>22</v>
      </c>
      <c r="C12" t="s">
        <v>680</v>
      </c>
      <c r="D12" t="s">
        <v>18</v>
      </c>
      <c r="E12" t="s">
        <v>15</v>
      </c>
      <c r="F12">
        <v>2.0699999999999998</v>
      </c>
      <c r="G12">
        <v>5.56</v>
      </c>
      <c r="H12">
        <v>0.35</v>
      </c>
      <c r="I12">
        <v>1.2250000000000001</v>
      </c>
      <c r="J12">
        <v>1</v>
      </c>
      <c r="K12">
        <v>16</v>
      </c>
      <c r="L12">
        <v>500</v>
      </c>
      <c r="M12">
        <v>6.5</v>
      </c>
      <c r="N12" s="30">
        <f t="shared" si="0"/>
        <v>2.4279484664003351E-5</v>
      </c>
      <c r="O12" s="30">
        <f t="shared" si="1"/>
        <v>5.204914524845718E-6</v>
      </c>
      <c r="P12" s="30">
        <f t="shared" si="2"/>
        <v>85.257163759697576</v>
      </c>
    </row>
    <row r="13" spans="1:16">
      <c r="A13" t="s">
        <v>590</v>
      </c>
      <c r="B13" t="s">
        <v>23</v>
      </c>
      <c r="C13" t="s">
        <v>680</v>
      </c>
      <c r="D13" t="s">
        <v>18</v>
      </c>
      <c r="E13" t="s">
        <v>20</v>
      </c>
      <c r="F13">
        <v>2.58</v>
      </c>
      <c r="G13">
        <v>5.56</v>
      </c>
      <c r="H13">
        <v>0.35</v>
      </c>
      <c r="I13">
        <v>1.2250000000000001</v>
      </c>
      <c r="J13">
        <v>1</v>
      </c>
      <c r="K13">
        <v>16</v>
      </c>
      <c r="L13">
        <v>360</v>
      </c>
      <c r="M13">
        <v>7</v>
      </c>
      <c r="N13" s="30">
        <f t="shared" si="0"/>
        <v>2.4279484664003351E-5</v>
      </c>
      <c r="O13" s="30">
        <f t="shared" si="1"/>
        <v>5.204914524845718E-6</v>
      </c>
      <c r="P13" s="30">
        <f t="shared" si="2"/>
        <v>106.26255193237671</v>
      </c>
    </row>
    <row r="14" spans="1:16">
      <c r="A14" t="s">
        <v>592</v>
      </c>
      <c r="B14" t="s">
        <v>24</v>
      </c>
      <c r="C14" t="s">
        <v>680</v>
      </c>
      <c r="D14" t="s">
        <v>18</v>
      </c>
      <c r="E14" t="s">
        <v>25</v>
      </c>
      <c r="F14">
        <v>3.9</v>
      </c>
      <c r="G14">
        <v>5.56</v>
      </c>
      <c r="H14">
        <v>0.35</v>
      </c>
      <c r="I14">
        <v>1.2250000000000001</v>
      </c>
      <c r="J14">
        <v>1</v>
      </c>
      <c r="K14">
        <v>16</v>
      </c>
      <c r="L14">
        <v>330</v>
      </c>
      <c r="M14">
        <v>8.5</v>
      </c>
      <c r="N14" s="30">
        <f t="shared" si="0"/>
        <v>2.4279484664003351E-5</v>
      </c>
      <c r="O14" s="30">
        <f t="shared" si="1"/>
        <v>5.204914524845718E-6</v>
      </c>
      <c r="P14" s="30">
        <f t="shared" si="2"/>
        <v>160.62943896754615</v>
      </c>
    </row>
    <row r="15" spans="1:16">
      <c r="A15" t="s">
        <v>593</v>
      </c>
      <c r="B15" t="s">
        <v>26</v>
      </c>
      <c r="C15" t="s">
        <v>680</v>
      </c>
      <c r="D15" t="s">
        <v>27</v>
      </c>
      <c r="E15" t="s">
        <v>7</v>
      </c>
      <c r="F15">
        <v>3.23</v>
      </c>
      <c r="G15">
        <v>6.35</v>
      </c>
      <c r="H15">
        <v>0.45</v>
      </c>
      <c r="I15">
        <v>1.2250000000000001</v>
      </c>
      <c r="J15">
        <v>1</v>
      </c>
      <c r="K15">
        <v>4</v>
      </c>
      <c r="L15">
        <v>250</v>
      </c>
      <c r="M15">
        <v>7</v>
      </c>
      <c r="N15" s="30">
        <f t="shared" si="0"/>
        <v>3.1669217443593606E-5</v>
      </c>
      <c r="O15" s="30">
        <f t="shared" si="1"/>
        <v>8.7288280578904889E-6</v>
      </c>
      <c r="P15" s="30">
        <f t="shared" si="2"/>
        <v>101.99178447503442</v>
      </c>
    </row>
    <row r="16" spans="1:16">
      <c r="A16" t="s">
        <v>594</v>
      </c>
      <c r="B16" t="s">
        <v>28</v>
      </c>
      <c r="C16" t="s">
        <v>680</v>
      </c>
      <c r="D16" t="s">
        <v>29</v>
      </c>
      <c r="E16" t="s">
        <v>7</v>
      </c>
      <c r="F16">
        <v>10</v>
      </c>
      <c r="G16">
        <v>7.5</v>
      </c>
      <c r="H16">
        <v>0.26</v>
      </c>
      <c r="I16">
        <v>1.2250000000000001</v>
      </c>
      <c r="J16">
        <v>1</v>
      </c>
      <c r="K16">
        <v>24</v>
      </c>
      <c r="L16">
        <v>850</v>
      </c>
      <c r="M16">
        <v>23.5</v>
      </c>
      <c r="N16" s="30">
        <f t="shared" si="0"/>
        <v>4.4178646691106464E-5</v>
      </c>
      <c r="O16" s="30">
        <f t="shared" si="1"/>
        <v>7.0354494855587057E-6</v>
      </c>
      <c r="P16" s="30">
        <f t="shared" si="2"/>
        <v>226.35369684180674</v>
      </c>
    </row>
    <row r="17" spans="1:16">
      <c r="A17" t="s">
        <v>594</v>
      </c>
      <c r="B17" t="s">
        <v>30</v>
      </c>
      <c r="C17" t="s">
        <v>680</v>
      </c>
      <c r="D17" t="s">
        <v>29</v>
      </c>
      <c r="E17" t="s">
        <v>7</v>
      </c>
      <c r="F17">
        <v>12.4</v>
      </c>
      <c r="G17">
        <v>7.5</v>
      </c>
      <c r="H17">
        <v>0.26</v>
      </c>
      <c r="I17">
        <v>1.2250000000000001</v>
      </c>
      <c r="J17">
        <v>1</v>
      </c>
      <c r="K17">
        <v>24</v>
      </c>
      <c r="L17">
        <v>830</v>
      </c>
      <c r="M17">
        <v>27</v>
      </c>
      <c r="N17" s="30">
        <f t="shared" si="0"/>
        <v>4.4178646691106464E-5</v>
      </c>
      <c r="O17" s="30">
        <f t="shared" si="1"/>
        <v>7.0354494855587057E-6</v>
      </c>
      <c r="P17" s="30">
        <f t="shared" si="2"/>
        <v>280.67858408384035</v>
      </c>
    </row>
    <row r="18" spans="1:16">
      <c r="A18" t="s">
        <v>595</v>
      </c>
      <c r="B18" t="s">
        <v>31</v>
      </c>
      <c r="C18" t="s">
        <v>680</v>
      </c>
      <c r="D18" t="s">
        <v>29</v>
      </c>
      <c r="E18" t="s">
        <v>9</v>
      </c>
      <c r="F18">
        <v>10.4</v>
      </c>
      <c r="G18">
        <v>7.5</v>
      </c>
      <c r="H18">
        <v>0.26</v>
      </c>
      <c r="I18">
        <v>1.2250000000000001</v>
      </c>
      <c r="J18">
        <v>1.5</v>
      </c>
      <c r="K18">
        <v>24</v>
      </c>
      <c r="L18">
        <v>894</v>
      </c>
      <c r="M18">
        <v>24</v>
      </c>
      <c r="N18" s="30">
        <f t="shared" si="0"/>
        <v>4.4178646691106464E-5</v>
      </c>
      <c r="O18" s="30">
        <f t="shared" si="1"/>
        <v>7.0354494855587057E-6</v>
      </c>
      <c r="P18" s="30">
        <f t="shared" si="2"/>
        <v>235.40784471547897</v>
      </c>
    </row>
    <row r="19" spans="1:16">
      <c r="A19" t="s">
        <v>596</v>
      </c>
      <c r="B19" t="s">
        <v>32</v>
      </c>
      <c r="C19" t="s">
        <v>680</v>
      </c>
      <c r="D19" t="s">
        <v>33</v>
      </c>
      <c r="E19" t="s">
        <v>7</v>
      </c>
      <c r="F19">
        <v>5.5</v>
      </c>
      <c r="G19">
        <v>7.62</v>
      </c>
      <c r="H19">
        <v>0.35</v>
      </c>
      <c r="I19">
        <v>1.2250000000000001</v>
      </c>
      <c r="J19">
        <v>1</v>
      </c>
      <c r="K19">
        <v>5</v>
      </c>
      <c r="L19">
        <v>488</v>
      </c>
      <c r="M19">
        <v>9</v>
      </c>
      <c r="N19" s="30">
        <f t="shared" si="0"/>
        <v>4.5603673118774793E-5</v>
      </c>
      <c r="O19" s="30">
        <f t="shared" si="1"/>
        <v>9.7762874248373463E-6</v>
      </c>
      <c r="P19" s="30">
        <f t="shared" si="2"/>
        <v>120.60432030716575</v>
      </c>
    </row>
    <row r="20" spans="1:16">
      <c r="A20" t="s">
        <v>597</v>
      </c>
      <c r="B20" t="s">
        <v>34</v>
      </c>
      <c r="C20" t="s">
        <v>680</v>
      </c>
      <c r="D20" t="s">
        <v>33</v>
      </c>
      <c r="E20" t="s">
        <v>20</v>
      </c>
      <c r="F20">
        <v>5.5</v>
      </c>
      <c r="G20">
        <v>7.62</v>
      </c>
      <c r="H20">
        <v>0.35</v>
      </c>
      <c r="I20">
        <v>1.2250000000000001</v>
      </c>
      <c r="J20">
        <v>1</v>
      </c>
      <c r="K20">
        <v>5</v>
      </c>
      <c r="L20">
        <v>525</v>
      </c>
      <c r="M20">
        <v>9</v>
      </c>
      <c r="N20" s="30">
        <f t="shared" si="0"/>
        <v>4.5603673118774793E-5</v>
      </c>
      <c r="O20" s="30">
        <f t="shared" si="1"/>
        <v>9.7762874248373463E-6</v>
      </c>
      <c r="P20" s="30">
        <f t="shared" si="2"/>
        <v>120.60432030716575</v>
      </c>
    </row>
    <row r="21" spans="1:16">
      <c r="A21" t="s">
        <v>596</v>
      </c>
      <c r="B21" t="s">
        <v>35</v>
      </c>
      <c r="C21" t="s">
        <v>680</v>
      </c>
      <c r="D21" t="s">
        <v>33</v>
      </c>
      <c r="E21" t="s">
        <v>7</v>
      </c>
      <c r="F21">
        <v>5.5</v>
      </c>
      <c r="G21">
        <v>7.62</v>
      </c>
      <c r="H21">
        <v>0.35</v>
      </c>
      <c r="I21">
        <v>1.2250000000000001</v>
      </c>
      <c r="J21">
        <v>1</v>
      </c>
      <c r="K21">
        <v>5</v>
      </c>
      <c r="L21">
        <v>500</v>
      </c>
      <c r="M21">
        <v>9</v>
      </c>
      <c r="N21" s="30">
        <f t="shared" si="0"/>
        <v>4.5603673118774793E-5</v>
      </c>
      <c r="O21" s="30">
        <f t="shared" si="1"/>
        <v>9.7762874248373463E-6</v>
      </c>
      <c r="P21" s="30">
        <f t="shared" si="2"/>
        <v>120.60432030716575</v>
      </c>
    </row>
    <row r="22" spans="1:16">
      <c r="A22" t="s">
        <v>596</v>
      </c>
      <c r="B22" t="s">
        <v>36</v>
      </c>
      <c r="C22" t="s">
        <v>680</v>
      </c>
      <c r="D22" t="s">
        <v>33</v>
      </c>
      <c r="E22" t="s">
        <v>7</v>
      </c>
      <c r="F22">
        <v>5.5</v>
      </c>
      <c r="G22">
        <v>7.62</v>
      </c>
      <c r="H22">
        <v>0.35</v>
      </c>
      <c r="I22">
        <v>1.2250000000000001</v>
      </c>
      <c r="J22">
        <v>1</v>
      </c>
      <c r="K22">
        <v>5</v>
      </c>
      <c r="L22">
        <v>300</v>
      </c>
      <c r="M22">
        <v>9</v>
      </c>
      <c r="N22" s="30">
        <f t="shared" si="0"/>
        <v>4.5603673118774793E-5</v>
      </c>
      <c r="O22" s="30">
        <f t="shared" si="1"/>
        <v>9.7762874248373463E-6</v>
      </c>
      <c r="P22" s="30">
        <f t="shared" si="2"/>
        <v>120.60432030716575</v>
      </c>
    </row>
    <row r="23" spans="1:16">
      <c r="A23" t="s">
        <v>598</v>
      </c>
      <c r="B23" t="s">
        <v>37</v>
      </c>
      <c r="C23" t="s">
        <v>680</v>
      </c>
      <c r="D23" t="s">
        <v>38</v>
      </c>
      <c r="E23" t="s">
        <v>7</v>
      </c>
      <c r="F23">
        <v>7.9</v>
      </c>
      <c r="G23">
        <v>7.62</v>
      </c>
      <c r="H23">
        <v>0.28000000000000003</v>
      </c>
      <c r="I23">
        <v>1.2250000000000001</v>
      </c>
      <c r="J23">
        <v>1</v>
      </c>
      <c r="K23">
        <v>16</v>
      </c>
      <c r="L23">
        <v>725</v>
      </c>
      <c r="M23">
        <v>16.3</v>
      </c>
      <c r="N23" s="30">
        <f t="shared" si="0"/>
        <v>4.5603673118774793E-5</v>
      </c>
      <c r="O23" s="30">
        <f t="shared" si="1"/>
        <v>7.8210299398698787E-6</v>
      </c>
      <c r="P23" s="30">
        <f t="shared" si="2"/>
        <v>173.23166007756538</v>
      </c>
    </row>
    <row r="24" spans="1:16">
      <c r="A24" t="s">
        <v>599</v>
      </c>
      <c r="B24" t="s">
        <v>39</v>
      </c>
      <c r="C24" t="s">
        <v>680</v>
      </c>
      <c r="D24" t="s">
        <v>38</v>
      </c>
      <c r="E24" t="s">
        <v>9</v>
      </c>
      <c r="F24">
        <v>8</v>
      </c>
      <c r="G24">
        <v>7.62</v>
      </c>
      <c r="H24">
        <v>0.28000000000000003</v>
      </c>
      <c r="I24">
        <v>1.2250000000000001</v>
      </c>
      <c r="J24">
        <v>1.5</v>
      </c>
      <c r="K24">
        <v>16</v>
      </c>
      <c r="L24">
        <v>740</v>
      </c>
      <c r="M24">
        <v>16.2</v>
      </c>
      <c r="N24" s="30">
        <f t="shared" si="0"/>
        <v>4.5603673118774793E-5</v>
      </c>
      <c r="O24" s="30">
        <f t="shared" si="1"/>
        <v>7.8210299398698787E-6</v>
      </c>
      <c r="P24" s="30">
        <f t="shared" si="2"/>
        <v>175.42446590133201</v>
      </c>
    </row>
    <row r="25" spans="1:16">
      <c r="A25" t="s">
        <v>600</v>
      </c>
      <c r="B25" t="s">
        <v>40</v>
      </c>
      <c r="C25" t="s">
        <v>680</v>
      </c>
      <c r="D25" t="s">
        <v>41</v>
      </c>
      <c r="E25" t="s">
        <v>7</v>
      </c>
      <c r="F25">
        <v>7.1</v>
      </c>
      <c r="G25">
        <v>7.62</v>
      </c>
      <c r="H25">
        <v>0.35</v>
      </c>
      <c r="I25">
        <v>1.2250000000000001</v>
      </c>
      <c r="J25">
        <v>1</v>
      </c>
      <c r="K25">
        <v>18</v>
      </c>
      <c r="L25">
        <v>670</v>
      </c>
      <c r="M25">
        <v>16</v>
      </c>
      <c r="N25" s="30">
        <f t="shared" si="0"/>
        <v>4.5603673118774793E-5</v>
      </c>
      <c r="O25" s="30">
        <f t="shared" si="1"/>
        <v>9.7762874248373463E-6</v>
      </c>
      <c r="P25" s="30">
        <f t="shared" si="2"/>
        <v>155.68921348743214</v>
      </c>
    </row>
    <row r="26" spans="1:16">
      <c r="A26" t="s">
        <v>601</v>
      </c>
      <c r="B26" t="s">
        <v>42</v>
      </c>
      <c r="C26" t="s">
        <v>680</v>
      </c>
      <c r="D26" t="s">
        <v>43</v>
      </c>
      <c r="E26" t="s">
        <v>7</v>
      </c>
      <c r="F26">
        <v>10</v>
      </c>
      <c r="G26">
        <v>7.8</v>
      </c>
      <c r="H26">
        <v>0.26</v>
      </c>
      <c r="I26">
        <v>1.2250000000000001</v>
      </c>
      <c r="J26">
        <v>1</v>
      </c>
      <c r="K26">
        <v>24</v>
      </c>
      <c r="L26">
        <v>730</v>
      </c>
      <c r="M26">
        <v>18</v>
      </c>
      <c r="N26" s="30">
        <f t="shared" si="0"/>
        <v>4.7783624261100745E-5</v>
      </c>
      <c r="O26" s="30">
        <f t="shared" si="1"/>
        <v>7.6095421635802941E-6</v>
      </c>
      <c r="P26" s="30">
        <f t="shared" si="2"/>
        <v>209.27671675462904</v>
      </c>
    </row>
    <row r="27" spans="1:16">
      <c r="A27" t="s">
        <v>602</v>
      </c>
      <c r="B27" t="s">
        <v>44</v>
      </c>
      <c r="C27" t="s">
        <v>680</v>
      </c>
      <c r="D27" t="s">
        <v>45</v>
      </c>
      <c r="E27" t="s">
        <v>7</v>
      </c>
      <c r="F27">
        <v>8</v>
      </c>
      <c r="G27">
        <v>7.8</v>
      </c>
      <c r="H27">
        <v>0.28000000000000003</v>
      </c>
      <c r="I27">
        <v>1.2250000000000001</v>
      </c>
      <c r="J27">
        <v>1</v>
      </c>
      <c r="K27">
        <v>18</v>
      </c>
      <c r="L27">
        <v>675</v>
      </c>
      <c r="M27">
        <v>15</v>
      </c>
      <c r="N27" s="30">
        <f t="shared" si="0"/>
        <v>4.7783624261100745E-5</v>
      </c>
      <c r="O27" s="30">
        <f t="shared" si="1"/>
        <v>8.1948915607787798E-6</v>
      </c>
      <c r="P27" s="30">
        <f t="shared" si="2"/>
        <v>167.42137340370323</v>
      </c>
    </row>
    <row r="28" spans="1:16">
      <c r="A28" t="s">
        <v>603</v>
      </c>
      <c r="B28" t="s">
        <v>46</v>
      </c>
      <c r="C28" t="s">
        <v>680</v>
      </c>
      <c r="D28" t="s">
        <v>45</v>
      </c>
      <c r="E28" t="s">
        <v>9</v>
      </c>
      <c r="F28">
        <v>5</v>
      </c>
      <c r="G28">
        <v>7.8</v>
      </c>
      <c r="H28">
        <v>0.28000000000000003</v>
      </c>
      <c r="I28">
        <v>1.2250000000000001</v>
      </c>
      <c r="J28">
        <v>1.5</v>
      </c>
      <c r="K28">
        <v>18</v>
      </c>
      <c r="L28">
        <v>900</v>
      </c>
      <c r="M28">
        <v>12</v>
      </c>
      <c r="N28" s="30">
        <f t="shared" si="0"/>
        <v>4.7783624261100745E-5</v>
      </c>
      <c r="O28" s="30">
        <f t="shared" si="1"/>
        <v>8.1948915607787798E-6</v>
      </c>
      <c r="P28" s="30">
        <f t="shared" si="2"/>
        <v>104.63835837731452</v>
      </c>
    </row>
    <row r="29" spans="1:16">
      <c r="A29" t="s">
        <v>604</v>
      </c>
      <c r="B29" t="s">
        <v>47</v>
      </c>
      <c r="C29" t="s">
        <v>680</v>
      </c>
      <c r="D29" t="s">
        <v>45</v>
      </c>
      <c r="E29" t="s">
        <v>48</v>
      </c>
      <c r="F29">
        <v>14</v>
      </c>
      <c r="G29">
        <v>7.8</v>
      </c>
      <c r="H29">
        <v>0.28000000000000003</v>
      </c>
      <c r="I29">
        <v>1.2250000000000001</v>
      </c>
      <c r="J29">
        <v>1</v>
      </c>
      <c r="K29">
        <v>18</v>
      </c>
      <c r="L29">
        <v>310</v>
      </c>
      <c r="M29">
        <v>24</v>
      </c>
      <c r="N29" s="30">
        <f t="shared" si="0"/>
        <v>4.7783624261100745E-5</v>
      </c>
      <c r="O29" s="30">
        <f t="shared" si="1"/>
        <v>8.1948915607787798E-6</v>
      </c>
      <c r="P29" s="30">
        <f t="shared" si="2"/>
        <v>292.98740345648065</v>
      </c>
    </row>
    <row r="30" spans="1:16">
      <c r="A30" t="s">
        <v>605</v>
      </c>
      <c r="B30" t="s">
        <v>49</v>
      </c>
      <c r="C30" t="s">
        <v>680</v>
      </c>
      <c r="D30" t="s">
        <v>50</v>
      </c>
      <c r="E30" t="s">
        <v>7</v>
      </c>
      <c r="F30">
        <v>11.3</v>
      </c>
      <c r="G30">
        <v>7.7</v>
      </c>
      <c r="H30">
        <v>0.26</v>
      </c>
      <c r="I30">
        <v>1.2250000000000001</v>
      </c>
      <c r="J30">
        <v>1</v>
      </c>
      <c r="K30">
        <v>25</v>
      </c>
      <c r="L30">
        <v>735</v>
      </c>
      <c r="M30">
        <v>21</v>
      </c>
      <c r="N30" s="30">
        <f t="shared" si="0"/>
        <v>4.6566257107834718E-5</v>
      </c>
      <c r="O30" s="30">
        <f t="shared" si="1"/>
        <v>7.4156764444226801E-6</v>
      </c>
      <c r="P30" s="30">
        <f t="shared" si="2"/>
        <v>242.66498322663753</v>
      </c>
    </row>
    <row r="31" spans="1:16">
      <c r="A31" t="s">
        <v>606</v>
      </c>
      <c r="B31" t="s">
        <v>51</v>
      </c>
      <c r="C31" t="s">
        <v>680</v>
      </c>
      <c r="D31" t="s">
        <v>52</v>
      </c>
      <c r="E31" t="s">
        <v>7</v>
      </c>
      <c r="F31">
        <v>9.4499999999999993</v>
      </c>
      <c r="G31">
        <v>7.62</v>
      </c>
      <c r="H31">
        <v>0.25</v>
      </c>
      <c r="I31">
        <v>1.2250000000000001</v>
      </c>
      <c r="J31">
        <v>1</v>
      </c>
      <c r="K31">
        <v>22</v>
      </c>
      <c r="L31">
        <v>832</v>
      </c>
      <c r="M31">
        <v>25.4</v>
      </c>
      <c r="N31" s="30">
        <f t="shared" si="0"/>
        <v>4.5603673118774793E-5</v>
      </c>
      <c r="O31" s="30">
        <f t="shared" si="1"/>
        <v>6.9830624463123905E-6</v>
      </c>
      <c r="P31" s="30">
        <f t="shared" si="2"/>
        <v>207.22015034594844</v>
      </c>
    </row>
    <row r="32" spans="1:16">
      <c r="A32" t="s">
        <v>607</v>
      </c>
      <c r="B32" t="s">
        <v>53</v>
      </c>
      <c r="C32" t="s">
        <v>680</v>
      </c>
      <c r="D32" t="s">
        <v>52</v>
      </c>
      <c r="E32" t="s">
        <v>15</v>
      </c>
      <c r="F32">
        <v>9</v>
      </c>
      <c r="G32">
        <v>7.62</v>
      </c>
      <c r="H32">
        <v>0.25</v>
      </c>
      <c r="I32">
        <v>1.2250000000000001</v>
      </c>
      <c r="J32">
        <v>1</v>
      </c>
      <c r="K32">
        <v>22</v>
      </c>
      <c r="L32">
        <v>860</v>
      </c>
      <c r="M32">
        <v>25</v>
      </c>
      <c r="N32" s="30">
        <f t="shared" si="0"/>
        <v>4.5603673118774793E-5</v>
      </c>
      <c r="O32" s="30">
        <f t="shared" si="1"/>
        <v>6.9830624463123905E-6</v>
      </c>
      <c r="P32" s="30">
        <f t="shared" si="2"/>
        <v>197.35252413899849</v>
      </c>
    </row>
    <row r="33" spans="1:16">
      <c r="A33" t="s">
        <v>608</v>
      </c>
      <c r="B33" t="s">
        <v>54</v>
      </c>
      <c r="C33" t="s">
        <v>680</v>
      </c>
      <c r="D33" t="s">
        <v>52</v>
      </c>
      <c r="E33" t="s">
        <v>55</v>
      </c>
      <c r="F33">
        <v>11.3</v>
      </c>
      <c r="G33">
        <v>7.62</v>
      </c>
      <c r="H33">
        <v>0.25</v>
      </c>
      <c r="I33">
        <v>1.2250000000000001</v>
      </c>
      <c r="J33">
        <v>1.5</v>
      </c>
      <c r="K33">
        <v>22</v>
      </c>
      <c r="L33">
        <v>960</v>
      </c>
      <c r="M33">
        <v>27</v>
      </c>
      <c r="N33" s="30">
        <f t="shared" si="0"/>
        <v>4.5603673118774793E-5</v>
      </c>
      <c r="O33" s="30">
        <f t="shared" si="1"/>
        <v>6.9830624463123905E-6</v>
      </c>
      <c r="P33" s="30">
        <f t="shared" si="2"/>
        <v>247.78705808563149</v>
      </c>
    </row>
    <row r="34" spans="1:16">
      <c r="A34" t="s">
        <v>609</v>
      </c>
      <c r="B34" t="s">
        <v>56</v>
      </c>
      <c r="C34" t="s">
        <v>680</v>
      </c>
      <c r="D34" t="s">
        <v>52</v>
      </c>
      <c r="E34" t="s">
        <v>9</v>
      </c>
      <c r="F34">
        <v>10.9</v>
      </c>
      <c r="G34">
        <v>7.62</v>
      </c>
      <c r="H34">
        <v>0.25</v>
      </c>
      <c r="I34">
        <v>1.2250000000000001</v>
      </c>
      <c r="J34">
        <v>1.5</v>
      </c>
      <c r="K34">
        <v>22</v>
      </c>
      <c r="L34">
        <v>960</v>
      </c>
      <c r="M34">
        <v>26</v>
      </c>
      <c r="N34" s="30">
        <f t="shared" si="0"/>
        <v>4.5603673118774793E-5</v>
      </c>
      <c r="O34" s="30">
        <f t="shared" si="1"/>
        <v>6.9830624463123905E-6</v>
      </c>
      <c r="P34" s="30">
        <f t="shared" si="2"/>
        <v>239.01583479056487</v>
      </c>
    </row>
    <row r="35" spans="1:16">
      <c r="A35" t="s">
        <v>610</v>
      </c>
      <c r="B35" t="s">
        <v>57</v>
      </c>
      <c r="C35" t="s">
        <v>680</v>
      </c>
      <c r="D35" t="s">
        <v>58</v>
      </c>
      <c r="E35" t="s">
        <v>7</v>
      </c>
      <c r="F35">
        <v>8</v>
      </c>
      <c r="G35">
        <v>7.62</v>
      </c>
      <c r="H35">
        <v>0.25</v>
      </c>
      <c r="I35">
        <v>1.2250000000000001</v>
      </c>
      <c r="J35">
        <v>1</v>
      </c>
      <c r="K35">
        <v>24</v>
      </c>
      <c r="L35">
        <v>810</v>
      </c>
      <c r="M35">
        <v>15</v>
      </c>
      <c r="N35" s="30">
        <f t="shared" si="0"/>
        <v>4.5603673118774793E-5</v>
      </c>
      <c r="O35" s="30">
        <f t="shared" si="1"/>
        <v>6.9830624463123905E-6</v>
      </c>
      <c r="P35" s="30">
        <f t="shared" si="2"/>
        <v>175.42446590133201</v>
      </c>
    </row>
    <row r="36" spans="1:16">
      <c r="A36" t="s">
        <v>611</v>
      </c>
      <c r="B36" t="s">
        <v>59</v>
      </c>
      <c r="C36" t="s">
        <v>680</v>
      </c>
      <c r="D36" t="s">
        <v>58</v>
      </c>
      <c r="E36" t="s">
        <v>9</v>
      </c>
      <c r="F36">
        <v>11</v>
      </c>
      <c r="G36">
        <v>7.62</v>
      </c>
      <c r="H36">
        <v>0.25</v>
      </c>
      <c r="I36">
        <v>1.2250000000000001</v>
      </c>
      <c r="J36">
        <v>1.5</v>
      </c>
      <c r="K36">
        <v>24</v>
      </c>
      <c r="L36">
        <v>855</v>
      </c>
      <c r="M36">
        <v>18</v>
      </c>
      <c r="N36" s="30">
        <f t="shared" si="0"/>
        <v>4.5603673118774793E-5</v>
      </c>
      <c r="O36" s="30">
        <f t="shared" si="1"/>
        <v>6.9830624463123905E-6</v>
      </c>
      <c r="P36" s="30">
        <f t="shared" si="2"/>
        <v>241.2086406143315</v>
      </c>
    </row>
    <row r="37" spans="1:16">
      <c r="A37" t="s">
        <v>612</v>
      </c>
      <c r="B37" t="s">
        <v>60</v>
      </c>
      <c r="C37" t="s">
        <v>680</v>
      </c>
      <c r="D37" t="s">
        <v>61</v>
      </c>
      <c r="E37" t="s">
        <v>9</v>
      </c>
      <c r="F37">
        <v>9.75</v>
      </c>
      <c r="G37">
        <v>7.62</v>
      </c>
      <c r="H37">
        <v>0.25</v>
      </c>
      <c r="I37">
        <v>1.2250000000000001</v>
      </c>
      <c r="J37">
        <v>1.5</v>
      </c>
      <c r="K37">
        <v>24</v>
      </c>
      <c r="L37">
        <v>870</v>
      </c>
      <c r="M37">
        <v>18</v>
      </c>
      <c r="N37" s="30">
        <f t="shared" si="0"/>
        <v>4.5603673118774793E-5</v>
      </c>
      <c r="O37" s="30">
        <f t="shared" si="1"/>
        <v>6.9830624463123905E-6</v>
      </c>
      <c r="P37" s="30">
        <f t="shared" si="2"/>
        <v>213.7985678172484</v>
      </c>
    </row>
    <row r="38" spans="1:16">
      <c r="A38" t="s">
        <v>613</v>
      </c>
      <c r="B38" t="s">
        <v>62</v>
      </c>
      <c r="C38" t="s">
        <v>680</v>
      </c>
      <c r="D38" t="s">
        <v>61</v>
      </c>
      <c r="E38" t="s">
        <v>7</v>
      </c>
      <c r="F38">
        <v>11</v>
      </c>
      <c r="G38">
        <v>7.62</v>
      </c>
      <c r="H38">
        <v>0.25</v>
      </c>
      <c r="I38">
        <v>1.2250000000000001</v>
      </c>
      <c r="J38">
        <v>1</v>
      </c>
      <c r="K38">
        <v>24</v>
      </c>
      <c r="L38">
        <v>786</v>
      </c>
      <c r="M38">
        <v>20</v>
      </c>
      <c r="N38" s="30">
        <f t="shared" si="0"/>
        <v>4.5603673118774793E-5</v>
      </c>
      <c r="O38" s="30">
        <f t="shared" si="1"/>
        <v>6.9830624463123905E-6</v>
      </c>
      <c r="P38" s="30">
        <f t="shared" si="2"/>
        <v>241.2086406143315</v>
      </c>
    </row>
    <row r="39" spans="1:16">
      <c r="A39" t="s">
        <v>612</v>
      </c>
      <c r="B39" t="s">
        <v>63</v>
      </c>
      <c r="C39" t="s">
        <v>680</v>
      </c>
      <c r="D39" t="s">
        <v>61</v>
      </c>
      <c r="E39" t="s">
        <v>9</v>
      </c>
      <c r="F39">
        <v>11.79</v>
      </c>
      <c r="G39">
        <v>7.62</v>
      </c>
      <c r="H39">
        <v>0.25</v>
      </c>
      <c r="I39">
        <v>1.2250000000000001</v>
      </c>
      <c r="J39">
        <v>1.5</v>
      </c>
      <c r="K39">
        <v>24</v>
      </c>
      <c r="L39">
        <v>800</v>
      </c>
      <c r="M39">
        <v>21</v>
      </c>
      <c r="N39" s="30">
        <f t="shared" si="0"/>
        <v>4.5603673118774793E-5</v>
      </c>
      <c r="O39" s="30">
        <f t="shared" si="1"/>
        <v>6.9830624463123905E-6</v>
      </c>
      <c r="P39" s="30">
        <f t="shared" si="2"/>
        <v>258.53180662208803</v>
      </c>
    </row>
    <row r="40" spans="1:16">
      <c r="A40" t="s">
        <v>614</v>
      </c>
      <c r="B40" t="s">
        <v>64</v>
      </c>
      <c r="C40" t="s">
        <v>680</v>
      </c>
      <c r="D40" t="s">
        <v>65</v>
      </c>
      <c r="E40" t="s">
        <v>7</v>
      </c>
      <c r="F40">
        <v>4.7</v>
      </c>
      <c r="G40">
        <v>7.65</v>
      </c>
      <c r="H40">
        <v>0.4</v>
      </c>
      <c r="I40">
        <v>1.2250000000000001</v>
      </c>
      <c r="J40">
        <v>1</v>
      </c>
      <c r="K40">
        <v>4</v>
      </c>
      <c r="L40">
        <v>318</v>
      </c>
      <c r="M40">
        <v>8</v>
      </c>
      <c r="N40" s="30">
        <f t="shared" si="0"/>
        <v>4.596346401742717E-5</v>
      </c>
      <c r="O40" s="30">
        <f t="shared" si="1"/>
        <v>1.1261048684269658E-5</v>
      </c>
      <c r="P40" s="30">
        <f t="shared" si="2"/>
        <v>102.25513025341134</v>
      </c>
    </row>
    <row r="41" spans="1:16">
      <c r="A41" t="s">
        <v>615</v>
      </c>
      <c r="B41" t="s">
        <v>696</v>
      </c>
      <c r="C41" t="s">
        <v>680</v>
      </c>
      <c r="D41" t="s">
        <v>66</v>
      </c>
      <c r="E41" t="s">
        <v>7</v>
      </c>
      <c r="F41">
        <v>8</v>
      </c>
      <c r="G41">
        <v>7.92</v>
      </c>
      <c r="H41">
        <v>0.28000000000000003</v>
      </c>
      <c r="I41">
        <v>1.2250000000000001</v>
      </c>
      <c r="J41">
        <v>1</v>
      </c>
      <c r="K41">
        <v>16</v>
      </c>
      <c r="L41">
        <v>710</v>
      </c>
      <c r="M41">
        <v>15</v>
      </c>
      <c r="N41" s="30">
        <f t="shared" si="0"/>
        <v>4.9265199356533699E-5</v>
      </c>
      <c r="O41" s="30">
        <f t="shared" si="1"/>
        <v>8.4489816896455313E-6</v>
      </c>
      <c r="P41" s="30">
        <f t="shared" si="2"/>
        <v>162.38643311080028</v>
      </c>
    </row>
    <row r="42" spans="1:16">
      <c r="A42" t="s">
        <v>616</v>
      </c>
      <c r="B42" t="s">
        <v>67</v>
      </c>
      <c r="C42" t="s">
        <v>680</v>
      </c>
      <c r="D42" t="s">
        <v>68</v>
      </c>
      <c r="E42" t="s">
        <v>7</v>
      </c>
      <c r="F42">
        <v>13.4</v>
      </c>
      <c r="G42">
        <v>7.92</v>
      </c>
      <c r="H42">
        <v>0.26</v>
      </c>
      <c r="I42">
        <v>1.2250000000000001</v>
      </c>
      <c r="J42">
        <v>1</v>
      </c>
      <c r="K42">
        <v>24</v>
      </c>
      <c r="L42">
        <v>740</v>
      </c>
      <c r="M42">
        <v>23</v>
      </c>
      <c r="N42" s="30">
        <f t="shared" si="0"/>
        <v>4.9265199356533699E-5</v>
      </c>
      <c r="O42" s="30">
        <f t="shared" si="1"/>
        <v>7.8454829975279935E-6</v>
      </c>
      <c r="P42" s="30">
        <f t="shared" si="2"/>
        <v>271.99727546059046</v>
      </c>
    </row>
    <row r="43" spans="1:16">
      <c r="A43" t="s">
        <v>617</v>
      </c>
      <c r="B43" t="s">
        <v>69</v>
      </c>
      <c r="C43" t="s">
        <v>680</v>
      </c>
      <c r="D43" t="s">
        <v>70</v>
      </c>
      <c r="E43" t="s">
        <v>7</v>
      </c>
      <c r="F43">
        <v>12.5</v>
      </c>
      <c r="G43">
        <v>8</v>
      </c>
      <c r="H43">
        <v>0.3</v>
      </c>
      <c r="I43">
        <v>1.2250000000000001</v>
      </c>
      <c r="J43">
        <v>1</v>
      </c>
      <c r="K43">
        <v>24</v>
      </c>
      <c r="L43">
        <v>735</v>
      </c>
      <c r="M43">
        <v>21</v>
      </c>
      <c r="N43" s="30">
        <f t="shared" si="0"/>
        <v>5.0265482457436693E-5</v>
      </c>
      <c r="O43" s="30">
        <f t="shared" si="1"/>
        <v>9.2362824015539926E-6</v>
      </c>
      <c r="P43" s="30">
        <f t="shared" si="2"/>
        <v>248.67959858108651</v>
      </c>
    </row>
    <row r="44" spans="1:16">
      <c r="A44" t="s">
        <v>618</v>
      </c>
      <c r="B44" t="s">
        <v>71</v>
      </c>
      <c r="C44" t="s">
        <v>680</v>
      </c>
      <c r="D44" t="s">
        <v>72</v>
      </c>
      <c r="E44" t="s">
        <v>7</v>
      </c>
      <c r="F44">
        <v>7</v>
      </c>
      <c r="G44">
        <v>8</v>
      </c>
      <c r="H44">
        <v>0.4</v>
      </c>
      <c r="I44">
        <v>1.2250000000000001</v>
      </c>
      <c r="J44">
        <v>1</v>
      </c>
      <c r="K44">
        <v>4.7</v>
      </c>
      <c r="L44">
        <v>315</v>
      </c>
      <c r="M44">
        <v>10.199999999999999</v>
      </c>
      <c r="N44" s="30">
        <f t="shared" si="0"/>
        <v>5.0265482457436693E-5</v>
      </c>
      <c r="O44" s="30">
        <f t="shared" si="1"/>
        <v>1.2315043202071992E-5</v>
      </c>
      <c r="P44" s="30">
        <f t="shared" si="2"/>
        <v>139.26057520540843</v>
      </c>
    </row>
    <row r="45" spans="1:16">
      <c r="A45" t="s">
        <v>619</v>
      </c>
      <c r="B45" t="s">
        <v>73</v>
      </c>
      <c r="C45" t="s">
        <v>680</v>
      </c>
      <c r="D45" t="s">
        <v>74</v>
      </c>
      <c r="E45" t="s">
        <v>7</v>
      </c>
      <c r="F45">
        <v>5.68</v>
      </c>
      <c r="G45">
        <v>9</v>
      </c>
      <c r="H45">
        <v>0.4</v>
      </c>
      <c r="I45">
        <v>1.2250000000000001</v>
      </c>
      <c r="J45">
        <v>1</v>
      </c>
      <c r="K45">
        <v>3.7</v>
      </c>
      <c r="L45">
        <v>297</v>
      </c>
      <c r="M45">
        <v>9</v>
      </c>
      <c r="N45" s="30">
        <f t="shared" si="0"/>
        <v>6.3617251235193305E-5</v>
      </c>
      <c r="O45" s="30">
        <f t="shared" si="1"/>
        <v>1.5586226552622361E-5</v>
      </c>
      <c r="P45" s="30">
        <f t="shared" si="2"/>
        <v>89.283958198712639</v>
      </c>
    </row>
    <row r="46" spans="1:16">
      <c r="A46" t="s">
        <v>620</v>
      </c>
      <c r="B46" t="s">
        <v>75</v>
      </c>
      <c r="C46" t="s">
        <v>680</v>
      </c>
      <c r="D46" t="s">
        <v>76</v>
      </c>
      <c r="E46" t="s">
        <v>7</v>
      </c>
      <c r="F46">
        <v>6.1</v>
      </c>
      <c r="G46">
        <v>9.1999999999999993</v>
      </c>
      <c r="H46">
        <v>0.4</v>
      </c>
      <c r="I46">
        <v>1.2250000000000001</v>
      </c>
      <c r="J46">
        <v>1</v>
      </c>
      <c r="K46">
        <v>3.8</v>
      </c>
      <c r="L46">
        <v>314</v>
      </c>
      <c r="M46">
        <v>10</v>
      </c>
      <c r="N46" s="30">
        <f t="shared" si="0"/>
        <v>6.6476100549960006E-5</v>
      </c>
      <c r="O46" s="30">
        <f t="shared" si="1"/>
        <v>1.6286644634740203E-5</v>
      </c>
      <c r="P46" s="30">
        <f t="shared" si="2"/>
        <v>91.76230178266178</v>
      </c>
    </row>
    <row r="47" spans="1:16">
      <c r="A47" t="s">
        <v>621</v>
      </c>
      <c r="B47" t="s">
        <v>77</v>
      </c>
      <c r="C47" t="s">
        <v>680</v>
      </c>
      <c r="D47" t="s">
        <v>76</v>
      </c>
      <c r="E47" t="s">
        <v>9</v>
      </c>
      <c r="F47">
        <v>3.7</v>
      </c>
      <c r="G47">
        <v>9.1999999999999993</v>
      </c>
      <c r="H47">
        <v>0.4</v>
      </c>
      <c r="I47">
        <v>1.2250000000000001</v>
      </c>
      <c r="J47">
        <v>1.5</v>
      </c>
      <c r="K47">
        <v>3.8</v>
      </c>
      <c r="L47">
        <v>519</v>
      </c>
      <c r="M47">
        <v>7.4</v>
      </c>
      <c r="N47" s="30">
        <f t="shared" si="0"/>
        <v>6.6476100549960006E-5</v>
      </c>
      <c r="O47" s="30">
        <f t="shared" si="1"/>
        <v>1.6286644634740203E-5</v>
      </c>
      <c r="P47" s="30">
        <f t="shared" si="2"/>
        <v>55.659101081286657</v>
      </c>
    </row>
    <row r="48" spans="1:16">
      <c r="A48" t="s">
        <v>622</v>
      </c>
      <c r="B48" t="s">
        <v>78</v>
      </c>
      <c r="C48" t="s">
        <v>680</v>
      </c>
      <c r="D48" t="s">
        <v>76</v>
      </c>
      <c r="E48" t="s">
        <v>20</v>
      </c>
      <c r="F48">
        <v>6.1</v>
      </c>
      <c r="G48">
        <v>9.1999999999999993</v>
      </c>
      <c r="H48">
        <v>0.4</v>
      </c>
      <c r="I48">
        <v>1.2250000000000001</v>
      </c>
      <c r="J48">
        <v>1</v>
      </c>
      <c r="K48">
        <v>3.8</v>
      </c>
      <c r="L48">
        <v>325</v>
      </c>
      <c r="M48">
        <v>8</v>
      </c>
      <c r="N48" s="30">
        <f t="shared" si="0"/>
        <v>6.6476100549960006E-5</v>
      </c>
      <c r="O48" s="30">
        <f t="shared" si="1"/>
        <v>1.6286644634740203E-5</v>
      </c>
      <c r="P48" s="30">
        <f t="shared" si="2"/>
        <v>91.76230178266178</v>
      </c>
    </row>
    <row r="49" spans="1:16">
      <c r="A49" t="s">
        <v>623</v>
      </c>
      <c r="B49" t="s">
        <v>182</v>
      </c>
      <c r="C49" t="s">
        <v>680</v>
      </c>
      <c r="D49" t="s">
        <v>79</v>
      </c>
      <c r="E49" t="s">
        <v>7</v>
      </c>
      <c r="F49">
        <v>6.75</v>
      </c>
      <c r="G49">
        <v>9</v>
      </c>
      <c r="H49">
        <v>0.4</v>
      </c>
      <c r="I49">
        <v>1.2250000000000001</v>
      </c>
      <c r="J49">
        <v>1</v>
      </c>
      <c r="K49">
        <v>4.5</v>
      </c>
      <c r="L49">
        <v>450</v>
      </c>
      <c r="M49">
        <v>11</v>
      </c>
      <c r="N49" s="30">
        <f t="shared" si="0"/>
        <v>6.3617251235193305E-5</v>
      </c>
      <c r="O49" s="30">
        <f t="shared" si="1"/>
        <v>1.5586226552622361E-5</v>
      </c>
      <c r="P49" s="30">
        <f t="shared" si="2"/>
        <v>106.1032953945969</v>
      </c>
    </row>
    <row r="50" spans="1:16">
      <c r="A50" t="s">
        <v>624</v>
      </c>
      <c r="B50" t="s">
        <v>80</v>
      </c>
      <c r="C50" t="s">
        <v>680</v>
      </c>
      <c r="D50" t="s">
        <v>79</v>
      </c>
      <c r="E50" t="s">
        <v>9</v>
      </c>
      <c r="F50">
        <v>6.75</v>
      </c>
      <c r="G50">
        <v>9</v>
      </c>
      <c r="H50">
        <v>0.4</v>
      </c>
      <c r="I50">
        <v>1.2250000000000001</v>
      </c>
      <c r="J50">
        <v>1.5</v>
      </c>
      <c r="K50">
        <v>4.5</v>
      </c>
      <c r="L50">
        <v>460</v>
      </c>
      <c r="M50">
        <v>11</v>
      </c>
      <c r="N50" s="30">
        <f t="shared" si="0"/>
        <v>6.3617251235193305E-5</v>
      </c>
      <c r="O50" s="30">
        <f t="shared" si="1"/>
        <v>1.5586226552622361E-5</v>
      </c>
      <c r="P50" s="30">
        <f t="shared" si="2"/>
        <v>106.1032953945969</v>
      </c>
    </row>
    <row r="51" spans="1:16">
      <c r="A51" t="s">
        <v>625</v>
      </c>
      <c r="B51" t="s">
        <v>81</v>
      </c>
      <c r="C51" t="s">
        <v>680</v>
      </c>
      <c r="D51" t="s">
        <v>79</v>
      </c>
      <c r="E51" t="s">
        <v>20</v>
      </c>
      <c r="F51">
        <v>6.5</v>
      </c>
      <c r="G51">
        <v>9</v>
      </c>
      <c r="H51">
        <v>0.4</v>
      </c>
      <c r="I51">
        <v>1.2250000000000001</v>
      </c>
      <c r="J51">
        <v>1</v>
      </c>
      <c r="K51">
        <v>4.5</v>
      </c>
      <c r="L51">
        <v>410</v>
      </c>
      <c r="M51">
        <v>11</v>
      </c>
      <c r="N51" s="30">
        <f t="shared" si="0"/>
        <v>6.3617251235193305E-5</v>
      </c>
      <c r="O51" s="30">
        <f t="shared" si="1"/>
        <v>1.5586226552622361E-5</v>
      </c>
      <c r="P51" s="30">
        <f t="shared" si="2"/>
        <v>102.17354371331554</v>
      </c>
    </row>
    <row r="52" spans="1:16">
      <c r="A52" t="s">
        <v>626</v>
      </c>
      <c r="B52" t="s">
        <v>82</v>
      </c>
      <c r="C52" t="s">
        <v>680</v>
      </c>
      <c r="D52" t="s">
        <v>79</v>
      </c>
      <c r="E52" t="s">
        <v>25</v>
      </c>
      <c r="F52">
        <v>8</v>
      </c>
      <c r="G52">
        <v>9</v>
      </c>
      <c r="H52">
        <v>0.4</v>
      </c>
      <c r="I52">
        <v>1.2250000000000001</v>
      </c>
      <c r="J52">
        <v>1</v>
      </c>
      <c r="K52">
        <v>4.5</v>
      </c>
      <c r="L52">
        <v>300</v>
      </c>
      <c r="M52">
        <v>13</v>
      </c>
      <c r="N52" s="30">
        <f t="shared" si="0"/>
        <v>6.3617251235193305E-5</v>
      </c>
      <c r="O52" s="30">
        <f t="shared" si="1"/>
        <v>1.5586226552622361E-5</v>
      </c>
      <c r="P52" s="30">
        <f t="shared" si="2"/>
        <v>125.75205380100374</v>
      </c>
    </row>
    <row r="53" spans="1:16">
      <c r="A53" t="s">
        <v>627</v>
      </c>
      <c r="B53" t="s">
        <v>83</v>
      </c>
      <c r="C53" t="s">
        <v>680</v>
      </c>
      <c r="D53" t="s">
        <v>84</v>
      </c>
      <c r="E53" t="s">
        <v>7</v>
      </c>
      <c r="F53">
        <v>10.6</v>
      </c>
      <c r="G53">
        <v>9</v>
      </c>
      <c r="H53">
        <v>0.45</v>
      </c>
      <c r="I53">
        <v>1.2250000000000001</v>
      </c>
      <c r="J53">
        <v>1</v>
      </c>
      <c r="K53">
        <v>4</v>
      </c>
      <c r="L53">
        <v>260</v>
      </c>
      <c r="M53">
        <v>20</v>
      </c>
      <c r="N53" s="30">
        <f t="shared" si="0"/>
        <v>6.3617251235193305E-5</v>
      </c>
      <c r="O53" s="30">
        <f t="shared" si="1"/>
        <v>1.7534504871700157E-5</v>
      </c>
      <c r="P53" s="30">
        <f t="shared" si="2"/>
        <v>166.62147128632995</v>
      </c>
    </row>
    <row r="54" spans="1:16">
      <c r="A54" t="s">
        <v>677</v>
      </c>
      <c r="B54" t="s">
        <v>85</v>
      </c>
      <c r="C54" t="s">
        <v>680</v>
      </c>
      <c r="D54" t="s">
        <v>84</v>
      </c>
      <c r="E54" t="s">
        <v>9</v>
      </c>
      <c r="F54">
        <v>10.199999999999999</v>
      </c>
      <c r="G54">
        <v>9</v>
      </c>
      <c r="H54">
        <v>0.45</v>
      </c>
      <c r="I54">
        <v>1.2250000000000001</v>
      </c>
      <c r="J54">
        <v>1.5</v>
      </c>
      <c r="K54">
        <v>4</v>
      </c>
      <c r="L54">
        <v>230</v>
      </c>
      <c r="M54">
        <v>20</v>
      </c>
      <c r="N54" s="30">
        <f t="shared" si="0"/>
        <v>6.3617251235193305E-5</v>
      </c>
      <c r="O54" s="30">
        <f t="shared" si="1"/>
        <v>1.7534504871700157E-5</v>
      </c>
      <c r="P54" s="30">
        <f t="shared" si="2"/>
        <v>160.33386859627976</v>
      </c>
    </row>
    <row r="55" spans="1:16">
      <c r="A55" t="s">
        <v>677</v>
      </c>
      <c r="B55" t="s">
        <v>86</v>
      </c>
      <c r="C55" t="s">
        <v>680</v>
      </c>
      <c r="D55" t="s">
        <v>84</v>
      </c>
      <c r="E55" t="s">
        <v>20</v>
      </c>
      <c r="F55">
        <v>7.1</v>
      </c>
      <c r="G55">
        <v>9</v>
      </c>
      <c r="H55">
        <v>0.45</v>
      </c>
      <c r="I55">
        <v>1.2250000000000001</v>
      </c>
      <c r="J55">
        <v>1</v>
      </c>
      <c r="K55">
        <v>4</v>
      </c>
      <c r="L55">
        <v>390</v>
      </c>
      <c r="N55" s="30">
        <f t="shared" si="0"/>
        <v>6.3617251235193305E-5</v>
      </c>
      <c r="O55" s="30">
        <f t="shared" si="1"/>
        <v>1.7534504871700157E-5</v>
      </c>
      <c r="P55" s="30">
        <f t="shared" si="2"/>
        <v>111.60494774839081</v>
      </c>
    </row>
    <row r="56" spans="1:16">
      <c r="A56" t="s">
        <v>677</v>
      </c>
      <c r="B56" t="s">
        <v>87</v>
      </c>
      <c r="C56" t="s">
        <v>680</v>
      </c>
      <c r="D56" t="s">
        <v>84</v>
      </c>
      <c r="F56">
        <v>8.06</v>
      </c>
      <c r="G56">
        <v>9</v>
      </c>
      <c r="H56">
        <v>0.45</v>
      </c>
      <c r="I56">
        <v>1.2250000000000001</v>
      </c>
      <c r="J56">
        <v>1</v>
      </c>
      <c r="K56">
        <v>4</v>
      </c>
      <c r="L56">
        <v>308</v>
      </c>
      <c r="N56" s="30">
        <f t="shared" si="0"/>
        <v>6.3617251235193305E-5</v>
      </c>
      <c r="O56" s="30">
        <f t="shared" si="1"/>
        <v>1.7534504871700157E-5</v>
      </c>
      <c r="P56" s="30">
        <f t="shared" si="2"/>
        <v>126.69519420451128</v>
      </c>
    </row>
    <row r="57" spans="1:16">
      <c r="A57" t="s">
        <v>677</v>
      </c>
      <c r="B57" t="s">
        <v>88</v>
      </c>
      <c r="C57" t="s">
        <v>680</v>
      </c>
      <c r="D57" t="s">
        <v>84</v>
      </c>
      <c r="F57">
        <v>10.19</v>
      </c>
      <c r="G57">
        <v>9</v>
      </c>
      <c r="H57">
        <v>0.45</v>
      </c>
      <c r="I57">
        <v>1.2250000000000001</v>
      </c>
      <c r="J57">
        <v>1</v>
      </c>
      <c r="K57">
        <v>4</v>
      </c>
      <c r="L57">
        <v>370</v>
      </c>
      <c r="N57" s="30">
        <f t="shared" si="0"/>
        <v>6.3617251235193305E-5</v>
      </c>
      <c r="O57" s="30">
        <f t="shared" si="1"/>
        <v>1.7534504871700157E-5</v>
      </c>
      <c r="P57" s="30">
        <f t="shared" si="2"/>
        <v>160.17667852902849</v>
      </c>
    </row>
    <row r="58" spans="1:16">
      <c r="A58" t="s">
        <v>628</v>
      </c>
      <c r="B58" t="s">
        <v>89</v>
      </c>
      <c r="C58" t="s">
        <v>680</v>
      </c>
      <c r="D58" t="s">
        <v>84</v>
      </c>
      <c r="E58" t="s">
        <v>90</v>
      </c>
      <c r="F58">
        <v>10.24</v>
      </c>
      <c r="G58">
        <v>9</v>
      </c>
      <c r="H58">
        <v>0.45</v>
      </c>
      <c r="I58">
        <v>1.2250000000000001</v>
      </c>
      <c r="J58">
        <v>1</v>
      </c>
      <c r="K58">
        <v>4</v>
      </c>
      <c r="L58">
        <v>297</v>
      </c>
      <c r="M58">
        <v>15.8</v>
      </c>
      <c r="N58" s="30">
        <f t="shared" si="0"/>
        <v>6.3617251235193305E-5</v>
      </c>
      <c r="O58" s="30">
        <f t="shared" si="1"/>
        <v>1.7534504871700157E-5</v>
      </c>
      <c r="P58" s="30">
        <f t="shared" si="2"/>
        <v>160.96262886528478</v>
      </c>
    </row>
    <row r="59" spans="1:16">
      <c r="A59" t="s">
        <v>677</v>
      </c>
      <c r="B59" t="s">
        <v>91</v>
      </c>
      <c r="C59" t="s">
        <v>680</v>
      </c>
      <c r="D59" t="s">
        <v>84</v>
      </c>
      <c r="F59">
        <v>7.1</v>
      </c>
      <c r="G59">
        <v>9</v>
      </c>
      <c r="H59">
        <v>0.45</v>
      </c>
      <c r="I59">
        <v>1.2250000000000001</v>
      </c>
      <c r="J59">
        <v>1</v>
      </c>
      <c r="K59">
        <v>4</v>
      </c>
      <c r="L59">
        <v>340</v>
      </c>
      <c r="M59">
        <v>11</v>
      </c>
      <c r="N59" s="30">
        <f t="shared" si="0"/>
        <v>6.3617251235193305E-5</v>
      </c>
      <c r="O59" s="30">
        <f t="shared" si="1"/>
        <v>1.7534504871700157E-5</v>
      </c>
      <c r="P59" s="30">
        <f t="shared" si="2"/>
        <v>111.60494774839081</v>
      </c>
    </row>
    <row r="60" spans="1:16">
      <c r="A60" t="s">
        <v>677</v>
      </c>
      <c r="B60" t="s">
        <v>92</v>
      </c>
      <c r="C60" t="s">
        <v>680</v>
      </c>
      <c r="D60" t="s">
        <v>84</v>
      </c>
      <c r="F60">
        <v>13</v>
      </c>
      <c r="G60">
        <v>9</v>
      </c>
      <c r="H60">
        <v>0.45</v>
      </c>
      <c r="I60">
        <v>1.2250000000000001</v>
      </c>
      <c r="J60">
        <v>1</v>
      </c>
      <c r="K60">
        <v>4</v>
      </c>
      <c r="L60">
        <v>205</v>
      </c>
      <c r="M60">
        <v>20</v>
      </c>
      <c r="N60" s="30">
        <f t="shared" si="0"/>
        <v>6.3617251235193305E-5</v>
      </c>
      <c r="O60" s="30">
        <f t="shared" si="1"/>
        <v>1.7534504871700157E-5</v>
      </c>
      <c r="P60" s="30">
        <f t="shared" si="2"/>
        <v>204.34708742663108</v>
      </c>
    </row>
    <row r="61" spans="1:16">
      <c r="A61" t="s">
        <v>677</v>
      </c>
      <c r="B61" t="s">
        <v>93</v>
      </c>
      <c r="C61" t="s">
        <v>680</v>
      </c>
      <c r="D61" t="s">
        <v>84</v>
      </c>
      <c r="F61">
        <v>9.5299999999999994</v>
      </c>
      <c r="G61">
        <v>9</v>
      </c>
      <c r="H61">
        <v>0.45</v>
      </c>
      <c r="I61">
        <v>1.2250000000000001</v>
      </c>
      <c r="J61">
        <v>1</v>
      </c>
      <c r="K61">
        <v>4</v>
      </c>
      <c r="L61">
        <v>270</v>
      </c>
      <c r="M61">
        <v>14.7</v>
      </c>
      <c r="N61" s="30">
        <f t="shared" si="0"/>
        <v>6.3617251235193305E-5</v>
      </c>
      <c r="O61" s="30">
        <f t="shared" si="1"/>
        <v>1.7534504871700157E-5</v>
      </c>
      <c r="P61" s="30">
        <f t="shared" si="2"/>
        <v>149.80213409044569</v>
      </c>
    </row>
    <row r="62" spans="1:16">
      <c r="A62" t="s">
        <v>629</v>
      </c>
      <c r="B62" t="s">
        <v>94</v>
      </c>
      <c r="C62" t="s">
        <v>680</v>
      </c>
      <c r="D62" t="s">
        <v>95</v>
      </c>
      <c r="E62" t="s">
        <v>7</v>
      </c>
      <c r="F62">
        <v>10.199999999999999</v>
      </c>
      <c r="G62">
        <v>9</v>
      </c>
      <c r="H62">
        <v>0.45</v>
      </c>
      <c r="I62">
        <v>1.2250000000000001</v>
      </c>
      <c r="J62">
        <v>1</v>
      </c>
      <c r="K62">
        <v>6</v>
      </c>
      <c r="L62">
        <v>395</v>
      </c>
      <c r="M62">
        <v>17</v>
      </c>
      <c r="N62" s="30">
        <f t="shared" si="0"/>
        <v>6.3617251235193305E-5</v>
      </c>
      <c r="O62" s="30">
        <f t="shared" si="1"/>
        <v>1.7534504871700157E-5</v>
      </c>
      <c r="P62" s="30">
        <f t="shared" si="2"/>
        <v>160.33386859627976</v>
      </c>
    </row>
    <row r="63" spans="1:16">
      <c r="A63" t="s">
        <v>630</v>
      </c>
      <c r="B63" t="s">
        <v>96</v>
      </c>
      <c r="C63" t="s">
        <v>680</v>
      </c>
      <c r="D63" t="s">
        <v>95</v>
      </c>
      <c r="E63" t="s">
        <v>9</v>
      </c>
      <c r="F63">
        <v>8.1</v>
      </c>
      <c r="G63">
        <v>9</v>
      </c>
      <c r="H63">
        <v>0.45</v>
      </c>
      <c r="I63">
        <v>1.2250000000000001</v>
      </c>
      <c r="J63">
        <v>1.5</v>
      </c>
      <c r="K63">
        <v>6</v>
      </c>
      <c r="L63">
        <v>395</v>
      </c>
      <c r="M63">
        <v>13.5</v>
      </c>
      <c r="N63" s="30">
        <f t="shared" si="0"/>
        <v>6.3617251235193305E-5</v>
      </c>
      <c r="O63" s="30">
        <f t="shared" si="1"/>
        <v>1.7534504871700157E-5</v>
      </c>
      <c r="P63" s="30">
        <f t="shared" si="2"/>
        <v>127.32395447351628</v>
      </c>
    </row>
    <row r="64" spans="1:16">
      <c r="A64" t="s">
        <v>678</v>
      </c>
      <c r="B64" t="s">
        <v>97</v>
      </c>
      <c r="C64" t="s">
        <v>680</v>
      </c>
      <c r="D64" t="s">
        <v>95</v>
      </c>
      <c r="E64" t="s">
        <v>9</v>
      </c>
      <c r="F64">
        <v>10.199999999999999</v>
      </c>
      <c r="G64">
        <v>9</v>
      </c>
      <c r="H64">
        <v>0.45</v>
      </c>
      <c r="I64">
        <v>1.2250000000000001</v>
      </c>
      <c r="J64">
        <v>1.5</v>
      </c>
      <c r="K64">
        <v>6</v>
      </c>
      <c r="L64">
        <v>344</v>
      </c>
      <c r="N64" s="30">
        <f t="shared" si="0"/>
        <v>6.3617251235193305E-5</v>
      </c>
      <c r="O64" s="30">
        <f t="shared" si="1"/>
        <v>1.7534504871700157E-5</v>
      </c>
      <c r="P64" s="30">
        <f t="shared" si="2"/>
        <v>160.33386859627976</v>
      </c>
    </row>
    <row r="65" spans="1:16">
      <c r="A65" t="s">
        <v>678</v>
      </c>
      <c r="B65" t="s">
        <v>98</v>
      </c>
      <c r="C65" t="s">
        <v>680</v>
      </c>
      <c r="D65" t="s">
        <v>95</v>
      </c>
      <c r="E65" t="s">
        <v>20</v>
      </c>
      <c r="F65">
        <v>7.1</v>
      </c>
      <c r="G65">
        <v>9</v>
      </c>
      <c r="H65">
        <v>0.45</v>
      </c>
      <c r="I65">
        <v>1.2250000000000001</v>
      </c>
      <c r="J65">
        <v>1</v>
      </c>
      <c r="K65">
        <v>6</v>
      </c>
      <c r="L65">
        <v>368</v>
      </c>
      <c r="N65" s="30">
        <f t="shared" si="0"/>
        <v>6.3617251235193305E-5</v>
      </c>
      <c r="O65" s="30">
        <f t="shared" si="1"/>
        <v>1.7534504871700157E-5</v>
      </c>
      <c r="P65" s="30">
        <f t="shared" si="2"/>
        <v>111.60494774839081</v>
      </c>
    </row>
    <row r="66" spans="1:16">
      <c r="A66" t="s">
        <v>678</v>
      </c>
      <c r="B66" t="s">
        <v>99</v>
      </c>
      <c r="C66" t="s">
        <v>680</v>
      </c>
      <c r="D66" t="s">
        <v>95</v>
      </c>
      <c r="F66">
        <v>8.06</v>
      </c>
      <c r="G66">
        <v>9</v>
      </c>
      <c r="H66">
        <v>0.45</v>
      </c>
      <c r="I66">
        <v>1.2250000000000001</v>
      </c>
      <c r="J66">
        <v>1</v>
      </c>
      <c r="K66">
        <v>6</v>
      </c>
      <c r="L66">
        <v>435</v>
      </c>
      <c r="N66" s="30">
        <f t="shared" si="0"/>
        <v>6.3617251235193305E-5</v>
      </c>
      <c r="O66" s="30">
        <f t="shared" si="1"/>
        <v>1.7534504871700157E-5</v>
      </c>
      <c r="P66" s="30">
        <f t="shared" si="2"/>
        <v>126.69519420451128</v>
      </c>
    </row>
    <row r="67" spans="1:16">
      <c r="A67" t="s">
        <v>678</v>
      </c>
      <c r="B67" t="s">
        <v>100</v>
      </c>
      <c r="C67" t="s">
        <v>680</v>
      </c>
      <c r="D67" t="s">
        <v>95</v>
      </c>
      <c r="F67">
        <v>7.1</v>
      </c>
      <c r="G67">
        <v>9</v>
      </c>
      <c r="H67">
        <v>0.45</v>
      </c>
      <c r="I67">
        <v>1.2250000000000001</v>
      </c>
      <c r="J67">
        <v>1</v>
      </c>
      <c r="K67">
        <v>6</v>
      </c>
      <c r="L67">
        <v>465</v>
      </c>
      <c r="N67" s="30">
        <f t="shared" ref="N67:N125" si="3">PI()*G67^2/4000000</f>
        <v>6.3617251235193305E-5</v>
      </c>
      <c r="O67" s="30">
        <f t="shared" ref="O67:O125" si="4">0.5 * N67 * H67 * I67</f>
        <v>1.7534504871700157E-5</v>
      </c>
      <c r="P67" s="30">
        <f t="shared" ref="P67:P125" si="5">(F67/1000) / ((PI() * (G67/1000)^2) / 4)</f>
        <v>111.60494774839081</v>
      </c>
    </row>
    <row r="68" spans="1:16">
      <c r="A68" t="s">
        <v>631</v>
      </c>
      <c r="B68" t="s">
        <v>101</v>
      </c>
      <c r="C68" t="s">
        <v>680</v>
      </c>
      <c r="D68" t="s">
        <v>103</v>
      </c>
      <c r="E68" t="s">
        <v>7</v>
      </c>
      <c r="F68">
        <v>13</v>
      </c>
      <c r="G68">
        <v>11.43</v>
      </c>
      <c r="H68">
        <v>0.45</v>
      </c>
      <c r="I68">
        <v>1.2250000000000001</v>
      </c>
      <c r="J68">
        <v>1</v>
      </c>
      <c r="K68">
        <v>5</v>
      </c>
      <c r="L68">
        <v>460</v>
      </c>
      <c r="M68">
        <v>23</v>
      </c>
      <c r="N68" s="30">
        <f t="shared" si="3"/>
        <v>1.026082645172433E-4</v>
      </c>
      <c r="O68" s="30">
        <f t="shared" si="4"/>
        <v>2.8281402907565187E-5</v>
      </c>
      <c r="P68" s="30">
        <f t="shared" si="5"/>
        <v>126.69544759540648</v>
      </c>
    </row>
    <row r="69" spans="1:16">
      <c r="A69" t="s">
        <v>631</v>
      </c>
      <c r="B69" t="s">
        <v>102</v>
      </c>
      <c r="C69" t="s">
        <v>680</v>
      </c>
      <c r="D69" t="s">
        <v>103</v>
      </c>
      <c r="E69" t="s">
        <v>7</v>
      </c>
      <c r="F69">
        <v>19</v>
      </c>
      <c r="G69">
        <v>11.43</v>
      </c>
      <c r="H69">
        <v>0.45</v>
      </c>
      <c r="I69">
        <v>1.2250000000000001</v>
      </c>
      <c r="J69">
        <v>1</v>
      </c>
      <c r="K69">
        <v>5</v>
      </c>
      <c r="L69">
        <v>450</v>
      </c>
      <c r="M69">
        <v>31</v>
      </c>
      <c r="N69" s="30">
        <f t="shared" si="3"/>
        <v>1.026082645172433E-4</v>
      </c>
      <c r="O69" s="30">
        <f t="shared" si="4"/>
        <v>2.8281402907565187E-5</v>
      </c>
      <c r="P69" s="30">
        <f t="shared" si="5"/>
        <v>185.17026956251715</v>
      </c>
    </row>
    <row r="70" spans="1:16">
      <c r="A70" t="s">
        <v>632</v>
      </c>
      <c r="B70" t="s">
        <v>104</v>
      </c>
      <c r="C70" t="s">
        <v>680</v>
      </c>
      <c r="D70" t="s">
        <v>105</v>
      </c>
      <c r="E70" t="s">
        <v>7</v>
      </c>
      <c r="F70">
        <v>19</v>
      </c>
      <c r="G70">
        <v>10.74</v>
      </c>
      <c r="H70">
        <v>0.4</v>
      </c>
      <c r="I70">
        <v>1.2250000000000001</v>
      </c>
      <c r="J70">
        <v>1</v>
      </c>
      <c r="K70">
        <v>6</v>
      </c>
      <c r="L70">
        <v>500</v>
      </c>
      <c r="M70">
        <v>32</v>
      </c>
      <c r="N70" s="30">
        <f t="shared" si="3"/>
        <v>9.059379319230351E-5</v>
      </c>
      <c r="O70" s="30">
        <f t="shared" si="4"/>
        <v>2.2195479332114362E-5</v>
      </c>
      <c r="P70" s="30">
        <f t="shared" si="5"/>
        <v>209.72739224715636</v>
      </c>
    </row>
    <row r="71" spans="1:16">
      <c r="A71" t="s">
        <v>633</v>
      </c>
      <c r="B71" t="s">
        <v>106</v>
      </c>
      <c r="C71" t="s">
        <v>680</v>
      </c>
      <c r="D71" t="s">
        <v>107</v>
      </c>
      <c r="E71" t="s">
        <v>7</v>
      </c>
      <c r="F71">
        <v>11.7</v>
      </c>
      <c r="G71">
        <v>10</v>
      </c>
      <c r="H71">
        <v>0.4</v>
      </c>
      <c r="I71">
        <v>1.2250000000000001</v>
      </c>
      <c r="J71">
        <v>1</v>
      </c>
      <c r="K71">
        <v>4.2</v>
      </c>
      <c r="L71">
        <v>340</v>
      </c>
      <c r="M71">
        <v>21</v>
      </c>
      <c r="N71" s="30">
        <f t="shared" si="3"/>
        <v>7.8539816339744827E-5</v>
      </c>
      <c r="O71" s="30">
        <f t="shared" si="4"/>
        <v>1.9242255003237486E-5</v>
      </c>
      <c r="P71" s="30">
        <f t="shared" si="5"/>
        <v>148.96902673401402</v>
      </c>
    </row>
    <row r="72" spans="1:16">
      <c r="A72" t="s">
        <v>631</v>
      </c>
      <c r="B72" t="s">
        <v>108</v>
      </c>
      <c r="C72" t="s">
        <v>680</v>
      </c>
      <c r="D72" t="s">
        <v>103</v>
      </c>
      <c r="E72" t="s">
        <v>7</v>
      </c>
      <c r="F72">
        <v>14.84</v>
      </c>
      <c r="G72">
        <v>11.43</v>
      </c>
      <c r="H72">
        <v>0.45</v>
      </c>
      <c r="I72">
        <v>1.2250000000000001</v>
      </c>
      <c r="J72">
        <v>1</v>
      </c>
      <c r="K72">
        <v>5</v>
      </c>
      <c r="L72">
        <v>285</v>
      </c>
      <c r="M72">
        <v>28</v>
      </c>
      <c r="N72" s="30">
        <f t="shared" si="3"/>
        <v>1.026082645172433E-4</v>
      </c>
      <c r="O72" s="30">
        <f t="shared" si="4"/>
        <v>2.8281402907565187E-5</v>
      </c>
      <c r="P72" s="30">
        <f t="shared" si="5"/>
        <v>144.62772633198708</v>
      </c>
    </row>
    <row r="73" spans="1:16">
      <c r="A73" t="s">
        <v>634</v>
      </c>
      <c r="B73" t="s">
        <v>109</v>
      </c>
      <c r="C73" t="s">
        <v>680</v>
      </c>
      <c r="D73" t="s">
        <v>103</v>
      </c>
      <c r="E73" t="s">
        <v>9</v>
      </c>
      <c r="F73">
        <v>14.5</v>
      </c>
      <c r="G73">
        <v>11.43</v>
      </c>
      <c r="H73">
        <v>0.45</v>
      </c>
      <c r="I73">
        <v>1.2250000000000001</v>
      </c>
      <c r="J73">
        <v>1.5</v>
      </c>
      <c r="K73">
        <v>5</v>
      </c>
      <c r="L73">
        <v>245</v>
      </c>
      <c r="N73" s="30">
        <f t="shared" si="3"/>
        <v>1.026082645172433E-4</v>
      </c>
      <c r="O73" s="30">
        <f t="shared" si="4"/>
        <v>2.8281402907565187E-5</v>
      </c>
      <c r="P73" s="30">
        <f t="shared" si="5"/>
        <v>141.31415308718417</v>
      </c>
    </row>
    <row r="74" spans="1:16">
      <c r="A74" t="s">
        <v>635</v>
      </c>
      <c r="B74" t="s">
        <v>110</v>
      </c>
      <c r="C74" t="s">
        <v>680</v>
      </c>
      <c r="D74" t="s">
        <v>103</v>
      </c>
      <c r="E74" t="s">
        <v>20</v>
      </c>
      <c r="F74">
        <v>12</v>
      </c>
      <c r="G74">
        <v>11.43</v>
      </c>
      <c r="H74">
        <v>0.45</v>
      </c>
      <c r="I74">
        <v>1.2250000000000001</v>
      </c>
      <c r="J74">
        <v>1</v>
      </c>
      <c r="K74">
        <v>5</v>
      </c>
      <c r="L74">
        <v>266</v>
      </c>
      <c r="N74" s="30">
        <f t="shared" si="3"/>
        <v>1.026082645172433E-4</v>
      </c>
      <c r="O74" s="30">
        <f t="shared" si="4"/>
        <v>2.8281402907565187E-5</v>
      </c>
      <c r="P74" s="30">
        <f t="shared" si="5"/>
        <v>116.94964393422137</v>
      </c>
    </row>
    <row r="75" spans="1:16">
      <c r="A75" t="s">
        <v>636</v>
      </c>
      <c r="B75" t="s">
        <v>111</v>
      </c>
      <c r="C75" t="s">
        <v>680</v>
      </c>
      <c r="D75" t="s">
        <v>112</v>
      </c>
      <c r="E75" t="s">
        <v>9</v>
      </c>
      <c r="F75">
        <v>16</v>
      </c>
      <c r="G75">
        <v>9.3000000000000007</v>
      </c>
      <c r="H75">
        <v>0.35</v>
      </c>
      <c r="I75">
        <v>1.2250000000000001</v>
      </c>
      <c r="J75">
        <v>1.5</v>
      </c>
      <c r="K75">
        <v>12</v>
      </c>
      <c r="L75">
        <v>310</v>
      </c>
      <c r="M75">
        <v>23</v>
      </c>
      <c r="N75" s="30">
        <f t="shared" si="3"/>
        <v>6.7929087152245307E-5</v>
      </c>
      <c r="O75" s="30">
        <f t="shared" si="4"/>
        <v>1.4562298058262588E-5</v>
      </c>
      <c r="P75" s="30">
        <f t="shared" si="5"/>
        <v>235.53974697378425</v>
      </c>
    </row>
    <row r="76" spans="1:16">
      <c r="A76" t="s">
        <v>637</v>
      </c>
      <c r="B76" t="s">
        <v>113</v>
      </c>
      <c r="C76" t="s">
        <v>680</v>
      </c>
      <c r="D76" t="s">
        <v>112</v>
      </c>
      <c r="E76" t="s">
        <v>7</v>
      </c>
      <c r="F76">
        <v>16.8</v>
      </c>
      <c r="G76">
        <v>9.3000000000000007</v>
      </c>
      <c r="H76">
        <v>0.35</v>
      </c>
      <c r="I76">
        <v>1.2250000000000001</v>
      </c>
      <c r="J76">
        <v>1</v>
      </c>
      <c r="K76">
        <v>12</v>
      </c>
      <c r="L76">
        <v>280</v>
      </c>
      <c r="M76">
        <v>23</v>
      </c>
      <c r="N76" s="30">
        <f t="shared" si="3"/>
        <v>6.7929087152245307E-5</v>
      </c>
      <c r="O76" s="30">
        <f t="shared" si="4"/>
        <v>1.4562298058262588E-5</v>
      </c>
      <c r="P76" s="30">
        <f t="shared" si="5"/>
        <v>247.31673432247348</v>
      </c>
    </row>
    <row r="77" spans="1:16">
      <c r="A77" t="s">
        <v>636</v>
      </c>
      <c r="B77" t="s">
        <v>114</v>
      </c>
      <c r="C77" t="s">
        <v>680</v>
      </c>
      <c r="D77" t="s">
        <v>112</v>
      </c>
      <c r="E77" t="s">
        <v>9</v>
      </c>
      <c r="F77">
        <v>17.3</v>
      </c>
      <c r="G77">
        <v>9.3000000000000007</v>
      </c>
      <c r="H77">
        <v>0.35</v>
      </c>
      <c r="I77">
        <v>1.2250000000000001</v>
      </c>
      <c r="J77">
        <v>1.5</v>
      </c>
      <c r="K77">
        <v>12</v>
      </c>
      <c r="L77">
        <v>327</v>
      </c>
      <c r="M77">
        <v>23</v>
      </c>
      <c r="N77" s="30">
        <f t="shared" si="3"/>
        <v>6.7929087152245307E-5</v>
      </c>
      <c r="O77" s="30">
        <f t="shared" si="4"/>
        <v>1.4562298058262588E-5</v>
      </c>
      <c r="P77" s="30">
        <f t="shared" si="5"/>
        <v>254.67735141540419</v>
      </c>
    </row>
    <row r="78" spans="1:16">
      <c r="A78" t="s">
        <v>638</v>
      </c>
      <c r="B78" t="s">
        <v>115</v>
      </c>
      <c r="C78" t="s">
        <v>680</v>
      </c>
      <c r="D78" t="s">
        <v>794</v>
      </c>
      <c r="E78" t="s">
        <v>25</v>
      </c>
      <c r="F78">
        <v>9.3000000000000007</v>
      </c>
      <c r="G78">
        <v>7.62</v>
      </c>
      <c r="H78">
        <v>0.28000000000000003</v>
      </c>
      <c r="I78">
        <v>1.2250000000000001</v>
      </c>
      <c r="J78">
        <v>1</v>
      </c>
      <c r="K78">
        <v>16</v>
      </c>
      <c r="L78">
        <v>265</v>
      </c>
      <c r="M78">
        <v>14</v>
      </c>
      <c r="N78" s="30">
        <f t="shared" si="3"/>
        <v>4.5603673118774793E-5</v>
      </c>
      <c r="O78" s="30">
        <f t="shared" si="4"/>
        <v>7.8210299398698787E-6</v>
      </c>
      <c r="P78" s="30">
        <f t="shared" si="5"/>
        <v>203.93094161029848</v>
      </c>
    </row>
    <row r="79" spans="1:16">
      <c r="A79" t="s">
        <v>624</v>
      </c>
      <c r="B79" t="s">
        <v>116</v>
      </c>
      <c r="C79" t="s">
        <v>680</v>
      </c>
      <c r="D79" t="s">
        <v>79</v>
      </c>
      <c r="E79" t="s">
        <v>9</v>
      </c>
      <c r="F79">
        <v>4.0999999999999996</v>
      </c>
      <c r="G79">
        <v>9</v>
      </c>
      <c r="H79">
        <v>0.4</v>
      </c>
      <c r="I79">
        <v>1.2250000000000001</v>
      </c>
      <c r="J79">
        <v>1.5</v>
      </c>
      <c r="K79">
        <v>4.5</v>
      </c>
      <c r="L79">
        <v>600</v>
      </c>
      <c r="M79">
        <v>8.1999999999999993</v>
      </c>
      <c r="N79" s="30">
        <f t="shared" si="3"/>
        <v>6.3617251235193305E-5</v>
      </c>
      <c r="O79" s="30">
        <f t="shared" si="4"/>
        <v>1.5586226552622361E-5</v>
      </c>
      <c r="P79" s="30">
        <f t="shared" si="5"/>
        <v>64.447927573014411</v>
      </c>
    </row>
    <row r="80" spans="1:16">
      <c r="A80" t="s">
        <v>624</v>
      </c>
      <c r="B80" t="s">
        <v>117</v>
      </c>
      <c r="C80" t="s">
        <v>680</v>
      </c>
      <c r="D80" t="s">
        <v>79</v>
      </c>
      <c r="E80" t="s">
        <v>9</v>
      </c>
      <c r="F80">
        <v>5.3</v>
      </c>
      <c r="G80">
        <v>9</v>
      </c>
      <c r="H80">
        <v>0.4</v>
      </c>
      <c r="I80">
        <v>1.2250000000000001</v>
      </c>
      <c r="J80">
        <v>1.5</v>
      </c>
      <c r="K80">
        <v>4.5</v>
      </c>
      <c r="L80">
        <v>460</v>
      </c>
      <c r="N80" s="30">
        <f t="shared" si="3"/>
        <v>6.3617251235193305E-5</v>
      </c>
      <c r="O80" s="30">
        <f t="shared" si="4"/>
        <v>1.5586226552622361E-5</v>
      </c>
      <c r="P80" s="30">
        <f t="shared" si="5"/>
        <v>83.310735643164975</v>
      </c>
    </row>
    <row r="81" spans="1:16">
      <c r="A81" t="s">
        <v>624</v>
      </c>
      <c r="B81" t="s">
        <v>118</v>
      </c>
      <c r="C81" t="s">
        <v>680</v>
      </c>
      <c r="D81" t="s">
        <v>79</v>
      </c>
      <c r="E81" t="s">
        <v>9</v>
      </c>
      <c r="F81">
        <v>4.2</v>
      </c>
      <c r="G81">
        <v>9</v>
      </c>
      <c r="H81">
        <v>0.4</v>
      </c>
      <c r="I81">
        <v>1.2250000000000001</v>
      </c>
      <c r="J81">
        <v>1.5</v>
      </c>
      <c r="K81">
        <v>4.5</v>
      </c>
      <c r="L81">
        <v>600</v>
      </c>
      <c r="N81" s="30">
        <f t="shared" si="3"/>
        <v>6.3617251235193305E-5</v>
      </c>
      <c r="O81" s="30">
        <f t="shared" si="4"/>
        <v>1.5586226552622361E-5</v>
      </c>
      <c r="P81" s="30">
        <f t="shared" si="5"/>
        <v>66.019828245526966</v>
      </c>
    </row>
    <row r="82" spans="1:16">
      <c r="A82" t="s">
        <v>639</v>
      </c>
      <c r="B82" t="s">
        <v>119</v>
      </c>
      <c r="C82" t="s">
        <v>680</v>
      </c>
      <c r="D82" t="s">
        <v>120</v>
      </c>
      <c r="E82" t="s">
        <v>7</v>
      </c>
      <c r="F82">
        <v>7.9</v>
      </c>
      <c r="G82">
        <v>9</v>
      </c>
      <c r="H82">
        <v>0.4</v>
      </c>
      <c r="I82">
        <v>1.2250000000000001</v>
      </c>
      <c r="J82">
        <v>1</v>
      </c>
      <c r="K82">
        <v>4.7</v>
      </c>
      <c r="L82">
        <v>390</v>
      </c>
      <c r="N82" s="30">
        <f t="shared" si="3"/>
        <v>6.3617251235193305E-5</v>
      </c>
      <c r="O82" s="30">
        <f t="shared" si="4"/>
        <v>1.5586226552622361E-5</v>
      </c>
      <c r="P82" s="30">
        <f t="shared" si="5"/>
        <v>124.1801531284912</v>
      </c>
    </row>
    <row r="83" spans="1:16">
      <c r="A83" t="s">
        <v>640</v>
      </c>
      <c r="B83" t="s">
        <v>121</v>
      </c>
      <c r="C83" t="s">
        <v>680</v>
      </c>
      <c r="D83" t="s">
        <v>120</v>
      </c>
      <c r="E83" t="s">
        <v>9</v>
      </c>
      <c r="F83">
        <v>6.7</v>
      </c>
      <c r="G83">
        <v>9</v>
      </c>
      <c r="H83">
        <v>0.4</v>
      </c>
      <c r="I83">
        <v>1.2250000000000001</v>
      </c>
      <c r="J83">
        <v>1.5</v>
      </c>
      <c r="K83">
        <v>4.7</v>
      </c>
      <c r="L83">
        <v>430</v>
      </c>
      <c r="N83" s="30">
        <f t="shared" si="3"/>
        <v>6.3617251235193305E-5</v>
      </c>
      <c r="O83" s="30">
        <f t="shared" si="4"/>
        <v>1.5586226552622361E-5</v>
      </c>
      <c r="P83" s="30">
        <f t="shared" si="5"/>
        <v>105.31734505834063</v>
      </c>
    </row>
    <row r="84" spans="1:16">
      <c r="A84" t="s">
        <v>679</v>
      </c>
      <c r="B84" t="s">
        <v>122</v>
      </c>
      <c r="C84" t="s">
        <v>680</v>
      </c>
      <c r="D84" t="s">
        <v>6</v>
      </c>
      <c r="F84">
        <v>2.5</v>
      </c>
      <c r="G84">
        <v>5.45</v>
      </c>
      <c r="H84">
        <v>0.25</v>
      </c>
      <c r="I84">
        <v>1.2250000000000001</v>
      </c>
      <c r="J84">
        <v>1</v>
      </c>
      <c r="K84">
        <v>16</v>
      </c>
      <c r="L84">
        <v>315</v>
      </c>
      <c r="M84">
        <v>5</v>
      </c>
      <c r="N84" s="30">
        <f t="shared" si="3"/>
        <v>2.3328288948312706E-5</v>
      </c>
      <c r="O84" s="30">
        <f t="shared" si="4"/>
        <v>3.5721442452103835E-6</v>
      </c>
      <c r="P84" s="30">
        <f t="shared" si="5"/>
        <v>107.16602514394098</v>
      </c>
    </row>
    <row r="85" spans="1:16">
      <c r="A85" t="s">
        <v>641</v>
      </c>
      <c r="B85" t="s">
        <v>123</v>
      </c>
      <c r="C85" t="s">
        <v>680</v>
      </c>
      <c r="D85" t="s">
        <v>124</v>
      </c>
      <c r="E85" t="s">
        <v>7</v>
      </c>
      <c r="F85">
        <v>2.1</v>
      </c>
      <c r="G85">
        <v>5.7</v>
      </c>
      <c r="H85">
        <v>0.25</v>
      </c>
      <c r="I85">
        <v>1.2250000000000001</v>
      </c>
      <c r="J85">
        <v>1</v>
      </c>
      <c r="K85">
        <v>10</v>
      </c>
      <c r="L85">
        <v>715</v>
      </c>
      <c r="M85">
        <v>5</v>
      </c>
      <c r="N85" s="30">
        <f t="shared" si="3"/>
        <v>2.5517586328783095E-5</v>
      </c>
      <c r="O85" s="30">
        <f t="shared" si="4"/>
        <v>3.9073804065949114E-6</v>
      </c>
      <c r="P85" s="30">
        <f t="shared" si="5"/>
        <v>82.29618479359317</v>
      </c>
    </row>
    <row r="86" spans="1:16">
      <c r="A86" t="s">
        <v>642</v>
      </c>
      <c r="B86" t="s">
        <v>125</v>
      </c>
      <c r="C86" t="s">
        <v>680</v>
      </c>
      <c r="D86" t="s">
        <v>124</v>
      </c>
      <c r="E86" t="s">
        <v>25</v>
      </c>
      <c r="F86">
        <v>3.6</v>
      </c>
      <c r="G86">
        <v>5.7</v>
      </c>
      <c r="H86">
        <v>0.25</v>
      </c>
      <c r="I86">
        <v>1.2250000000000001</v>
      </c>
      <c r="J86">
        <v>1</v>
      </c>
      <c r="K86">
        <v>10</v>
      </c>
      <c r="L86">
        <v>320</v>
      </c>
      <c r="M86">
        <v>7</v>
      </c>
      <c r="N86" s="30">
        <f t="shared" si="3"/>
        <v>2.5517586328783095E-5</v>
      </c>
      <c r="O86" s="30">
        <f t="shared" si="4"/>
        <v>3.9073804065949114E-6</v>
      </c>
      <c r="P86" s="30">
        <f t="shared" si="5"/>
        <v>141.07917393187398</v>
      </c>
    </row>
    <row r="87" spans="1:16">
      <c r="A87" t="s">
        <v>643</v>
      </c>
      <c r="B87" t="s">
        <v>126</v>
      </c>
      <c r="C87" t="s">
        <v>680</v>
      </c>
      <c r="D87" t="s">
        <v>124</v>
      </c>
      <c r="E87" t="s">
        <v>20</v>
      </c>
      <c r="F87">
        <v>1.8</v>
      </c>
      <c r="G87">
        <v>5.7</v>
      </c>
      <c r="H87">
        <v>0.25</v>
      </c>
      <c r="I87">
        <v>1.2250000000000001</v>
      </c>
      <c r="J87">
        <v>1</v>
      </c>
      <c r="K87">
        <v>10</v>
      </c>
      <c r="L87">
        <v>705</v>
      </c>
      <c r="M87">
        <v>6</v>
      </c>
      <c r="N87" s="30">
        <f t="shared" si="3"/>
        <v>2.5517586328783095E-5</v>
      </c>
      <c r="O87" s="30">
        <f t="shared" si="4"/>
        <v>3.9073804065949114E-6</v>
      </c>
      <c r="P87" s="30">
        <f t="shared" si="5"/>
        <v>70.539586965936991</v>
      </c>
    </row>
    <row r="88" spans="1:16">
      <c r="A88" t="s">
        <v>644</v>
      </c>
      <c r="B88" t="s">
        <v>127</v>
      </c>
      <c r="C88" t="s">
        <v>680</v>
      </c>
      <c r="D88" t="s">
        <v>128</v>
      </c>
      <c r="E88" t="s">
        <v>7</v>
      </c>
      <c r="F88">
        <v>4.1500000000000004</v>
      </c>
      <c r="G88">
        <v>5.8</v>
      </c>
      <c r="H88">
        <v>0.25</v>
      </c>
      <c r="I88">
        <v>1.2250000000000001</v>
      </c>
      <c r="J88">
        <v>1</v>
      </c>
      <c r="K88">
        <v>18</v>
      </c>
      <c r="L88">
        <v>970</v>
      </c>
      <c r="M88">
        <v>8</v>
      </c>
      <c r="N88" s="30">
        <f t="shared" si="3"/>
        <v>2.642079421669016E-5</v>
      </c>
      <c r="O88" s="30">
        <f t="shared" si="4"/>
        <v>4.0456841144306814E-6</v>
      </c>
      <c r="P88" s="30">
        <f t="shared" si="5"/>
        <v>157.07324942481944</v>
      </c>
    </row>
    <row r="89" spans="1:16">
      <c r="A89" t="s">
        <v>645</v>
      </c>
      <c r="B89" t="s">
        <v>129</v>
      </c>
      <c r="C89" t="s">
        <v>680</v>
      </c>
      <c r="D89" t="s">
        <v>128</v>
      </c>
      <c r="E89" t="s">
        <v>9</v>
      </c>
      <c r="F89">
        <v>4.8</v>
      </c>
      <c r="G89">
        <v>5.8</v>
      </c>
      <c r="H89">
        <v>0.25</v>
      </c>
      <c r="I89">
        <v>1.2250000000000001</v>
      </c>
      <c r="J89">
        <v>1.5</v>
      </c>
      <c r="K89">
        <v>18</v>
      </c>
      <c r="L89">
        <v>890</v>
      </c>
      <c r="M89">
        <v>8.5</v>
      </c>
      <c r="N89" s="30">
        <f t="shared" si="3"/>
        <v>2.642079421669016E-5</v>
      </c>
      <c r="O89" s="30">
        <f t="shared" si="4"/>
        <v>4.0456841144306814E-6</v>
      </c>
      <c r="P89" s="30">
        <f t="shared" si="5"/>
        <v>181.67508367208029</v>
      </c>
    </row>
    <row r="90" spans="1:16">
      <c r="A90" t="s">
        <v>646</v>
      </c>
      <c r="B90" t="s">
        <v>130</v>
      </c>
      <c r="C90" t="s">
        <v>680</v>
      </c>
      <c r="D90" t="s">
        <v>131</v>
      </c>
      <c r="E90" t="s">
        <v>7</v>
      </c>
      <c r="F90">
        <v>42</v>
      </c>
      <c r="G90">
        <v>12.7</v>
      </c>
      <c r="H90">
        <v>0.35</v>
      </c>
      <c r="I90">
        <v>1.2250000000000001</v>
      </c>
      <c r="J90">
        <v>1</v>
      </c>
      <c r="K90">
        <v>30</v>
      </c>
      <c r="L90">
        <v>903</v>
      </c>
      <c r="M90">
        <v>75</v>
      </c>
      <c r="N90" s="30">
        <f t="shared" si="3"/>
        <v>1.2667686977437442E-4</v>
      </c>
      <c r="O90" s="30">
        <f t="shared" si="4"/>
        <v>2.7156353957881518E-5</v>
      </c>
      <c r="P90" s="30">
        <f t="shared" si="5"/>
        <v>331.55224055351755</v>
      </c>
    </row>
    <row r="91" spans="1:16">
      <c r="A91" t="s">
        <v>647</v>
      </c>
      <c r="B91" t="s">
        <v>132</v>
      </c>
      <c r="C91" t="s">
        <v>680</v>
      </c>
      <c r="D91" t="s">
        <v>131</v>
      </c>
      <c r="E91" t="s">
        <v>15</v>
      </c>
      <c r="F91">
        <v>46</v>
      </c>
      <c r="G91">
        <v>12.7</v>
      </c>
      <c r="H91">
        <v>0.35</v>
      </c>
      <c r="I91">
        <v>1.2250000000000001</v>
      </c>
      <c r="J91">
        <v>1</v>
      </c>
      <c r="K91">
        <v>30</v>
      </c>
      <c r="L91">
        <v>903</v>
      </c>
      <c r="M91">
        <v>76</v>
      </c>
      <c r="N91" s="30">
        <f t="shared" si="3"/>
        <v>1.2667686977437442E-4</v>
      </c>
      <c r="O91" s="30">
        <f t="shared" si="4"/>
        <v>2.7156353957881518E-5</v>
      </c>
      <c r="P91" s="30">
        <f t="shared" si="5"/>
        <v>363.12864441575726</v>
      </c>
    </row>
    <row r="92" spans="1:16">
      <c r="A92" t="s">
        <v>648</v>
      </c>
      <c r="B92" t="s">
        <v>133</v>
      </c>
      <c r="C92" t="s">
        <v>680</v>
      </c>
      <c r="D92" t="s">
        <v>131</v>
      </c>
      <c r="E92" t="s">
        <v>9</v>
      </c>
      <c r="F92">
        <v>47</v>
      </c>
      <c r="G92">
        <v>12.7</v>
      </c>
      <c r="H92">
        <v>0.35</v>
      </c>
      <c r="I92">
        <v>1.2250000000000001</v>
      </c>
      <c r="J92">
        <v>1.5</v>
      </c>
      <c r="K92">
        <v>30</v>
      </c>
      <c r="L92">
        <v>893</v>
      </c>
      <c r="M92">
        <v>80</v>
      </c>
      <c r="N92" s="30">
        <f t="shared" si="3"/>
        <v>1.2667686977437442E-4</v>
      </c>
      <c r="O92" s="30">
        <f t="shared" si="4"/>
        <v>2.7156353957881518E-5</v>
      </c>
      <c r="P92" s="30">
        <f t="shared" si="5"/>
        <v>371.02274538131724</v>
      </c>
    </row>
    <row r="93" spans="1:16">
      <c r="A93" t="s">
        <v>649</v>
      </c>
      <c r="B93" t="s">
        <v>134</v>
      </c>
      <c r="C93" t="s">
        <v>680</v>
      </c>
      <c r="D93" t="s">
        <v>135</v>
      </c>
      <c r="E93" t="s">
        <v>20</v>
      </c>
      <c r="F93">
        <v>59.68</v>
      </c>
      <c r="G93">
        <v>14.5</v>
      </c>
      <c r="H93">
        <v>0.32</v>
      </c>
      <c r="I93">
        <v>1.2250000000000001</v>
      </c>
      <c r="J93">
        <v>1</v>
      </c>
      <c r="K93">
        <v>40</v>
      </c>
      <c r="L93">
        <v>1000</v>
      </c>
      <c r="M93">
        <v>100</v>
      </c>
      <c r="N93" s="30">
        <f t="shared" si="3"/>
        <v>1.651299638543135E-4</v>
      </c>
      <c r="O93" s="30">
        <f t="shared" si="4"/>
        <v>3.2365472915445451E-5</v>
      </c>
      <c r="P93" s="30">
        <f t="shared" si="5"/>
        <v>361.41229978499166</v>
      </c>
    </row>
    <row r="94" spans="1:16">
      <c r="A94" t="s">
        <v>650</v>
      </c>
      <c r="B94" t="s">
        <v>136</v>
      </c>
      <c r="C94" t="s">
        <v>680</v>
      </c>
      <c r="D94" t="s">
        <v>135</v>
      </c>
      <c r="E94" t="s">
        <v>9</v>
      </c>
      <c r="F94">
        <v>65.5</v>
      </c>
      <c r="G94">
        <v>14.5</v>
      </c>
      <c r="H94">
        <v>0.32</v>
      </c>
      <c r="I94">
        <v>1.2250000000000001</v>
      </c>
      <c r="J94">
        <v>1.5</v>
      </c>
      <c r="K94">
        <v>40</v>
      </c>
      <c r="L94">
        <v>1000</v>
      </c>
      <c r="M94">
        <v>110</v>
      </c>
      <c r="N94" s="30">
        <f t="shared" si="3"/>
        <v>1.651299638543135E-4</v>
      </c>
      <c r="O94" s="30">
        <f t="shared" si="4"/>
        <v>3.2365472915445451E-5</v>
      </c>
      <c r="P94" s="30">
        <f t="shared" si="5"/>
        <v>396.65726601737526</v>
      </c>
    </row>
    <row r="95" spans="1:16">
      <c r="A95" t="s">
        <v>650</v>
      </c>
      <c r="B95" t="s">
        <v>137</v>
      </c>
      <c r="C95" t="s">
        <v>680</v>
      </c>
      <c r="D95" t="s">
        <v>135</v>
      </c>
      <c r="E95" t="s">
        <v>9</v>
      </c>
      <c r="F95">
        <v>59.56</v>
      </c>
      <c r="G95">
        <v>14.5</v>
      </c>
      <c r="H95">
        <v>0.32</v>
      </c>
      <c r="I95">
        <v>1.2250000000000001</v>
      </c>
      <c r="J95">
        <v>1.5</v>
      </c>
      <c r="K95">
        <v>40</v>
      </c>
      <c r="L95">
        <v>1000</v>
      </c>
      <c r="M95">
        <v>100</v>
      </c>
      <c r="N95" s="30">
        <f t="shared" si="3"/>
        <v>1.651299638543135E-4</v>
      </c>
      <c r="O95" s="30">
        <f t="shared" si="4"/>
        <v>3.2365472915445451E-5</v>
      </c>
      <c r="P95" s="30">
        <f t="shared" si="5"/>
        <v>360.68559945030336</v>
      </c>
    </row>
    <row r="96" spans="1:16">
      <c r="A96" t="s">
        <v>651</v>
      </c>
      <c r="B96" t="s">
        <v>138</v>
      </c>
      <c r="C96" t="s">
        <v>680</v>
      </c>
      <c r="D96" t="s">
        <v>68</v>
      </c>
      <c r="E96" t="s">
        <v>9</v>
      </c>
      <c r="F96">
        <v>12.7</v>
      </c>
      <c r="G96">
        <v>7.92</v>
      </c>
      <c r="H96">
        <v>0.26</v>
      </c>
      <c r="I96">
        <v>1.2250000000000001</v>
      </c>
      <c r="J96">
        <v>1.5</v>
      </c>
      <c r="K96">
        <v>24</v>
      </c>
      <c r="L96">
        <v>710</v>
      </c>
      <c r="M96">
        <v>20</v>
      </c>
      <c r="N96" s="30">
        <f t="shared" si="3"/>
        <v>4.9265199356533699E-5</v>
      </c>
      <c r="O96" s="30">
        <f t="shared" si="4"/>
        <v>7.8454829975279935E-6</v>
      </c>
      <c r="P96" s="30">
        <f t="shared" si="5"/>
        <v>257.7884625633954</v>
      </c>
    </row>
    <row r="97" spans="1:16">
      <c r="A97" t="s">
        <v>652</v>
      </c>
      <c r="B97" t="s">
        <v>139</v>
      </c>
      <c r="C97" t="s">
        <v>680</v>
      </c>
      <c r="D97" t="s">
        <v>139</v>
      </c>
      <c r="E97" t="s">
        <v>9</v>
      </c>
      <c r="F97">
        <v>14.3</v>
      </c>
      <c r="G97">
        <v>7.92</v>
      </c>
      <c r="H97">
        <v>0.28000000000000003</v>
      </c>
      <c r="I97">
        <v>1.2250000000000001</v>
      </c>
      <c r="J97">
        <v>1.5</v>
      </c>
      <c r="K97">
        <v>35</v>
      </c>
      <c r="L97">
        <v>1209</v>
      </c>
      <c r="M97">
        <v>21</v>
      </c>
      <c r="N97" s="30">
        <f t="shared" si="3"/>
        <v>4.9265199356533699E-5</v>
      </c>
      <c r="O97" s="30">
        <f t="shared" si="4"/>
        <v>8.4489816896455313E-6</v>
      </c>
      <c r="P97" s="30">
        <f t="shared" si="5"/>
        <v>290.26574918555548</v>
      </c>
    </row>
    <row r="98" spans="1:16">
      <c r="A98" t="s">
        <v>653</v>
      </c>
      <c r="B98" t="s">
        <v>140</v>
      </c>
      <c r="C98" t="s">
        <v>680</v>
      </c>
      <c r="D98" t="s">
        <v>141</v>
      </c>
      <c r="E98" t="s">
        <v>9</v>
      </c>
      <c r="F98">
        <v>14.2</v>
      </c>
      <c r="G98">
        <v>7.92</v>
      </c>
      <c r="H98">
        <v>0.28000000000000003</v>
      </c>
      <c r="I98">
        <v>1.2250000000000001</v>
      </c>
      <c r="J98">
        <v>1.5</v>
      </c>
      <c r="K98">
        <v>35</v>
      </c>
      <c r="L98">
        <v>1275</v>
      </c>
      <c r="M98">
        <v>21</v>
      </c>
      <c r="N98" s="30">
        <f t="shared" si="3"/>
        <v>4.9265199356533699E-5</v>
      </c>
      <c r="O98" s="30">
        <f t="shared" si="4"/>
        <v>8.4489816896455313E-6</v>
      </c>
      <c r="P98" s="30">
        <f t="shared" si="5"/>
        <v>288.23591877167047</v>
      </c>
    </row>
    <row r="99" spans="1:16">
      <c r="A99" t="s">
        <v>654</v>
      </c>
      <c r="B99" t="s">
        <v>142</v>
      </c>
      <c r="C99" t="s">
        <v>680</v>
      </c>
      <c r="D99" t="s">
        <v>143</v>
      </c>
      <c r="E99" t="s">
        <v>7</v>
      </c>
      <c r="F99">
        <v>52</v>
      </c>
      <c r="G99">
        <v>12.7</v>
      </c>
      <c r="H99">
        <v>0.35</v>
      </c>
      <c r="I99">
        <v>1.2250000000000001</v>
      </c>
      <c r="J99">
        <v>1</v>
      </c>
      <c r="K99">
        <v>31</v>
      </c>
      <c r="L99">
        <v>859</v>
      </c>
      <c r="M99">
        <v>100</v>
      </c>
      <c r="N99" s="30">
        <f t="shared" si="3"/>
        <v>1.2667686977437442E-4</v>
      </c>
      <c r="O99" s="30">
        <f t="shared" si="4"/>
        <v>2.7156353957881518E-5</v>
      </c>
      <c r="P99" s="30">
        <f t="shared" si="5"/>
        <v>410.49325020911692</v>
      </c>
    </row>
    <row r="100" spans="1:16">
      <c r="A100" t="s">
        <v>655</v>
      </c>
      <c r="B100" t="s">
        <v>144</v>
      </c>
      <c r="C100" t="s">
        <v>680</v>
      </c>
      <c r="D100" t="s">
        <v>143</v>
      </c>
      <c r="E100" t="s">
        <v>9</v>
      </c>
      <c r="F100">
        <v>45.6</v>
      </c>
      <c r="G100">
        <v>12.7</v>
      </c>
      <c r="H100">
        <v>0.35</v>
      </c>
      <c r="I100">
        <v>1.2250000000000001</v>
      </c>
      <c r="J100">
        <v>1.5</v>
      </c>
      <c r="K100">
        <v>31</v>
      </c>
      <c r="L100">
        <v>859</v>
      </c>
      <c r="M100">
        <v>100</v>
      </c>
      <c r="N100" s="30">
        <f t="shared" si="3"/>
        <v>1.2667686977437442E-4</v>
      </c>
      <c r="O100" s="30">
        <f t="shared" si="4"/>
        <v>2.7156353957881518E-5</v>
      </c>
      <c r="P100" s="30">
        <f t="shared" si="5"/>
        <v>359.97100402953333</v>
      </c>
    </row>
    <row r="101" spans="1:16">
      <c r="A101" t="s">
        <v>656</v>
      </c>
      <c r="B101" t="s">
        <v>145</v>
      </c>
      <c r="C101" t="s">
        <v>680</v>
      </c>
      <c r="D101" t="s">
        <v>146</v>
      </c>
      <c r="E101" t="s">
        <v>9</v>
      </c>
      <c r="F101">
        <v>51.5</v>
      </c>
      <c r="G101">
        <v>13</v>
      </c>
      <c r="H101">
        <v>0.35</v>
      </c>
      <c r="I101">
        <v>1.2250000000000001</v>
      </c>
      <c r="J101">
        <v>1.5</v>
      </c>
      <c r="K101">
        <v>36</v>
      </c>
      <c r="L101">
        <v>785</v>
      </c>
      <c r="M101">
        <v>100</v>
      </c>
      <c r="N101" s="30">
        <f t="shared" si="3"/>
        <v>1.3273228961416876E-4</v>
      </c>
      <c r="O101" s="30">
        <f t="shared" si="4"/>
        <v>2.845448458603743E-5</v>
      </c>
      <c r="P101" s="30">
        <f t="shared" si="5"/>
        <v>387.99903286308216</v>
      </c>
    </row>
    <row r="102" spans="1:16">
      <c r="A102" t="s">
        <v>657</v>
      </c>
      <c r="B102" t="s">
        <v>147</v>
      </c>
      <c r="C102" t="s">
        <v>680</v>
      </c>
      <c r="D102" t="s">
        <v>148</v>
      </c>
      <c r="E102" t="s">
        <v>9</v>
      </c>
      <c r="F102">
        <v>47.6</v>
      </c>
      <c r="G102">
        <v>13.9</v>
      </c>
      <c r="H102">
        <v>0.35</v>
      </c>
      <c r="I102">
        <v>1.2250000000000001</v>
      </c>
      <c r="J102">
        <v>1.5</v>
      </c>
      <c r="K102">
        <v>36</v>
      </c>
      <c r="L102">
        <v>884</v>
      </c>
      <c r="M102">
        <v>95</v>
      </c>
      <c r="N102" s="30">
        <f t="shared" si="3"/>
        <v>1.5174677915002097E-4</v>
      </c>
      <c r="O102" s="30">
        <f t="shared" si="4"/>
        <v>3.2530715780285746E-5</v>
      </c>
      <c r="P102" s="30">
        <f t="shared" si="5"/>
        <v>313.68046337867474</v>
      </c>
    </row>
    <row r="103" spans="1:16">
      <c r="A103" t="s">
        <v>658</v>
      </c>
      <c r="B103" t="s">
        <v>149</v>
      </c>
      <c r="C103" t="s">
        <v>680</v>
      </c>
      <c r="D103" t="s">
        <v>149</v>
      </c>
      <c r="E103" t="s">
        <v>9</v>
      </c>
      <c r="F103">
        <v>76.5</v>
      </c>
      <c r="G103">
        <v>15.2</v>
      </c>
      <c r="H103">
        <v>0.32</v>
      </c>
      <c r="I103">
        <v>1.2250000000000001</v>
      </c>
      <c r="J103">
        <v>1.5</v>
      </c>
      <c r="K103">
        <v>45</v>
      </c>
      <c r="L103">
        <v>1100</v>
      </c>
      <c r="M103">
        <v>125</v>
      </c>
      <c r="N103" s="30">
        <f t="shared" si="3"/>
        <v>1.8145839167134643E-4</v>
      </c>
      <c r="O103" s="30">
        <f t="shared" si="4"/>
        <v>3.5565844767583904E-5</v>
      </c>
      <c r="P103" s="30">
        <f t="shared" si="5"/>
        <v>421.58425022610777</v>
      </c>
    </row>
    <row r="104" spans="1:16">
      <c r="A104" t="s">
        <v>606</v>
      </c>
      <c r="B104" t="s">
        <v>150</v>
      </c>
      <c r="C104" t="s">
        <v>680</v>
      </c>
      <c r="D104" t="s">
        <v>52</v>
      </c>
      <c r="E104" t="s">
        <v>7</v>
      </c>
      <c r="F104">
        <v>12</v>
      </c>
      <c r="G104">
        <v>7.62</v>
      </c>
      <c r="H104">
        <v>0.25</v>
      </c>
      <c r="I104">
        <v>1.2250000000000001</v>
      </c>
      <c r="J104">
        <v>1</v>
      </c>
      <c r="K104">
        <v>22</v>
      </c>
      <c r="L104">
        <v>760</v>
      </c>
      <c r="M104">
        <v>21</v>
      </c>
      <c r="N104" s="30">
        <f t="shared" si="3"/>
        <v>4.5603673118774793E-5</v>
      </c>
      <c r="O104" s="30">
        <f t="shared" si="4"/>
        <v>6.9830624463123905E-6</v>
      </c>
      <c r="P104" s="30">
        <f t="shared" si="5"/>
        <v>263.13669885199801</v>
      </c>
    </row>
    <row r="105" spans="1:16">
      <c r="A105" t="s">
        <v>609</v>
      </c>
      <c r="B105" t="s">
        <v>151</v>
      </c>
      <c r="C105" t="s">
        <v>680</v>
      </c>
      <c r="D105" t="s">
        <v>52</v>
      </c>
      <c r="E105" t="s">
        <v>9</v>
      </c>
      <c r="F105">
        <v>10.7</v>
      </c>
      <c r="G105">
        <v>7.62</v>
      </c>
      <c r="H105">
        <v>0.25</v>
      </c>
      <c r="I105">
        <v>1.2250000000000001</v>
      </c>
      <c r="J105">
        <v>1.5</v>
      </c>
      <c r="K105">
        <v>22</v>
      </c>
      <c r="L105">
        <v>870</v>
      </c>
      <c r="M105">
        <v>19</v>
      </c>
      <c r="N105" s="30">
        <f t="shared" si="3"/>
        <v>4.5603673118774793E-5</v>
      </c>
      <c r="O105" s="30">
        <f t="shared" si="4"/>
        <v>6.9830624463123905E-6</v>
      </c>
      <c r="P105" s="30">
        <f t="shared" si="5"/>
        <v>234.63022314303154</v>
      </c>
    </row>
    <row r="106" spans="1:16">
      <c r="A106" t="s">
        <v>659</v>
      </c>
      <c r="B106" t="s">
        <v>152</v>
      </c>
      <c r="C106" t="s">
        <v>680</v>
      </c>
      <c r="D106" t="s">
        <v>52</v>
      </c>
      <c r="E106" t="s">
        <v>25</v>
      </c>
      <c r="F106">
        <v>13</v>
      </c>
      <c r="G106">
        <v>7.62</v>
      </c>
      <c r="H106">
        <v>0.25</v>
      </c>
      <c r="I106">
        <v>1.2250000000000001</v>
      </c>
      <c r="J106">
        <v>1</v>
      </c>
      <c r="K106">
        <v>22</v>
      </c>
      <c r="L106">
        <v>325</v>
      </c>
      <c r="M106">
        <v>22</v>
      </c>
      <c r="N106" s="30">
        <f t="shared" si="3"/>
        <v>4.5603673118774793E-5</v>
      </c>
      <c r="O106" s="30">
        <f t="shared" si="4"/>
        <v>6.9830624463123905E-6</v>
      </c>
      <c r="P106" s="30">
        <f t="shared" si="5"/>
        <v>285.06475708966451</v>
      </c>
    </row>
    <row r="107" spans="1:16">
      <c r="A107" t="s">
        <v>660</v>
      </c>
      <c r="B107" t="s">
        <v>153</v>
      </c>
      <c r="C107" t="s">
        <v>680</v>
      </c>
      <c r="D107" t="s">
        <v>153</v>
      </c>
      <c r="E107" t="s">
        <v>7</v>
      </c>
      <c r="F107">
        <v>1.6</v>
      </c>
      <c r="G107">
        <v>4.5999999999999996</v>
      </c>
      <c r="H107">
        <v>0.25</v>
      </c>
      <c r="I107">
        <v>1.2250000000000001</v>
      </c>
      <c r="J107">
        <v>1</v>
      </c>
      <c r="K107">
        <v>7</v>
      </c>
      <c r="L107">
        <v>725</v>
      </c>
      <c r="M107">
        <v>3.8</v>
      </c>
      <c r="N107" s="30">
        <f t="shared" si="3"/>
        <v>1.6619025137490001E-5</v>
      </c>
      <c r="O107" s="30">
        <f t="shared" si="4"/>
        <v>2.5447882241781567E-6</v>
      </c>
      <c r="P107" s="30">
        <f t="shared" si="5"/>
        <v>96.275201870333674</v>
      </c>
    </row>
    <row r="108" spans="1:16">
      <c r="A108" t="s">
        <v>661</v>
      </c>
      <c r="B108" t="s">
        <v>154</v>
      </c>
      <c r="C108" t="s">
        <v>680</v>
      </c>
      <c r="D108" t="s">
        <v>155</v>
      </c>
      <c r="E108" t="s">
        <v>156</v>
      </c>
      <c r="F108">
        <v>38</v>
      </c>
      <c r="G108">
        <v>18.5</v>
      </c>
      <c r="H108">
        <v>0.6</v>
      </c>
      <c r="I108">
        <v>1.2250000000000001</v>
      </c>
      <c r="J108">
        <v>1</v>
      </c>
      <c r="K108">
        <v>20</v>
      </c>
      <c r="L108">
        <v>408</v>
      </c>
      <c r="M108">
        <v>50</v>
      </c>
      <c r="N108" s="30">
        <f t="shared" si="3"/>
        <v>2.6880252142277671E-4</v>
      </c>
      <c r="O108" s="30">
        <f t="shared" si="4"/>
        <v>9.8784926622870443E-5</v>
      </c>
      <c r="P108" s="30">
        <f t="shared" si="5"/>
        <v>141.36772154838914</v>
      </c>
    </row>
    <row r="109" spans="1:16">
      <c r="A109" t="s">
        <v>661</v>
      </c>
      <c r="B109" t="s">
        <v>157</v>
      </c>
      <c r="C109" t="s">
        <v>680</v>
      </c>
      <c r="D109" t="s">
        <v>155</v>
      </c>
      <c r="E109" t="s">
        <v>156</v>
      </c>
      <c r="F109">
        <v>42</v>
      </c>
      <c r="G109">
        <v>18.5</v>
      </c>
      <c r="H109">
        <v>0.6</v>
      </c>
      <c r="I109">
        <v>1.2250000000000001</v>
      </c>
      <c r="J109">
        <v>1</v>
      </c>
      <c r="K109">
        <v>20</v>
      </c>
      <c r="L109">
        <v>420</v>
      </c>
      <c r="M109">
        <v>54</v>
      </c>
      <c r="N109" s="30">
        <f t="shared" si="3"/>
        <v>2.6880252142277671E-4</v>
      </c>
      <c r="O109" s="30">
        <f t="shared" si="4"/>
        <v>9.8784926622870443E-5</v>
      </c>
      <c r="P109" s="30">
        <f t="shared" si="5"/>
        <v>156.24853434295645</v>
      </c>
    </row>
    <row r="110" spans="1:16">
      <c r="A110" t="s">
        <v>662</v>
      </c>
      <c r="B110" t="s">
        <v>158</v>
      </c>
      <c r="C110" t="s">
        <v>680</v>
      </c>
      <c r="D110" t="s">
        <v>155</v>
      </c>
      <c r="E110" t="s">
        <v>159</v>
      </c>
      <c r="F110">
        <v>24</v>
      </c>
      <c r="G110">
        <v>18.5</v>
      </c>
      <c r="H110">
        <v>0.6</v>
      </c>
      <c r="I110">
        <v>1.2250000000000001</v>
      </c>
      <c r="J110">
        <v>1</v>
      </c>
      <c r="K110">
        <v>20</v>
      </c>
      <c r="L110">
        <v>600</v>
      </c>
      <c r="M110">
        <v>36</v>
      </c>
      <c r="N110" s="30">
        <f t="shared" si="3"/>
        <v>2.6880252142277671E-4</v>
      </c>
      <c r="O110" s="30">
        <f t="shared" si="4"/>
        <v>9.8784926622870443E-5</v>
      </c>
      <c r="P110" s="30">
        <f t="shared" si="5"/>
        <v>89.284876767403674</v>
      </c>
    </row>
    <row r="111" spans="1:16">
      <c r="A111" t="s">
        <v>663</v>
      </c>
      <c r="B111" t="s">
        <v>160</v>
      </c>
      <c r="C111" t="s">
        <v>680</v>
      </c>
      <c r="D111" t="s">
        <v>155</v>
      </c>
      <c r="E111" t="s">
        <v>20</v>
      </c>
      <c r="F111">
        <v>19.5</v>
      </c>
      <c r="G111">
        <v>18.5</v>
      </c>
      <c r="H111">
        <v>0.6</v>
      </c>
      <c r="I111">
        <v>1.2250000000000001</v>
      </c>
      <c r="J111">
        <v>1</v>
      </c>
      <c r="K111">
        <v>20</v>
      </c>
      <c r="L111">
        <v>450</v>
      </c>
      <c r="M111">
        <v>31</v>
      </c>
      <c r="N111" s="30">
        <f t="shared" si="3"/>
        <v>2.6880252142277671E-4</v>
      </c>
      <c r="O111" s="30">
        <f t="shared" si="4"/>
        <v>9.8784926622870443E-5</v>
      </c>
      <c r="P111" s="30">
        <f t="shared" si="5"/>
        <v>72.543962373515484</v>
      </c>
    </row>
    <row r="112" spans="1:16">
      <c r="A112" t="s">
        <v>664</v>
      </c>
      <c r="B112" t="s">
        <v>161</v>
      </c>
      <c r="C112" t="s">
        <v>680</v>
      </c>
      <c r="D112" t="s">
        <v>162</v>
      </c>
      <c r="E112" t="s">
        <v>156</v>
      </c>
      <c r="F112">
        <v>32</v>
      </c>
      <c r="G112">
        <v>16.8</v>
      </c>
      <c r="H112">
        <v>0.6</v>
      </c>
      <c r="I112">
        <v>1.2250000000000001</v>
      </c>
      <c r="J112">
        <v>1</v>
      </c>
      <c r="K112">
        <v>20</v>
      </c>
      <c r="L112">
        <v>380</v>
      </c>
      <c r="M112">
        <v>44</v>
      </c>
      <c r="N112" s="30">
        <f t="shared" si="3"/>
        <v>2.2167077763729579E-4</v>
      </c>
      <c r="O112" s="30">
        <f t="shared" si="4"/>
        <v>8.1464010781706207E-5</v>
      </c>
      <c r="P112" s="30">
        <f t="shared" si="5"/>
        <v>144.35822502666241</v>
      </c>
    </row>
    <row r="113" spans="1:16">
      <c r="A113" t="s">
        <v>665</v>
      </c>
      <c r="B113" t="s">
        <v>163</v>
      </c>
      <c r="C113" t="s">
        <v>680</v>
      </c>
      <c r="D113" t="s">
        <v>162</v>
      </c>
      <c r="E113" t="s">
        <v>159</v>
      </c>
      <c r="F113">
        <v>23</v>
      </c>
      <c r="G113">
        <v>16.8</v>
      </c>
      <c r="H113">
        <v>0.6</v>
      </c>
      <c r="I113">
        <v>1.2250000000000001</v>
      </c>
      <c r="J113">
        <v>1</v>
      </c>
      <c r="K113">
        <v>20</v>
      </c>
      <c r="L113">
        <v>440</v>
      </c>
      <c r="M113">
        <v>35</v>
      </c>
      <c r="N113" s="30">
        <f t="shared" si="3"/>
        <v>2.2167077763729579E-4</v>
      </c>
      <c r="O113" s="30">
        <f t="shared" si="4"/>
        <v>8.1464010781706207E-5</v>
      </c>
      <c r="P113" s="30">
        <f t="shared" si="5"/>
        <v>103.75747423791361</v>
      </c>
    </row>
    <row r="114" spans="1:16">
      <c r="A114" t="s">
        <v>666</v>
      </c>
      <c r="B114" t="s">
        <v>164</v>
      </c>
      <c r="C114" t="s">
        <v>680</v>
      </c>
      <c r="D114" t="s">
        <v>165</v>
      </c>
      <c r="E114" t="s">
        <v>156</v>
      </c>
      <c r="F114">
        <v>30</v>
      </c>
      <c r="G114">
        <v>15.6</v>
      </c>
      <c r="H114">
        <v>0.6</v>
      </c>
      <c r="I114">
        <v>1.2250000000000001</v>
      </c>
      <c r="J114">
        <v>1</v>
      </c>
      <c r="K114">
        <v>20</v>
      </c>
      <c r="L114">
        <v>390</v>
      </c>
      <c r="M114">
        <v>42</v>
      </c>
      <c r="N114" s="30">
        <f t="shared" si="3"/>
        <v>1.9113449704440298E-4</v>
      </c>
      <c r="O114" s="30">
        <f t="shared" si="4"/>
        <v>7.0241927663818098E-5</v>
      </c>
      <c r="P114" s="30">
        <f t="shared" si="5"/>
        <v>156.95753756597176</v>
      </c>
    </row>
    <row r="115" spans="1:16">
      <c r="A115" t="s">
        <v>667</v>
      </c>
      <c r="B115" t="s">
        <v>166</v>
      </c>
      <c r="C115" t="s">
        <v>680</v>
      </c>
      <c r="D115" t="s">
        <v>165</v>
      </c>
      <c r="E115" t="s">
        <v>20</v>
      </c>
      <c r="F115">
        <v>19.5</v>
      </c>
      <c r="G115">
        <v>15.6</v>
      </c>
      <c r="H115">
        <v>0.6</v>
      </c>
      <c r="I115">
        <v>1.2250000000000001</v>
      </c>
      <c r="J115">
        <v>1</v>
      </c>
      <c r="K115">
        <v>20</v>
      </c>
      <c r="L115">
        <v>450</v>
      </c>
      <c r="M115">
        <v>31</v>
      </c>
      <c r="N115" s="30">
        <f t="shared" si="3"/>
        <v>1.9113449704440298E-4</v>
      </c>
      <c r="O115" s="30">
        <f t="shared" si="4"/>
        <v>7.0241927663818098E-5</v>
      </c>
      <c r="P115" s="30">
        <f t="shared" si="5"/>
        <v>102.02239941788164</v>
      </c>
    </row>
    <row r="116" spans="1:16">
      <c r="A116" t="s">
        <v>668</v>
      </c>
      <c r="B116" t="s">
        <v>167</v>
      </c>
      <c r="C116" t="s">
        <v>680</v>
      </c>
      <c r="D116" t="s">
        <v>165</v>
      </c>
      <c r="E116" t="s">
        <v>159</v>
      </c>
      <c r="F116">
        <v>24</v>
      </c>
      <c r="G116">
        <v>15.6</v>
      </c>
      <c r="H116">
        <v>0.6</v>
      </c>
      <c r="I116">
        <v>1.2250000000000001</v>
      </c>
      <c r="J116">
        <v>1</v>
      </c>
      <c r="K116">
        <v>20</v>
      </c>
      <c r="L116">
        <v>445</v>
      </c>
      <c r="M116">
        <v>36</v>
      </c>
      <c r="N116" s="30">
        <f t="shared" si="3"/>
        <v>1.9113449704440298E-4</v>
      </c>
      <c r="O116" s="30">
        <f t="shared" si="4"/>
        <v>7.0241927663818098E-5</v>
      </c>
      <c r="P116" s="30">
        <f t="shared" si="5"/>
        <v>125.56603005277741</v>
      </c>
    </row>
    <row r="117" spans="1:16">
      <c r="A117" t="s">
        <v>669</v>
      </c>
      <c r="B117" t="s">
        <v>168</v>
      </c>
      <c r="C117" t="s">
        <v>680</v>
      </c>
      <c r="D117" t="s">
        <v>169</v>
      </c>
      <c r="E117" t="s">
        <v>7</v>
      </c>
      <c r="F117">
        <v>10.69</v>
      </c>
      <c r="G117">
        <v>7.62</v>
      </c>
      <c r="H117">
        <v>0.25</v>
      </c>
      <c r="I117">
        <v>1.2250000000000001</v>
      </c>
      <c r="J117">
        <v>1</v>
      </c>
      <c r="K117">
        <v>26</v>
      </c>
      <c r="L117">
        <v>900</v>
      </c>
      <c r="M117">
        <v>18</v>
      </c>
      <c r="N117" s="30">
        <f t="shared" si="3"/>
        <v>4.5603673118774793E-5</v>
      </c>
      <c r="O117" s="30">
        <f t="shared" si="4"/>
        <v>6.9830624463123905E-6</v>
      </c>
      <c r="P117" s="30">
        <f t="shared" si="5"/>
        <v>234.41094256065489</v>
      </c>
    </row>
    <row r="118" spans="1:16">
      <c r="A118" t="s">
        <v>670</v>
      </c>
      <c r="B118" t="s">
        <v>170</v>
      </c>
      <c r="C118" t="s">
        <v>680</v>
      </c>
      <c r="D118" t="s">
        <v>170</v>
      </c>
      <c r="E118" t="s">
        <v>7</v>
      </c>
      <c r="F118">
        <v>16.2</v>
      </c>
      <c r="G118">
        <v>8.58</v>
      </c>
      <c r="H118">
        <v>0.25</v>
      </c>
      <c r="I118">
        <v>1.2250000000000001</v>
      </c>
      <c r="J118">
        <v>1</v>
      </c>
      <c r="K118">
        <v>27</v>
      </c>
      <c r="L118">
        <v>914</v>
      </c>
      <c r="M118">
        <v>28</v>
      </c>
      <c r="N118" s="30">
        <f t="shared" si="3"/>
        <v>5.7818185355931912E-5</v>
      </c>
      <c r="O118" s="30">
        <f t="shared" si="4"/>
        <v>8.8534096326270754E-6</v>
      </c>
      <c r="P118" s="30">
        <f t="shared" si="5"/>
        <v>280.18866210123878</v>
      </c>
    </row>
    <row r="119" spans="1:16">
      <c r="A119" t="s">
        <v>671</v>
      </c>
      <c r="B119" t="s">
        <v>115</v>
      </c>
      <c r="C119" t="s">
        <v>680</v>
      </c>
      <c r="D119" t="s">
        <v>171</v>
      </c>
      <c r="E119" t="s">
        <v>7</v>
      </c>
      <c r="F119">
        <v>9.3000000000000007</v>
      </c>
      <c r="G119">
        <v>7.62</v>
      </c>
      <c r="H119">
        <v>0.28000000000000003</v>
      </c>
      <c r="I119">
        <v>1.2250000000000001</v>
      </c>
      <c r="J119">
        <v>1</v>
      </c>
      <c r="K119">
        <v>16</v>
      </c>
      <c r="L119">
        <v>205</v>
      </c>
      <c r="M119">
        <v>18</v>
      </c>
      <c r="N119" s="30">
        <f t="shared" si="3"/>
        <v>4.5603673118774793E-5</v>
      </c>
      <c r="O119" s="30">
        <f t="shared" si="4"/>
        <v>7.8210299398698787E-6</v>
      </c>
      <c r="P119" s="30">
        <f t="shared" si="5"/>
        <v>203.93094161029848</v>
      </c>
    </row>
    <row r="120" spans="1:16">
      <c r="A120" t="s">
        <v>672</v>
      </c>
      <c r="B120" t="s">
        <v>172</v>
      </c>
      <c r="C120" t="s">
        <v>680</v>
      </c>
      <c r="D120" t="s">
        <v>795</v>
      </c>
      <c r="E120" t="s">
        <v>7</v>
      </c>
      <c r="F120">
        <v>21</v>
      </c>
      <c r="G120">
        <v>12.7</v>
      </c>
      <c r="H120">
        <v>0.45</v>
      </c>
      <c r="I120">
        <v>1.2250000000000001</v>
      </c>
      <c r="J120">
        <v>1</v>
      </c>
      <c r="K120">
        <v>12</v>
      </c>
      <c r="L120">
        <v>425</v>
      </c>
      <c r="M120">
        <v>39</v>
      </c>
      <c r="N120" s="30">
        <f t="shared" si="3"/>
        <v>1.2667686977437442E-4</v>
      </c>
      <c r="O120" s="30">
        <f t="shared" si="4"/>
        <v>3.4915312231561956E-5</v>
      </c>
      <c r="P120" s="30">
        <f t="shared" si="5"/>
        <v>165.77612027675877</v>
      </c>
    </row>
    <row r="121" spans="1:16">
      <c r="A121" t="s">
        <v>673</v>
      </c>
      <c r="B121" t="s">
        <v>174</v>
      </c>
      <c r="C121" t="s">
        <v>680</v>
      </c>
      <c r="D121" t="s">
        <v>175</v>
      </c>
      <c r="E121" t="s">
        <v>7</v>
      </c>
      <c r="F121">
        <v>59</v>
      </c>
      <c r="G121">
        <v>12.7</v>
      </c>
      <c r="H121">
        <v>0.4</v>
      </c>
      <c r="I121">
        <v>1.2250000000000001</v>
      </c>
      <c r="J121">
        <v>1</v>
      </c>
      <c r="K121">
        <v>17</v>
      </c>
      <c r="L121">
        <v>295</v>
      </c>
      <c r="M121">
        <v>100</v>
      </c>
      <c r="N121" s="30">
        <f t="shared" si="3"/>
        <v>1.2667686977437442E-4</v>
      </c>
      <c r="O121" s="30">
        <f t="shared" si="4"/>
        <v>3.1035833094721738E-5</v>
      </c>
      <c r="P121" s="30">
        <f t="shared" si="5"/>
        <v>465.7519569680365</v>
      </c>
    </row>
    <row r="122" spans="1:16">
      <c r="A122" t="s">
        <v>674</v>
      </c>
      <c r="B122" t="s">
        <v>176</v>
      </c>
      <c r="C122" t="s">
        <v>680</v>
      </c>
      <c r="D122" t="s">
        <v>175</v>
      </c>
      <c r="E122" t="s">
        <v>9</v>
      </c>
      <c r="F122">
        <v>18</v>
      </c>
      <c r="G122">
        <v>12.7</v>
      </c>
      <c r="H122">
        <v>0.4</v>
      </c>
      <c r="I122">
        <v>1.2250000000000001</v>
      </c>
      <c r="J122">
        <v>1.5</v>
      </c>
      <c r="K122">
        <v>17</v>
      </c>
      <c r="L122">
        <v>300</v>
      </c>
      <c r="M122">
        <v>70</v>
      </c>
      <c r="N122" s="30">
        <f t="shared" si="3"/>
        <v>1.2667686977437442E-4</v>
      </c>
      <c r="O122" s="30">
        <f t="shared" si="4"/>
        <v>3.1035833094721738E-5</v>
      </c>
      <c r="P122" s="30">
        <f t="shared" si="5"/>
        <v>142.09381738007892</v>
      </c>
    </row>
    <row r="123" spans="1:16">
      <c r="A123" t="s">
        <v>675</v>
      </c>
      <c r="B123" t="s">
        <v>177</v>
      </c>
      <c r="C123" t="s">
        <v>680</v>
      </c>
      <c r="D123" t="s">
        <v>178</v>
      </c>
      <c r="E123" t="s">
        <v>7</v>
      </c>
      <c r="F123">
        <v>5.7</v>
      </c>
      <c r="G123">
        <v>7.65</v>
      </c>
      <c r="H123">
        <v>0.35</v>
      </c>
      <c r="I123">
        <v>1.2250000000000001</v>
      </c>
      <c r="J123">
        <v>1</v>
      </c>
      <c r="K123">
        <v>4.5</v>
      </c>
      <c r="L123">
        <v>340</v>
      </c>
      <c r="M123">
        <v>9</v>
      </c>
      <c r="N123" s="30">
        <f t="shared" si="3"/>
        <v>4.596346401742717E-5</v>
      </c>
      <c r="O123" s="30">
        <f t="shared" si="4"/>
        <v>9.8534175987359497E-6</v>
      </c>
      <c r="P123" s="30">
        <f t="shared" si="5"/>
        <v>124.01154094562651</v>
      </c>
    </row>
    <row r="124" spans="1:16">
      <c r="A124" t="s">
        <v>676</v>
      </c>
      <c r="B124" t="s">
        <v>179</v>
      </c>
      <c r="C124" t="s">
        <v>680</v>
      </c>
      <c r="D124" t="s">
        <v>180</v>
      </c>
      <c r="E124" t="s">
        <v>7</v>
      </c>
      <c r="F124">
        <v>7.8</v>
      </c>
      <c r="G124">
        <v>8</v>
      </c>
      <c r="H124">
        <v>0.45</v>
      </c>
      <c r="I124">
        <v>1.2250000000000001</v>
      </c>
      <c r="J124">
        <v>1</v>
      </c>
      <c r="K124">
        <v>4.5</v>
      </c>
      <c r="L124">
        <v>350</v>
      </c>
      <c r="M124">
        <v>12</v>
      </c>
      <c r="N124" s="30">
        <f t="shared" si="3"/>
        <v>5.0265482457436693E-5</v>
      </c>
      <c r="O124" s="30">
        <f t="shared" si="4"/>
        <v>1.3854423602330991E-5</v>
      </c>
      <c r="P124" s="30">
        <f t="shared" si="5"/>
        <v>155.17606951459797</v>
      </c>
    </row>
    <row r="125" spans="1:16">
      <c r="A125" t="s">
        <v>684</v>
      </c>
      <c r="B125" t="s">
        <v>683</v>
      </c>
      <c r="C125" t="s">
        <v>680</v>
      </c>
      <c r="D125" t="s">
        <v>682</v>
      </c>
      <c r="E125" t="s">
        <v>7</v>
      </c>
      <c r="F125">
        <v>9.4</v>
      </c>
      <c r="G125">
        <v>6.5</v>
      </c>
      <c r="H125">
        <v>0.28000000000000003</v>
      </c>
      <c r="I125">
        <v>1.2250000000000001</v>
      </c>
      <c r="J125">
        <v>1</v>
      </c>
      <c r="K125">
        <v>24</v>
      </c>
      <c r="L125">
        <v>630</v>
      </c>
      <c r="M125">
        <v>17</v>
      </c>
      <c r="N125" s="30">
        <f t="shared" si="3"/>
        <v>3.3183072403542191E-5</v>
      </c>
      <c r="O125" s="30">
        <f t="shared" si="4"/>
        <v>5.6908969172074872E-6</v>
      </c>
      <c r="P125" s="30">
        <f t="shared" si="5"/>
        <v>283.27696379906587</v>
      </c>
    </row>
  </sheetData>
  <autoFilter ref="A1:M12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81"/>
  <sheetViews>
    <sheetView zoomScaleNormal="100" workbookViewId="0">
      <pane ySplit="1" topLeftCell="A2" activePane="bottomLeft" state="frozen"/>
      <selection pane="bottomLeft" activeCell="AG3" sqref="AG3"/>
    </sheetView>
  </sheetViews>
  <sheetFormatPr baseColWidth="10" defaultRowHeight="15"/>
  <cols>
    <col min="1" max="1" width="9.140625" customWidth="1"/>
    <col min="2" max="2" width="40.5703125" customWidth="1"/>
    <col min="3" max="3" width="23.140625" customWidth="1"/>
    <col min="4" max="4" width="23" customWidth="1"/>
    <col min="5" max="5" width="11.5703125" customWidth="1"/>
    <col min="6" max="6" width="20.28515625" style="35" customWidth="1"/>
    <col min="8" max="8" width="14.5703125" customWidth="1"/>
    <col min="9" max="9" width="12.85546875" customWidth="1"/>
    <col min="10" max="10" width="12.7109375" style="9" customWidth="1"/>
    <col min="11" max="11" width="12" style="9" customWidth="1"/>
    <col min="12" max="12" width="12.85546875" style="9" customWidth="1"/>
    <col min="13" max="15" width="11.42578125" style="9"/>
    <col min="16" max="16" width="11.42578125" style="17"/>
    <col min="17" max="17" width="11.42578125" style="21"/>
    <col min="18" max="18" width="12" customWidth="1"/>
    <col min="19" max="19" width="16.42578125" style="26" hidden="1" customWidth="1"/>
    <col min="20" max="20" width="15" style="26" hidden="1" customWidth="1"/>
    <col min="21" max="21" width="14.140625" style="28" hidden="1" customWidth="1"/>
    <col min="22" max="22" width="0" style="26" hidden="1" customWidth="1"/>
    <col min="23" max="23" width="0" style="30" hidden="1" customWidth="1"/>
    <col min="24" max="24" width="0" style="26" hidden="1" customWidth="1"/>
    <col min="25" max="26" width="12.7109375" style="26" hidden="1" customWidth="1"/>
    <col min="27" max="31" width="0" style="30" hidden="1" customWidth="1"/>
    <col min="32" max="32" width="11.42578125" style="32"/>
    <col min="33" max="36" width="11.42578125" style="33"/>
  </cols>
  <sheetData>
    <row r="1" spans="1:37" s="3" customFormat="1" ht="60">
      <c r="A1" s="3" t="s">
        <v>570</v>
      </c>
      <c r="B1" s="3" t="s">
        <v>183</v>
      </c>
      <c r="C1" s="3" t="s">
        <v>565</v>
      </c>
      <c r="D1" s="3" t="s">
        <v>569</v>
      </c>
      <c r="E1" s="3" t="s">
        <v>860</v>
      </c>
      <c r="F1" s="24" t="s">
        <v>0</v>
      </c>
      <c r="G1" s="3" t="s">
        <v>1</v>
      </c>
      <c r="H1" s="3" t="s">
        <v>184</v>
      </c>
      <c r="I1" s="3" t="s">
        <v>846</v>
      </c>
      <c r="J1" s="3" t="s">
        <v>690</v>
      </c>
      <c r="K1" s="3" t="s">
        <v>566</v>
      </c>
      <c r="L1" s="3" t="s">
        <v>567</v>
      </c>
      <c r="M1" s="3" t="s">
        <v>568</v>
      </c>
      <c r="N1" s="3" t="s">
        <v>691</v>
      </c>
      <c r="O1" s="3" t="s">
        <v>692</v>
      </c>
      <c r="P1" s="23" t="s">
        <v>698</v>
      </c>
      <c r="Q1" s="24" t="s">
        <v>693</v>
      </c>
      <c r="R1" s="3" t="s">
        <v>694</v>
      </c>
      <c r="S1" s="25" t="s">
        <v>814</v>
      </c>
      <c r="T1" s="25" t="s">
        <v>861</v>
      </c>
      <c r="U1" s="27" t="s">
        <v>856</v>
      </c>
      <c r="V1" s="25" t="s">
        <v>854</v>
      </c>
      <c r="W1" s="29" t="s">
        <v>855</v>
      </c>
      <c r="X1" s="25" t="s">
        <v>858</v>
      </c>
      <c r="Y1" s="25" t="s">
        <v>859</v>
      </c>
      <c r="Z1" s="25" t="s">
        <v>862</v>
      </c>
      <c r="AA1" s="29" t="s">
        <v>818</v>
      </c>
      <c r="AB1" s="29" t="s">
        <v>819</v>
      </c>
      <c r="AC1" s="29" t="s">
        <v>820</v>
      </c>
      <c r="AD1" s="29" t="s">
        <v>821</v>
      </c>
      <c r="AE1" s="29" t="s">
        <v>822</v>
      </c>
      <c r="AF1" s="31" t="s">
        <v>857</v>
      </c>
      <c r="AG1" s="31" t="s">
        <v>829</v>
      </c>
      <c r="AH1" s="31" t="s">
        <v>830</v>
      </c>
      <c r="AI1" s="31" t="s">
        <v>832</v>
      </c>
      <c r="AJ1" s="31" t="s">
        <v>831</v>
      </c>
      <c r="AK1" s="3" t="s">
        <v>1229</v>
      </c>
    </row>
    <row r="2" spans="1:37">
      <c r="A2" t="s">
        <v>571</v>
      </c>
      <c r="B2" t="s">
        <v>185</v>
      </c>
      <c r="C2" t="s">
        <v>681</v>
      </c>
      <c r="D2" t="s">
        <v>681</v>
      </c>
      <c r="F2" t="s">
        <v>115</v>
      </c>
      <c r="G2" t="s">
        <v>171</v>
      </c>
      <c r="H2">
        <v>0.7</v>
      </c>
      <c r="I2">
        <v>16</v>
      </c>
      <c r="J2" s="9">
        <v>4</v>
      </c>
      <c r="K2" s="9">
        <v>8</v>
      </c>
      <c r="L2" s="9">
        <v>24</v>
      </c>
      <c r="M2" s="10">
        <v>48</v>
      </c>
      <c r="N2" s="10">
        <v>3</v>
      </c>
      <c r="O2" s="10"/>
      <c r="P2" s="18">
        <v>6</v>
      </c>
      <c r="Q2" s="22" t="s">
        <v>701</v>
      </c>
      <c r="R2">
        <v>1</v>
      </c>
      <c r="S2" s="26">
        <f>VLOOKUP($F2,Munition!$B:$P,10,FALSE)</f>
        <v>16</v>
      </c>
      <c r="T2" s="26">
        <f>VLOOKUP($F2,Munition!$B:$P,11,FALSE)</f>
        <v>265</v>
      </c>
      <c r="U2" s="28">
        <f t="shared" ref="U2:U65" si="0">T2 * POWER(I2/S2,0.25)</f>
        <v>265</v>
      </c>
      <c r="V2" s="26">
        <f>VLOOKUP($F2,Munition!$B:$P,5,FALSE)</f>
        <v>9.3000000000000007</v>
      </c>
      <c r="W2" s="30">
        <f>0.5 * (V2/1000) * (U2^2)</f>
        <v>326.54625000000004</v>
      </c>
      <c r="X2" s="26">
        <f>VLOOKUP($F2,Munition!$B:$P,15,FALSE)</f>
        <v>203.93094161029848</v>
      </c>
      <c r="Y2" s="26">
        <f>VLOOKUP($F2,Munition!$B:$P,9,FALSE)</f>
        <v>1</v>
      </c>
      <c r="Z2" s="26">
        <f>VLOOKUP($F2,Munition!$B:$P,14,FALSE)</f>
        <v>7.8210299398698787E-6</v>
      </c>
      <c r="AA2" s="30">
        <f>0.0000001 * X2 * (2 * W2 / (V2/1000)) * Y2</f>
        <v>1.4321050374583211</v>
      </c>
      <c r="AB2" s="30">
        <f>0.0000001 * $X2 * (2 * $W2 * EXP(-(2*$Z2/($V2/1000)) * J2) / ($V2/1000))  * $Y2</f>
        <v>1.4225025054803238</v>
      </c>
      <c r="AC2" s="30">
        <f t="shared" ref="AC2:AE2" si="1">0.0000001 * $X2 * (2 * $W2 * EXP(-(2*$Z2/($V2/1000)) * K2) / ($V2/1000))  * $Y2</f>
        <v>1.4129643602742294</v>
      </c>
      <c r="AD2" s="30">
        <f t="shared" si="1"/>
        <v>1.3754470559677143</v>
      </c>
      <c r="AE2" s="30">
        <f t="shared" si="1"/>
        <v>1.321030618765149</v>
      </c>
      <c r="AF2" s="32" t="str">
        <f t="shared" ref="AF2:AF65" si="2">IF(INT(SQRT(W2)/12)=0, MOD(INT(SQRT(W2)/4),3), INT(SQRT(W2)/12) &amp; "D6" &amp; IF(MOD(INT(SQRT(W2)/4),3)=0, "", "+" &amp; MOD(INT(SQRT(W2)/4),3)))</f>
        <v>1D6+1</v>
      </c>
      <c r="AG2" s="33" t="str">
        <f>IF((SQRT($W2)*(7/AA2))&gt;=(SQRT($W2)),"-",IF(INT(SQRT($W2)*(7/AA2)/12)=0, MOD(INT(SQRT($W2)*(7/AA2)/4),3), INT(SQRT($W2)*(7/AA2)/12)  &amp; IF(MOD(INT(SQRT($W2)*(7/AA2)/4),3)=0, "", "+" &amp; MOD(INT(SQRT($W2)*(7/AA2)/4),3))))</f>
        <v>-</v>
      </c>
      <c r="AH2" s="33" t="str">
        <f t="shared" ref="AH2:AJ2" si="3">IF((SQRT($W2)*(7/AB2))&gt;=(SQRT($W2)),"-",IF(INT(SQRT($W2)*(7/AB2)/12)=0, MOD(INT(SQRT($W2)*(7/AB2)/4),3), INT(SQRT($W2)*(7/AB2)/12)  &amp; IF(MOD(INT(SQRT($W2)*(7/AB2)/4),3)=0, "", "+" &amp; MOD(INT(SQRT($W2)*(7/AB2)/4),3))))</f>
        <v>-</v>
      </c>
      <c r="AI2" s="33" t="str">
        <f t="shared" si="3"/>
        <v>-</v>
      </c>
      <c r="AJ2" s="33" t="str">
        <f t="shared" si="3"/>
        <v>-</v>
      </c>
      <c r="AK2">
        <v>1965</v>
      </c>
    </row>
    <row r="3" spans="1:37">
      <c r="A3" t="s">
        <v>572</v>
      </c>
      <c r="B3" t="s">
        <v>186</v>
      </c>
      <c r="C3" t="s">
        <v>681</v>
      </c>
      <c r="D3" t="s">
        <v>681</v>
      </c>
      <c r="F3" t="s">
        <v>130</v>
      </c>
      <c r="G3" t="s">
        <v>131</v>
      </c>
      <c r="H3">
        <v>15</v>
      </c>
      <c r="I3">
        <v>27</v>
      </c>
      <c r="J3" s="9">
        <v>150</v>
      </c>
      <c r="K3" s="9">
        <v>300</v>
      </c>
      <c r="L3" s="9">
        <v>900</v>
      </c>
      <c r="M3" s="10">
        <v>1800</v>
      </c>
      <c r="N3" s="10">
        <v>2</v>
      </c>
      <c r="O3" s="10"/>
      <c r="P3" s="18">
        <v>5</v>
      </c>
      <c r="Q3" s="22" t="s">
        <v>699</v>
      </c>
      <c r="R3">
        <v>1</v>
      </c>
      <c r="S3" s="26">
        <f>VLOOKUP($F3,Munition!$B:$P,10,FALSE)</f>
        <v>30</v>
      </c>
      <c r="T3" s="26">
        <f>VLOOKUP($F3,Munition!$B:$P,11,FALSE)</f>
        <v>903</v>
      </c>
      <c r="U3" s="28">
        <f t="shared" si="0"/>
        <v>879.525383022043</v>
      </c>
      <c r="V3" s="26">
        <f>VLOOKUP($F3,Munition!$B:$P,5,FALSE)</f>
        <v>42</v>
      </c>
      <c r="W3" s="30">
        <f t="shared" ref="W3:W66" si="4">0.5 * (V3/1000) * (U3^2)</f>
        <v>16244.862886981502</v>
      </c>
      <c r="X3" s="26">
        <f>VLOOKUP($F3,Munition!$B:$P,15,FALSE)</f>
        <v>331.55224055351755</v>
      </c>
      <c r="Y3" s="26">
        <f>VLOOKUP($F3,Munition!$B:$P,9,FALSE)</f>
        <v>1</v>
      </c>
      <c r="Z3" s="26">
        <f>VLOOKUP($F3,Munition!$B:$P,14,FALSE)</f>
        <v>2.7156353957881518E-5</v>
      </c>
      <c r="AA3" s="30">
        <f t="shared" ref="AA3:AA66" si="5">0.0000001 * X3 * (2 * W3 / (V3/1000)) * Y3</f>
        <v>25.647717560301906</v>
      </c>
      <c r="AB3" s="30">
        <f t="shared" ref="AB3:AB66" si="6">0.0000001 * $X3 * (2 * $W3 * EXP(-(2*$Z3/($V3/1000)) * J3) / ($V3/1000))  * $Y3</f>
        <v>21.125495462442494</v>
      </c>
      <c r="AC3" s="30">
        <f t="shared" ref="AC3:AC66" si="7">0.0000001 * $X3 * (2 * $W3 * EXP(-(2*$Z3/($V3/1000)) * K3) / ($V3/1000))  * $Y3</f>
        <v>17.400634480802701</v>
      </c>
      <c r="AD3" s="30">
        <f t="shared" ref="AD3:AD66" si="8">0.0000001 * $X3 * (2 * $W3 * EXP(-(2*$Z3/($V3/1000)) * L3) / ($V3/1000))  * $Y3</f>
        <v>8.0093598785647995</v>
      </c>
      <c r="AE3" s="30">
        <f t="shared" ref="AE3:AE66" si="9">0.0000001 * $X3 * (2 * $W3 * EXP(-(2*$Z3/($V3/1000)) * M3) / ($V3/1000))  * $Y3</f>
        <v>2.5011912078935268</v>
      </c>
      <c r="AF3" s="32" t="str">
        <f t="shared" si="2"/>
        <v>10D6+1</v>
      </c>
      <c r="AG3" s="33" t="str">
        <f t="shared" ref="AG3:AG66" si="10">IF((SQRT($W3)*(7/AA3))&gt;=(SQRT($W3)),"-",IF(INT(SQRT($W3)*(7/AA3)/12)=0, MOD(INT(SQRT($W3)*(7/AA3)/4),3), INT(SQRT($W3)*(7/AA3)/12)  &amp; IF(MOD(INT(SQRT($W3)*(7/AA3)/4),3)=0, "", "+" &amp; MOD(INT(SQRT($W3)*(7/AA3)/4),3))))</f>
        <v>2+2</v>
      </c>
      <c r="AH3" s="33" t="str">
        <f t="shared" ref="AH3:AH66" si="11">IF((SQRT($W3)*(7/AB3))&gt;=(SQRT($W3)),"-",IF(INT(SQRT($W3)*(7/AB3)/12)=0, MOD(INT(SQRT($W3)*(7/AB3)/4),3), INT(SQRT($W3)*(7/AB3)/12)  &amp; IF(MOD(INT(SQRT($W3)*(7/AB3)/4),3)=0, "", "+" &amp; MOD(INT(SQRT($W3)*(7/AB3)/4),3))))</f>
        <v>3+1</v>
      </c>
      <c r="AI3" s="33" t="str">
        <f t="shared" ref="AI3:AI66" si="12">IF((SQRT($W3)*(7/AC3))&gt;=(SQRT($W3)),"-",IF(INT(SQRT($W3)*(7/AC3)/12)=0, MOD(INT(SQRT($W3)*(7/AC3)/4),3), INT(SQRT($W3)*(7/AC3)/12)  &amp; IF(MOD(INT(SQRT($W3)*(7/AC3)/4),3)=0, "", "+" &amp; MOD(INT(SQRT($W3)*(7/AC3)/4),3))))</f>
        <v>4</v>
      </c>
      <c r="AJ3" s="33" t="str">
        <f t="shared" ref="AJ3:AJ66" si="13">IF((SQRT($W3)*(7/AD3))&gt;=(SQRT($W3)),"-",IF(INT(SQRT($W3)*(7/AD3)/12)=0, MOD(INT(SQRT($W3)*(7/AD3)/4),3), INT(SQRT($W3)*(7/AD3)/12)  &amp; IF(MOD(INT(SQRT($W3)*(7/AD3)/4),3)=0, "", "+" &amp; MOD(INT(SQRT($W3)*(7/AD3)/4),3))))</f>
        <v>9</v>
      </c>
      <c r="AK3">
        <v>1998</v>
      </c>
    </row>
    <row r="4" spans="1:37">
      <c r="A4" t="s">
        <v>573</v>
      </c>
      <c r="B4" t="s">
        <v>187</v>
      </c>
      <c r="C4" t="s">
        <v>681</v>
      </c>
      <c r="D4" t="s">
        <v>681</v>
      </c>
      <c r="F4" t="s">
        <v>152</v>
      </c>
      <c r="G4" t="s">
        <v>52</v>
      </c>
      <c r="H4">
        <v>6.3</v>
      </c>
      <c r="I4">
        <v>22</v>
      </c>
      <c r="J4" s="9">
        <v>50</v>
      </c>
      <c r="K4" s="9">
        <v>100</v>
      </c>
      <c r="L4" s="9">
        <v>300</v>
      </c>
      <c r="M4" s="10">
        <v>600</v>
      </c>
      <c r="N4" s="10">
        <v>1</v>
      </c>
      <c r="O4" s="10"/>
      <c r="P4" s="18">
        <v>10</v>
      </c>
      <c r="Q4" s="22" t="s">
        <v>699</v>
      </c>
      <c r="R4">
        <v>1</v>
      </c>
      <c r="S4" s="26">
        <f>VLOOKUP($F4,Munition!$B:$P,10,FALSE)</f>
        <v>22</v>
      </c>
      <c r="T4" s="26">
        <f>VLOOKUP($F4,Munition!$B:$P,11,FALSE)</f>
        <v>325</v>
      </c>
      <c r="U4" s="28">
        <f t="shared" si="0"/>
        <v>325</v>
      </c>
      <c r="V4" s="26">
        <f>VLOOKUP($F4,Munition!$B:$P,5,FALSE)</f>
        <v>13</v>
      </c>
      <c r="W4" s="30">
        <f t="shared" si="4"/>
        <v>686.5625</v>
      </c>
      <c r="X4" s="26">
        <f>VLOOKUP($F4,Munition!$B:$P,15,FALSE)</f>
        <v>285.06475708966451</v>
      </c>
      <c r="Y4" s="26">
        <f>VLOOKUP($F4,Munition!$B:$P,9,FALSE)</f>
        <v>1</v>
      </c>
      <c r="Z4" s="26">
        <f>VLOOKUP($F4,Munition!$B:$P,14,FALSE)</f>
        <v>6.9830624463123905E-6</v>
      </c>
      <c r="AA4" s="30">
        <f t="shared" si="5"/>
        <v>3.010996496759581</v>
      </c>
      <c r="AB4" s="30">
        <f t="shared" si="6"/>
        <v>2.8535254249465085</v>
      </c>
      <c r="AC4" s="30">
        <f t="shared" si="7"/>
        <v>2.7042898786428951</v>
      </c>
      <c r="AD4" s="30">
        <f t="shared" si="8"/>
        <v>2.1814196843354234</v>
      </c>
      <c r="AE4" s="30">
        <f t="shared" si="9"/>
        <v>1.5804043094461357</v>
      </c>
      <c r="AF4" s="32" t="str">
        <f t="shared" si="2"/>
        <v>2D6</v>
      </c>
      <c r="AG4" s="33" t="str">
        <f t="shared" si="10"/>
        <v>-</v>
      </c>
      <c r="AH4" s="33" t="str">
        <f t="shared" si="11"/>
        <v>-</v>
      </c>
      <c r="AI4" s="33" t="str">
        <f t="shared" si="12"/>
        <v>-</v>
      </c>
      <c r="AJ4" s="33" t="str">
        <f t="shared" si="13"/>
        <v>-</v>
      </c>
      <c r="AK4">
        <v>1982</v>
      </c>
    </row>
    <row r="5" spans="1:37">
      <c r="A5" t="s">
        <v>574</v>
      </c>
      <c r="B5" t="s">
        <v>188</v>
      </c>
      <c r="C5" t="s">
        <v>681</v>
      </c>
      <c r="D5" t="s">
        <v>681</v>
      </c>
      <c r="F5" t="s">
        <v>10</v>
      </c>
      <c r="G5" t="s">
        <v>11</v>
      </c>
      <c r="H5">
        <v>5.7</v>
      </c>
      <c r="I5">
        <v>16</v>
      </c>
      <c r="J5" s="9">
        <v>100</v>
      </c>
      <c r="K5" s="9">
        <v>200</v>
      </c>
      <c r="L5" s="9">
        <v>600</v>
      </c>
      <c r="M5" s="10">
        <v>1200</v>
      </c>
      <c r="N5" s="10">
        <v>1</v>
      </c>
      <c r="O5" s="10">
        <v>5</v>
      </c>
      <c r="P5" s="18">
        <v>50</v>
      </c>
      <c r="Q5" s="22">
        <v>50</v>
      </c>
      <c r="R5">
        <v>10</v>
      </c>
      <c r="S5" s="26">
        <f>VLOOKUP($F5,Munition!$B:$P,10,FALSE)</f>
        <v>20</v>
      </c>
      <c r="T5" s="26">
        <f>VLOOKUP($F5,Munition!$B:$P,11,FALSE)</f>
        <v>878</v>
      </c>
      <c r="U5" s="28">
        <f t="shared" si="0"/>
        <v>830.36113270478836</v>
      </c>
      <c r="V5" s="26">
        <f>VLOOKUP($F5,Munition!$B:$P,5,FALSE)</f>
        <v>3.56</v>
      </c>
      <c r="W5" s="30">
        <f t="shared" si="4"/>
        <v>1227.3093070580669</v>
      </c>
      <c r="X5" s="26">
        <f>VLOOKUP($F5,Munition!$B:$P,15,FALSE)</f>
        <v>146.62584685242678</v>
      </c>
      <c r="Y5" s="26">
        <f>VLOOKUP($F5,Munition!$B:$P,9,FALSE)</f>
        <v>1</v>
      </c>
      <c r="Z5" s="26">
        <f>VLOOKUP($F5,Munition!$B:$P,14,FALSE)</f>
        <v>3.7177960891755132E-6</v>
      </c>
      <c r="AA5" s="30">
        <f t="shared" si="5"/>
        <v>10.109846432430007</v>
      </c>
      <c r="AB5" s="30">
        <f t="shared" si="6"/>
        <v>8.2041891388876671</v>
      </c>
      <c r="AC5" s="30">
        <f t="shared" si="7"/>
        <v>6.6577390543472408</v>
      </c>
      <c r="AD5" s="30">
        <f t="shared" si="8"/>
        <v>2.887295209644416</v>
      </c>
      <c r="AE5" s="30">
        <f t="shared" si="9"/>
        <v>0.82458954083557079</v>
      </c>
      <c r="AF5" s="32" t="str">
        <f t="shared" si="2"/>
        <v>2D6+2</v>
      </c>
      <c r="AG5" s="33" t="str">
        <f t="shared" si="10"/>
        <v>2</v>
      </c>
      <c r="AH5" s="33" t="str">
        <f t="shared" si="11"/>
        <v>2+1</v>
      </c>
      <c r="AI5" s="33" t="str">
        <f t="shared" si="12"/>
        <v>-</v>
      </c>
      <c r="AJ5" s="33" t="str">
        <f t="shared" si="13"/>
        <v>-</v>
      </c>
      <c r="AK5">
        <v>1986</v>
      </c>
    </row>
    <row r="6" spans="1:37">
      <c r="A6" t="s">
        <v>571</v>
      </c>
      <c r="B6" t="s">
        <v>189</v>
      </c>
      <c r="C6" t="s">
        <v>681</v>
      </c>
      <c r="D6" t="s">
        <v>681</v>
      </c>
      <c r="F6" t="s">
        <v>182</v>
      </c>
      <c r="G6" t="s">
        <v>79</v>
      </c>
      <c r="H6">
        <v>1.8</v>
      </c>
      <c r="I6">
        <v>5</v>
      </c>
      <c r="J6" s="9">
        <v>16</v>
      </c>
      <c r="K6" s="9">
        <v>32</v>
      </c>
      <c r="L6" s="9">
        <v>96</v>
      </c>
      <c r="M6" s="10">
        <v>192</v>
      </c>
      <c r="N6" s="10">
        <v>2</v>
      </c>
      <c r="O6" s="10">
        <v>10</v>
      </c>
      <c r="P6" s="19">
        <v>28</v>
      </c>
      <c r="Q6" s="22" t="s">
        <v>715</v>
      </c>
      <c r="R6">
        <v>10</v>
      </c>
      <c r="S6" s="26">
        <f>VLOOKUP($F6,Munition!$B:$P,10,FALSE)</f>
        <v>4.5</v>
      </c>
      <c r="T6" s="26">
        <f>VLOOKUP($F6,Munition!$B:$P,11,FALSE)</f>
        <v>450</v>
      </c>
      <c r="U6" s="28">
        <f t="shared" si="0"/>
        <v>462.01054323615341</v>
      </c>
      <c r="V6" s="26">
        <f>VLOOKUP($F6,Munition!$B:$P,5,FALSE)</f>
        <v>6.75</v>
      </c>
      <c r="W6" s="30">
        <f t="shared" si="4"/>
        <v>720.40637945710876</v>
      </c>
      <c r="X6" s="26">
        <f>VLOOKUP($F6,Munition!$B:$P,15,FALSE)</f>
        <v>106.1032953945969</v>
      </c>
      <c r="Y6" s="26">
        <f>VLOOKUP($F6,Munition!$B:$P,9,FALSE)</f>
        <v>1</v>
      </c>
      <c r="Z6" s="26">
        <f>VLOOKUP($F6,Munition!$B:$P,14,FALSE)</f>
        <v>1.5586226552622361E-5</v>
      </c>
      <c r="AA6" s="30">
        <f t="shared" si="5"/>
        <v>2.2648145447019159</v>
      </c>
      <c r="AB6" s="30">
        <f t="shared" si="6"/>
        <v>2.10349998654408</v>
      </c>
      <c r="AC6" s="30">
        <f t="shared" si="7"/>
        <v>1.9536752815994058</v>
      </c>
      <c r="AD6" s="30">
        <f t="shared" si="8"/>
        <v>1.4537571186512015</v>
      </c>
      <c r="AE6" s="30">
        <f t="shared" si="9"/>
        <v>0.93314914679126626</v>
      </c>
      <c r="AF6" s="32" t="str">
        <f t="shared" si="2"/>
        <v>2D6</v>
      </c>
      <c r="AG6" s="33" t="str">
        <f t="shared" si="10"/>
        <v>-</v>
      </c>
      <c r="AH6" s="33" t="str">
        <f t="shared" si="11"/>
        <v>-</v>
      </c>
      <c r="AI6" s="33" t="str">
        <f t="shared" si="12"/>
        <v>-</v>
      </c>
      <c r="AJ6" s="33" t="str">
        <f t="shared" si="13"/>
        <v>-</v>
      </c>
      <c r="AK6">
        <v>1983</v>
      </c>
    </row>
    <row r="7" spans="1:37">
      <c r="A7" t="s">
        <v>575</v>
      </c>
      <c r="B7" t="s">
        <v>190</v>
      </c>
      <c r="C7" t="s">
        <v>681</v>
      </c>
      <c r="D7" t="s">
        <v>681</v>
      </c>
      <c r="F7" t="s">
        <v>10</v>
      </c>
      <c r="G7" t="s">
        <v>11</v>
      </c>
      <c r="H7">
        <v>3.9</v>
      </c>
      <c r="I7">
        <v>18</v>
      </c>
      <c r="J7" s="9">
        <v>50</v>
      </c>
      <c r="K7" s="9">
        <v>100</v>
      </c>
      <c r="L7" s="9">
        <v>300</v>
      </c>
      <c r="M7" s="10">
        <v>600</v>
      </c>
      <c r="N7" s="10">
        <v>2</v>
      </c>
      <c r="O7" s="10">
        <v>10</v>
      </c>
      <c r="P7" s="19">
        <v>30</v>
      </c>
      <c r="Q7" s="22" t="s">
        <v>716</v>
      </c>
      <c r="R7">
        <v>10</v>
      </c>
      <c r="S7" s="26">
        <f>VLOOKUP($F7,Munition!$B:$P,10,FALSE)</f>
        <v>20</v>
      </c>
      <c r="T7" s="26">
        <f>VLOOKUP($F7,Munition!$B:$P,11,FALSE)</f>
        <v>878</v>
      </c>
      <c r="U7" s="28">
        <f t="shared" si="0"/>
        <v>855.17528936141059</v>
      </c>
      <c r="V7" s="26">
        <f>VLOOKUP($F7,Munition!$B:$P,5,FALSE)</f>
        <v>3.56</v>
      </c>
      <c r="W7" s="30">
        <f t="shared" si="4"/>
        <v>1301.7581004511828</v>
      </c>
      <c r="X7" s="26">
        <f>VLOOKUP($F7,Munition!$B:$P,15,FALSE)</f>
        <v>146.62584685242678</v>
      </c>
      <c r="Y7" s="26">
        <f>VLOOKUP($F7,Munition!$B:$P,9,FALSE)</f>
        <v>1</v>
      </c>
      <c r="Z7" s="26">
        <f>VLOOKUP($F7,Munition!$B:$P,14,FALSE)</f>
        <v>3.7177960891755132E-6</v>
      </c>
      <c r="AA7" s="30">
        <f t="shared" si="5"/>
        <v>10.723111453688826</v>
      </c>
      <c r="AB7" s="30">
        <f t="shared" si="6"/>
        <v>9.6597608062446394</v>
      </c>
      <c r="AC7" s="30">
        <f t="shared" si="7"/>
        <v>8.7018566613667385</v>
      </c>
      <c r="AD7" s="30">
        <f t="shared" si="8"/>
        <v>5.7305213612218857</v>
      </c>
      <c r="AE7" s="30">
        <f t="shared" si="9"/>
        <v>3.0624390330405018</v>
      </c>
      <c r="AF7" s="32" t="str">
        <f t="shared" si="2"/>
        <v>3D6</v>
      </c>
      <c r="AG7" s="33" t="str">
        <f t="shared" si="10"/>
        <v>1+2</v>
      </c>
      <c r="AH7" s="33" t="str">
        <f t="shared" si="11"/>
        <v>2</v>
      </c>
      <c r="AI7" s="33" t="str">
        <f t="shared" si="12"/>
        <v>2+1</v>
      </c>
      <c r="AJ7" s="33" t="str">
        <f t="shared" si="13"/>
        <v>-</v>
      </c>
      <c r="AK7">
        <v>1963</v>
      </c>
    </row>
    <row r="8" spans="1:37">
      <c r="A8" t="s">
        <v>575</v>
      </c>
      <c r="B8" t="s">
        <v>191</v>
      </c>
      <c r="C8" t="s">
        <v>681</v>
      </c>
      <c r="D8" t="s">
        <v>681</v>
      </c>
      <c r="F8" t="s">
        <v>51</v>
      </c>
      <c r="G8" t="s">
        <v>52</v>
      </c>
      <c r="H8">
        <v>3.96</v>
      </c>
      <c r="I8">
        <v>11</v>
      </c>
      <c r="J8" s="9">
        <v>50</v>
      </c>
      <c r="K8" s="9">
        <v>100</v>
      </c>
      <c r="L8" s="9">
        <v>300</v>
      </c>
      <c r="M8" s="10">
        <v>600</v>
      </c>
      <c r="N8" s="10">
        <v>2</v>
      </c>
      <c r="O8" s="10">
        <v>3</v>
      </c>
      <c r="P8" s="19">
        <v>20</v>
      </c>
      <c r="Q8" s="22" t="s">
        <v>717</v>
      </c>
      <c r="R8">
        <v>3</v>
      </c>
      <c r="S8" s="26">
        <f>VLOOKUP($F8,Munition!$B:$P,10,FALSE)</f>
        <v>22</v>
      </c>
      <c r="T8" s="26">
        <f>VLOOKUP($F8,Munition!$B:$P,11,FALSE)</f>
        <v>832</v>
      </c>
      <c r="U8" s="28">
        <f t="shared" si="0"/>
        <v>699.62581749109052</v>
      </c>
      <c r="V8" s="26">
        <f>VLOOKUP($F8,Munition!$B:$P,5,FALSE)</f>
        <v>9.4499999999999993</v>
      </c>
      <c r="W8" s="30">
        <f t="shared" si="4"/>
        <v>2312.7754442628625</v>
      </c>
      <c r="X8" s="26">
        <f>VLOOKUP($F8,Munition!$B:$P,15,FALSE)</f>
        <v>207.22015034594844</v>
      </c>
      <c r="Y8" s="26">
        <f>VLOOKUP($F8,Munition!$B:$P,9,FALSE)</f>
        <v>1</v>
      </c>
      <c r="Z8" s="26">
        <f>VLOOKUP($F8,Munition!$B:$P,14,FALSE)</f>
        <v>6.9830624463123905E-6</v>
      </c>
      <c r="AA8" s="30">
        <f t="shared" si="5"/>
        <v>10.142934926488213</v>
      </c>
      <c r="AB8" s="30">
        <f t="shared" si="6"/>
        <v>9.4204471542299189</v>
      </c>
      <c r="AC8" s="30">
        <f t="shared" si="7"/>
        <v>8.7494226502313452</v>
      </c>
      <c r="AD8" s="30">
        <f t="shared" si="8"/>
        <v>6.5104485305885103</v>
      </c>
      <c r="AE8" s="30">
        <f t="shared" si="9"/>
        <v>4.1788634528997584</v>
      </c>
      <c r="AF8" s="32" t="str">
        <f t="shared" si="2"/>
        <v>4D6</v>
      </c>
      <c r="AG8" s="33" t="str">
        <f t="shared" si="10"/>
        <v>2+2</v>
      </c>
      <c r="AH8" s="33" t="str">
        <f t="shared" si="11"/>
        <v>2+2</v>
      </c>
      <c r="AI8" s="33" t="str">
        <f t="shared" si="12"/>
        <v>3</v>
      </c>
      <c r="AJ8" s="33" t="str">
        <f t="shared" si="13"/>
        <v>-</v>
      </c>
      <c r="AK8">
        <v>2003</v>
      </c>
    </row>
    <row r="9" spans="1:37">
      <c r="A9" t="s">
        <v>572</v>
      </c>
      <c r="B9" t="s">
        <v>192</v>
      </c>
      <c r="C9" t="s">
        <v>681</v>
      </c>
      <c r="D9" t="s">
        <v>681</v>
      </c>
      <c r="F9" t="s">
        <v>51</v>
      </c>
      <c r="G9" t="s">
        <v>52</v>
      </c>
      <c r="H9">
        <v>3.96</v>
      </c>
      <c r="I9">
        <v>22</v>
      </c>
      <c r="J9" s="9">
        <v>133</v>
      </c>
      <c r="K9" s="9">
        <v>266</v>
      </c>
      <c r="L9" s="9">
        <v>798</v>
      </c>
      <c r="M9" s="10">
        <v>1596</v>
      </c>
      <c r="N9" s="10">
        <v>2</v>
      </c>
      <c r="O9" s="10">
        <v>3</v>
      </c>
      <c r="P9" s="19">
        <v>20</v>
      </c>
      <c r="Q9" s="22" t="s">
        <v>717</v>
      </c>
      <c r="R9">
        <v>3</v>
      </c>
      <c r="S9" s="26">
        <f>VLOOKUP($F9,Munition!$B:$P,10,FALSE)</f>
        <v>22</v>
      </c>
      <c r="T9" s="26">
        <f>VLOOKUP($F9,Munition!$B:$P,11,FALSE)</f>
        <v>832</v>
      </c>
      <c r="U9" s="28">
        <f t="shared" si="0"/>
        <v>832</v>
      </c>
      <c r="V9" s="26">
        <f>VLOOKUP($F9,Munition!$B:$P,5,FALSE)</f>
        <v>9.4499999999999993</v>
      </c>
      <c r="W9" s="30">
        <f t="shared" si="4"/>
        <v>3270.7584000000002</v>
      </c>
      <c r="X9" s="26">
        <f>VLOOKUP($F9,Munition!$B:$P,15,FALSE)</f>
        <v>207.22015034594844</v>
      </c>
      <c r="Y9" s="26">
        <f>VLOOKUP($F9,Munition!$B:$P,9,FALSE)</f>
        <v>1</v>
      </c>
      <c r="Z9" s="26">
        <f>VLOOKUP($F9,Munition!$B:$P,14,FALSE)</f>
        <v>6.9830624463123905E-6</v>
      </c>
      <c r="AA9" s="30">
        <f t="shared" si="5"/>
        <v>14.34427613530738</v>
      </c>
      <c r="AB9" s="30">
        <f t="shared" si="6"/>
        <v>11.784566018184107</v>
      </c>
      <c r="AC9" s="30">
        <f t="shared" si="7"/>
        <v>9.6816315390852328</v>
      </c>
      <c r="AD9" s="30">
        <f t="shared" si="8"/>
        <v>4.4105055913229867</v>
      </c>
      <c r="AE9" s="30">
        <f t="shared" si="9"/>
        <v>1.3561199873453555</v>
      </c>
      <c r="AF9" s="32" t="str">
        <f t="shared" si="2"/>
        <v>4D6+2</v>
      </c>
      <c r="AG9" s="33" t="str">
        <f t="shared" si="10"/>
        <v>2</v>
      </c>
      <c r="AH9" s="33" t="str">
        <f t="shared" si="11"/>
        <v>2+2</v>
      </c>
      <c r="AI9" s="33" t="str">
        <f t="shared" si="12"/>
        <v>3+1</v>
      </c>
      <c r="AJ9" s="33" t="str">
        <f t="shared" si="13"/>
        <v>-</v>
      </c>
      <c r="AK9">
        <v>2003</v>
      </c>
    </row>
    <row r="10" spans="1:37">
      <c r="A10" t="s">
        <v>572</v>
      </c>
      <c r="B10" t="s">
        <v>193</v>
      </c>
      <c r="C10" t="s">
        <v>681</v>
      </c>
      <c r="D10" t="s">
        <v>681</v>
      </c>
      <c r="F10" t="s">
        <v>51</v>
      </c>
      <c r="G10" t="s">
        <v>52</v>
      </c>
      <c r="H10">
        <v>4.0999999999999996</v>
      </c>
      <c r="I10">
        <v>20</v>
      </c>
      <c r="J10" s="9">
        <v>83</v>
      </c>
      <c r="K10" s="9">
        <v>166</v>
      </c>
      <c r="L10" s="9">
        <v>498</v>
      </c>
      <c r="M10" s="10">
        <v>996</v>
      </c>
      <c r="N10" s="10">
        <v>2</v>
      </c>
      <c r="O10" s="10">
        <v>3</v>
      </c>
      <c r="P10" s="19">
        <v>20</v>
      </c>
      <c r="Q10" s="22" t="s">
        <v>717</v>
      </c>
      <c r="R10">
        <v>3</v>
      </c>
      <c r="S10" s="26">
        <f>VLOOKUP($F10,Munition!$B:$P,10,FALSE)</f>
        <v>22</v>
      </c>
      <c r="T10" s="26">
        <f>VLOOKUP($F10,Munition!$B:$P,11,FALSE)</f>
        <v>832</v>
      </c>
      <c r="U10" s="28">
        <f t="shared" si="0"/>
        <v>812.40980261069035</v>
      </c>
      <c r="V10" s="26">
        <f>VLOOKUP($F10,Munition!$B:$P,5,FALSE)</f>
        <v>9.4499999999999993</v>
      </c>
      <c r="W10" s="30">
        <f t="shared" si="4"/>
        <v>3118.5457728607707</v>
      </c>
      <c r="X10" s="26">
        <f>VLOOKUP($F10,Munition!$B:$P,15,FALSE)</f>
        <v>207.22015034594844</v>
      </c>
      <c r="Y10" s="26">
        <f>VLOOKUP($F10,Munition!$B:$P,9,FALSE)</f>
        <v>1</v>
      </c>
      <c r="Z10" s="26">
        <f>VLOOKUP($F10,Munition!$B:$P,14,FALSE)</f>
        <v>6.9830624463123905E-6</v>
      </c>
      <c r="AA10" s="30">
        <f t="shared" si="5"/>
        <v>13.676730664823932</v>
      </c>
      <c r="AB10" s="30">
        <f t="shared" si="6"/>
        <v>12.097882793855666</v>
      </c>
      <c r="AC10" s="30">
        <f t="shared" si="7"/>
        <v>10.701297823338626</v>
      </c>
      <c r="AD10" s="30">
        <f t="shared" si="8"/>
        <v>6.551560619288713</v>
      </c>
      <c r="AE10" s="30">
        <f t="shared" si="9"/>
        <v>3.1383923249004977</v>
      </c>
      <c r="AF10" s="32" t="str">
        <f t="shared" si="2"/>
        <v>4D6+1</v>
      </c>
      <c r="AG10" s="33" t="str">
        <f t="shared" si="10"/>
        <v>2+1</v>
      </c>
      <c r="AH10" s="33" t="str">
        <f t="shared" si="11"/>
        <v>2+2</v>
      </c>
      <c r="AI10" s="33" t="str">
        <f t="shared" si="12"/>
        <v>3</v>
      </c>
      <c r="AJ10" s="33" t="str">
        <f t="shared" si="13"/>
        <v>-</v>
      </c>
      <c r="AK10">
        <v>2003</v>
      </c>
    </row>
    <row r="11" spans="1:37">
      <c r="A11" t="s">
        <v>576</v>
      </c>
      <c r="B11" t="s">
        <v>194</v>
      </c>
      <c r="C11" t="s">
        <v>681</v>
      </c>
      <c r="D11" t="s">
        <v>681</v>
      </c>
      <c r="E11" t="s">
        <v>788</v>
      </c>
      <c r="F11" t="s">
        <v>154</v>
      </c>
      <c r="G11" t="s">
        <v>155</v>
      </c>
      <c r="H11">
        <v>5.2</v>
      </c>
      <c r="I11">
        <v>18.5</v>
      </c>
      <c r="J11" s="9">
        <v>6</v>
      </c>
      <c r="K11" s="9">
        <v>12</v>
      </c>
      <c r="L11" s="9">
        <v>36</v>
      </c>
      <c r="M11" s="10">
        <v>72</v>
      </c>
      <c r="N11" s="10">
        <v>1</v>
      </c>
      <c r="O11" s="10">
        <v>3</v>
      </c>
      <c r="P11" s="19">
        <v>32</v>
      </c>
      <c r="Q11" s="22" t="s">
        <v>718</v>
      </c>
      <c r="R11">
        <v>2</v>
      </c>
      <c r="S11" s="26">
        <f>VLOOKUP($F11,Munition!$B:$P,10,FALSE)</f>
        <v>20</v>
      </c>
      <c r="T11" s="26">
        <f>VLOOKUP($F11,Munition!$B:$P,11,FALSE)</f>
        <v>408</v>
      </c>
      <c r="U11" s="28">
        <f t="shared" si="0"/>
        <v>400.12491627253473</v>
      </c>
      <c r="V11" s="26">
        <f>VLOOKUP($F11,Munition!$B:$P,5,FALSE)</f>
        <v>38</v>
      </c>
      <c r="W11" s="30">
        <f t="shared" si="4"/>
        <v>3041.8990238199558</v>
      </c>
      <c r="X11" s="26">
        <f>VLOOKUP($F11,Munition!$B:$P,15,FALSE)</f>
        <v>141.36772154838914</v>
      </c>
      <c r="Y11" s="26">
        <f>VLOOKUP($F11,Munition!$B:$P,9,FALSE)</f>
        <v>1</v>
      </c>
      <c r="Z11" s="26">
        <f>VLOOKUP($F11,Munition!$B:$P,14,FALSE)</f>
        <v>9.8784926622870443E-5</v>
      </c>
      <c r="AA11" s="30">
        <f t="shared" si="5"/>
        <v>2.2632964956720856</v>
      </c>
      <c r="AB11" s="30">
        <f t="shared" si="6"/>
        <v>2.1937823113397972</v>
      </c>
      <c r="AC11" s="30">
        <f t="shared" si="7"/>
        <v>2.1264031640354122</v>
      </c>
      <c r="AD11" s="30">
        <f t="shared" si="8"/>
        <v>1.8769552892742285</v>
      </c>
      <c r="AE11" s="30">
        <f t="shared" si="9"/>
        <v>1.5565619284398526</v>
      </c>
      <c r="AF11" s="32" t="str">
        <f t="shared" si="2"/>
        <v>4D6+1</v>
      </c>
      <c r="AG11" s="33" t="str">
        <f t="shared" si="10"/>
        <v>-</v>
      </c>
      <c r="AH11" s="33" t="str">
        <f t="shared" si="11"/>
        <v>-</v>
      </c>
      <c r="AI11" s="33" t="str">
        <f t="shared" si="12"/>
        <v>-</v>
      </c>
      <c r="AJ11" s="33" t="str">
        <f t="shared" si="13"/>
        <v>-</v>
      </c>
      <c r="AK11">
        <v>2005</v>
      </c>
    </row>
    <row r="12" spans="1:37">
      <c r="A12" t="s">
        <v>571</v>
      </c>
      <c r="B12" t="s">
        <v>195</v>
      </c>
      <c r="C12" t="s">
        <v>681</v>
      </c>
      <c r="D12" t="s">
        <v>681</v>
      </c>
      <c r="F12" t="s">
        <v>104</v>
      </c>
      <c r="G12" t="s">
        <v>105</v>
      </c>
      <c r="H12">
        <v>1.8</v>
      </c>
      <c r="I12">
        <v>6.5</v>
      </c>
      <c r="J12" s="9">
        <v>8</v>
      </c>
      <c r="K12" s="9">
        <v>16</v>
      </c>
      <c r="L12" s="9">
        <v>48</v>
      </c>
      <c r="M12" s="10">
        <v>96</v>
      </c>
      <c r="N12" s="10">
        <v>3</v>
      </c>
      <c r="O12" s="10"/>
      <c r="P12" s="18">
        <v>7</v>
      </c>
      <c r="Q12" s="22" t="s">
        <v>701</v>
      </c>
      <c r="R12">
        <v>1</v>
      </c>
      <c r="S12" s="26">
        <f>VLOOKUP($F12,Munition!$B:$P,10,FALSE)</f>
        <v>6</v>
      </c>
      <c r="T12" s="26">
        <f>VLOOKUP($F12,Munition!$B:$P,11,FALSE)</f>
        <v>500</v>
      </c>
      <c r="U12" s="28">
        <f t="shared" si="0"/>
        <v>510.10611634567425</v>
      </c>
      <c r="V12" s="26">
        <f>VLOOKUP($F12,Munition!$B:$P,5,FALSE)</f>
        <v>19</v>
      </c>
      <c r="W12" s="30">
        <f t="shared" si="4"/>
        <v>2471.9783743660323</v>
      </c>
      <c r="X12" s="26">
        <f>VLOOKUP($F12,Munition!$B:$P,15,FALSE)</f>
        <v>209.72739224715636</v>
      </c>
      <c r="Y12" s="26">
        <f>VLOOKUP($F12,Munition!$B:$P,9,FALSE)</f>
        <v>1</v>
      </c>
      <c r="Z12" s="26">
        <f>VLOOKUP($F12,Munition!$B:$P,14,FALSE)</f>
        <v>2.2195479332114362E-5</v>
      </c>
      <c r="AA12" s="30">
        <f t="shared" si="5"/>
        <v>5.4572797699700297</v>
      </c>
      <c r="AB12" s="30">
        <f t="shared" si="6"/>
        <v>5.3562254772830036</v>
      </c>
      <c r="AC12" s="30">
        <f t="shared" si="7"/>
        <v>5.25704244106457</v>
      </c>
      <c r="AD12" s="30">
        <f t="shared" si="8"/>
        <v>4.8783394006247107</v>
      </c>
      <c r="AE12" s="30">
        <f t="shared" si="9"/>
        <v>4.3608164343420039</v>
      </c>
      <c r="AF12" s="32" t="str">
        <f t="shared" si="2"/>
        <v>4D6</v>
      </c>
      <c r="AG12" s="33" t="str">
        <f t="shared" si="10"/>
        <v>-</v>
      </c>
      <c r="AH12" s="33" t="str">
        <f t="shared" si="11"/>
        <v>-</v>
      </c>
      <c r="AI12" s="33" t="str">
        <f t="shared" si="12"/>
        <v>-</v>
      </c>
      <c r="AJ12" s="33" t="str">
        <f t="shared" si="13"/>
        <v>-</v>
      </c>
      <c r="AK12">
        <v>1971</v>
      </c>
    </row>
    <row r="13" spans="1:37">
      <c r="A13" t="s">
        <v>577</v>
      </c>
      <c r="B13" t="s">
        <v>196</v>
      </c>
      <c r="C13" t="s">
        <v>681</v>
      </c>
      <c r="D13" t="s">
        <v>681</v>
      </c>
      <c r="F13" t="s">
        <v>108</v>
      </c>
      <c r="G13" t="s">
        <v>103</v>
      </c>
      <c r="H13">
        <v>4.9000000000000004</v>
      </c>
      <c r="I13">
        <v>10.5</v>
      </c>
      <c r="J13" s="9">
        <v>8</v>
      </c>
      <c r="K13" s="9">
        <v>16</v>
      </c>
      <c r="L13" s="9">
        <v>48</v>
      </c>
      <c r="M13" s="10">
        <v>96</v>
      </c>
      <c r="N13" s="10">
        <v>1</v>
      </c>
      <c r="O13" s="10">
        <v>5</v>
      </c>
      <c r="P13" s="18">
        <v>50</v>
      </c>
      <c r="Q13" s="22">
        <v>62</v>
      </c>
      <c r="R13">
        <v>10</v>
      </c>
      <c r="S13" s="26">
        <f>VLOOKUP($F13,Munition!$B:$P,10,FALSE)</f>
        <v>5</v>
      </c>
      <c r="T13" s="26">
        <f>VLOOKUP($F13,Munition!$B:$P,11,FALSE)</f>
        <v>285</v>
      </c>
      <c r="U13" s="28">
        <f t="shared" si="0"/>
        <v>343.08338289827407</v>
      </c>
      <c r="V13" s="26">
        <f>VLOOKUP($F13,Munition!$B:$P,5,FALSE)</f>
        <v>14.84</v>
      </c>
      <c r="W13" s="30">
        <f t="shared" si="4"/>
        <v>873.38006054725395</v>
      </c>
      <c r="X13" s="26">
        <f>VLOOKUP($F13,Munition!$B:$P,15,FALSE)</f>
        <v>144.62772633198708</v>
      </c>
      <c r="Y13" s="26">
        <f>VLOOKUP($F13,Munition!$B:$P,9,FALSE)</f>
        <v>1</v>
      </c>
      <c r="Z13" s="26">
        <f>VLOOKUP($F13,Munition!$B:$P,14,FALSE)</f>
        <v>2.8281402907565187E-5</v>
      </c>
      <c r="AA13" s="30">
        <f t="shared" si="5"/>
        <v>1.7023581183375007</v>
      </c>
      <c r="AB13" s="30">
        <f t="shared" si="6"/>
        <v>1.6512330960110084</v>
      </c>
      <c r="AC13" s="30">
        <f t="shared" si="7"/>
        <v>1.6016434544482518</v>
      </c>
      <c r="AD13" s="30">
        <f t="shared" si="8"/>
        <v>1.4177370117268775</v>
      </c>
      <c r="AE13" s="30">
        <f t="shared" si="9"/>
        <v>1.1807023520898017</v>
      </c>
      <c r="AF13" s="32" t="str">
        <f t="shared" si="2"/>
        <v>2D6+1</v>
      </c>
      <c r="AG13" s="33" t="str">
        <f t="shared" si="10"/>
        <v>-</v>
      </c>
      <c r="AH13" s="33" t="str">
        <f t="shared" si="11"/>
        <v>-</v>
      </c>
      <c r="AI13" s="33" t="str">
        <f t="shared" si="12"/>
        <v>-</v>
      </c>
      <c r="AJ13" s="33" t="str">
        <f t="shared" si="13"/>
        <v>-</v>
      </c>
      <c r="AK13">
        <v>1928</v>
      </c>
    </row>
    <row r="14" spans="1:37">
      <c r="A14" t="s">
        <v>572</v>
      </c>
      <c r="B14" t="s">
        <v>197</v>
      </c>
      <c r="C14" t="s">
        <v>681</v>
      </c>
      <c r="D14" t="s">
        <v>681</v>
      </c>
      <c r="F14" t="s">
        <v>130</v>
      </c>
      <c r="G14" t="s">
        <v>131</v>
      </c>
      <c r="H14">
        <v>14.1</v>
      </c>
      <c r="I14">
        <v>29</v>
      </c>
      <c r="J14" s="9">
        <v>150</v>
      </c>
      <c r="K14" s="9">
        <v>300</v>
      </c>
      <c r="L14" s="9">
        <v>900</v>
      </c>
      <c r="M14" s="10">
        <v>1800</v>
      </c>
      <c r="N14" s="10">
        <v>2</v>
      </c>
      <c r="O14" s="10"/>
      <c r="P14" s="18">
        <v>10</v>
      </c>
      <c r="Q14" s="22" t="s">
        <v>701</v>
      </c>
      <c r="R14">
        <v>1</v>
      </c>
      <c r="S14" s="26">
        <f>VLOOKUP($F14,Munition!$B:$P,10,FALSE)</f>
        <v>30</v>
      </c>
      <c r="T14" s="26">
        <f>VLOOKUP($F14,Munition!$B:$P,11,FALSE)</f>
        <v>903</v>
      </c>
      <c r="U14" s="28">
        <f t="shared" si="0"/>
        <v>895.37906551622871</v>
      </c>
      <c r="V14" s="26">
        <f>VLOOKUP($F14,Munition!$B:$P,5,FALSE)</f>
        <v>42</v>
      </c>
      <c r="W14" s="30">
        <f t="shared" si="4"/>
        <v>16835.777090259016</v>
      </c>
      <c r="X14" s="26">
        <f>VLOOKUP($F14,Munition!$B:$P,15,FALSE)</f>
        <v>331.55224055351755</v>
      </c>
      <c r="Y14" s="26">
        <f>VLOOKUP($F14,Munition!$B:$P,9,FALSE)</f>
        <v>1</v>
      </c>
      <c r="Z14" s="26">
        <f>VLOOKUP($F14,Munition!$B:$P,14,FALSE)</f>
        <v>2.7156353957881518E-5</v>
      </c>
      <c r="AA14" s="30">
        <f t="shared" si="5"/>
        <v>26.58066483683313</v>
      </c>
      <c r="AB14" s="30">
        <f t="shared" si="6"/>
        <v>21.893944873612099</v>
      </c>
      <c r="AC14" s="30">
        <f t="shared" si="7"/>
        <v>18.033590396299338</v>
      </c>
      <c r="AD14" s="30">
        <f t="shared" si="8"/>
        <v>8.3007039511083658</v>
      </c>
      <c r="AE14" s="30">
        <f t="shared" si="9"/>
        <v>2.5921731644751103</v>
      </c>
      <c r="AF14" s="32" t="str">
        <f t="shared" si="2"/>
        <v>10D6+2</v>
      </c>
      <c r="AG14" s="33" t="str">
        <f t="shared" si="10"/>
        <v>2+2</v>
      </c>
      <c r="AH14" s="33" t="str">
        <f t="shared" si="11"/>
        <v>3+1</v>
      </c>
      <c r="AI14" s="33" t="str">
        <f t="shared" si="12"/>
        <v>4</v>
      </c>
      <c r="AJ14" s="33" t="str">
        <f t="shared" si="13"/>
        <v>9</v>
      </c>
      <c r="AK14">
        <v>1982</v>
      </c>
    </row>
    <row r="15" spans="1:37">
      <c r="A15" t="s">
        <v>572</v>
      </c>
      <c r="B15" t="s">
        <v>198</v>
      </c>
      <c r="C15" t="s">
        <v>681</v>
      </c>
      <c r="D15" t="s">
        <v>681</v>
      </c>
      <c r="F15" t="s">
        <v>130</v>
      </c>
      <c r="G15" t="s">
        <v>131</v>
      </c>
      <c r="H15">
        <v>12.9</v>
      </c>
      <c r="I15">
        <v>29</v>
      </c>
      <c r="J15" s="9">
        <v>150</v>
      </c>
      <c r="K15" s="9">
        <v>300</v>
      </c>
      <c r="L15" s="9">
        <v>900</v>
      </c>
      <c r="M15" s="10">
        <v>1800</v>
      </c>
      <c r="N15" s="10">
        <v>2</v>
      </c>
      <c r="O15" s="10"/>
      <c r="P15" s="18">
        <v>10</v>
      </c>
      <c r="Q15" s="22" t="s">
        <v>701</v>
      </c>
      <c r="R15">
        <v>1</v>
      </c>
      <c r="S15" s="26">
        <f>VLOOKUP($F15,Munition!$B:$P,10,FALSE)</f>
        <v>30</v>
      </c>
      <c r="T15" s="26">
        <f>VLOOKUP($F15,Munition!$B:$P,11,FALSE)</f>
        <v>903</v>
      </c>
      <c r="U15" s="28">
        <f t="shared" si="0"/>
        <v>895.37906551622871</v>
      </c>
      <c r="V15" s="26">
        <f>VLOOKUP($F15,Munition!$B:$P,5,FALSE)</f>
        <v>42</v>
      </c>
      <c r="W15" s="30">
        <f t="shared" si="4"/>
        <v>16835.777090259016</v>
      </c>
      <c r="X15" s="26">
        <f>VLOOKUP($F15,Munition!$B:$P,15,FALSE)</f>
        <v>331.55224055351755</v>
      </c>
      <c r="Y15" s="26">
        <f>VLOOKUP($F15,Munition!$B:$P,9,FALSE)</f>
        <v>1</v>
      </c>
      <c r="Z15" s="26">
        <f>VLOOKUP($F15,Munition!$B:$P,14,FALSE)</f>
        <v>2.7156353957881518E-5</v>
      </c>
      <c r="AA15" s="30">
        <f t="shared" si="5"/>
        <v>26.58066483683313</v>
      </c>
      <c r="AB15" s="30">
        <f t="shared" si="6"/>
        <v>21.893944873612099</v>
      </c>
      <c r="AC15" s="30">
        <f t="shared" si="7"/>
        <v>18.033590396299338</v>
      </c>
      <c r="AD15" s="30">
        <f t="shared" si="8"/>
        <v>8.3007039511083658</v>
      </c>
      <c r="AE15" s="30">
        <f t="shared" si="9"/>
        <v>2.5921731644751103</v>
      </c>
      <c r="AF15" s="32" t="str">
        <f t="shared" si="2"/>
        <v>10D6+2</v>
      </c>
      <c r="AG15" s="33" t="str">
        <f t="shared" si="10"/>
        <v>2+2</v>
      </c>
      <c r="AH15" s="33" t="str">
        <f t="shared" si="11"/>
        <v>3+1</v>
      </c>
      <c r="AI15" s="33" t="str">
        <f t="shared" si="12"/>
        <v>4</v>
      </c>
      <c r="AJ15" s="33" t="str">
        <f t="shared" si="13"/>
        <v>9</v>
      </c>
      <c r="AK15">
        <v>1987</v>
      </c>
    </row>
    <row r="16" spans="1:37">
      <c r="A16" t="s">
        <v>572</v>
      </c>
      <c r="B16" t="s">
        <v>199</v>
      </c>
      <c r="C16" t="s">
        <v>681</v>
      </c>
      <c r="D16" t="s">
        <v>681</v>
      </c>
      <c r="F16" t="s">
        <v>130</v>
      </c>
      <c r="G16" t="s">
        <v>131</v>
      </c>
      <c r="H16">
        <v>10</v>
      </c>
      <c r="I16">
        <v>29</v>
      </c>
      <c r="J16" s="9">
        <v>125</v>
      </c>
      <c r="K16" s="9">
        <v>250</v>
      </c>
      <c r="L16" s="9">
        <v>750</v>
      </c>
      <c r="M16" s="10">
        <v>1500</v>
      </c>
      <c r="N16" s="10">
        <v>2</v>
      </c>
      <c r="O16" s="10"/>
      <c r="P16" s="18">
        <v>5</v>
      </c>
      <c r="Q16" s="22" t="s">
        <v>699</v>
      </c>
      <c r="R16">
        <v>1</v>
      </c>
      <c r="S16" s="26">
        <f>VLOOKUP($F16,Munition!$B:$P,10,FALSE)</f>
        <v>30</v>
      </c>
      <c r="T16" s="26">
        <f>VLOOKUP($F16,Munition!$B:$P,11,FALSE)</f>
        <v>903</v>
      </c>
      <c r="U16" s="28">
        <f t="shared" si="0"/>
        <v>895.37906551622871</v>
      </c>
      <c r="V16" s="26">
        <f>VLOOKUP($F16,Munition!$B:$P,5,FALSE)</f>
        <v>42</v>
      </c>
      <c r="W16" s="30">
        <f t="shared" si="4"/>
        <v>16835.777090259016</v>
      </c>
      <c r="X16" s="26">
        <f>VLOOKUP($F16,Munition!$B:$P,15,FALSE)</f>
        <v>331.55224055351755</v>
      </c>
      <c r="Y16" s="26">
        <f>VLOOKUP($F16,Munition!$B:$P,9,FALSE)</f>
        <v>1</v>
      </c>
      <c r="Z16" s="26">
        <f>VLOOKUP($F16,Munition!$B:$P,14,FALSE)</f>
        <v>2.7156353957881518E-5</v>
      </c>
      <c r="AA16" s="30">
        <f t="shared" si="5"/>
        <v>26.58066483683313</v>
      </c>
      <c r="AB16" s="30">
        <f t="shared" si="6"/>
        <v>22.613319738069549</v>
      </c>
      <c r="AC16" s="30">
        <f t="shared" si="7"/>
        <v>19.238127891653235</v>
      </c>
      <c r="AD16" s="30">
        <f t="shared" si="8"/>
        <v>10.077591357239344</v>
      </c>
      <c r="AE16" s="30">
        <f t="shared" si="9"/>
        <v>3.8207414369401045</v>
      </c>
      <c r="AF16" s="32" t="str">
        <f t="shared" si="2"/>
        <v>10D6+2</v>
      </c>
      <c r="AG16" s="33" t="str">
        <f t="shared" si="10"/>
        <v>2+2</v>
      </c>
      <c r="AH16" s="33" t="str">
        <f t="shared" si="11"/>
        <v>3+1</v>
      </c>
      <c r="AI16" s="33" t="str">
        <f t="shared" si="12"/>
        <v>3+2</v>
      </c>
      <c r="AJ16" s="33" t="str">
        <f t="shared" si="13"/>
        <v>7+1</v>
      </c>
      <c r="AK16">
        <v>1995</v>
      </c>
    </row>
    <row r="17" spans="1:37">
      <c r="A17" t="s">
        <v>576</v>
      </c>
      <c r="B17" t="s">
        <v>200</v>
      </c>
      <c r="C17" t="s">
        <v>681</v>
      </c>
      <c r="D17" t="s">
        <v>681</v>
      </c>
      <c r="F17" t="s">
        <v>154</v>
      </c>
      <c r="G17" t="s">
        <v>155</v>
      </c>
      <c r="H17">
        <v>3.58</v>
      </c>
      <c r="I17">
        <v>20</v>
      </c>
      <c r="J17" s="9">
        <v>8</v>
      </c>
      <c r="K17" s="9">
        <v>16</v>
      </c>
      <c r="L17" s="9">
        <v>48</v>
      </c>
      <c r="M17" s="10">
        <v>96</v>
      </c>
      <c r="N17" s="10">
        <v>2</v>
      </c>
      <c r="O17" s="10"/>
      <c r="P17" s="18">
        <v>5</v>
      </c>
      <c r="Q17" s="22" t="s">
        <v>702</v>
      </c>
      <c r="R17">
        <v>1</v>
      </c>
      <c r="S17" s="26">
        <f>VLOOKUP($F17,Munition!$B:$P,10,FALSE)</f>
        <v>20</v>
      </c>
      <c r="T17" s="26">
        <f>VLOOKUP($F17,Munition!$B:$P,11,FALSE)</f>
        <v>408</v>
      </c>
      <c r="U17" s="28">
        <f t="shared" si="0"/>
        <v>408</v>
      </c>
      <c r="V17" s="26">
        <f>VLOOKUP($F17,Munition!$B:$P,5,FALSE)</f>
        <v>38</v>
      </c>
      <c r="W17" s="30">
        <f t="shared" si="4"/>
        <v>3162.8159999999998</v>
      </c>
      <c r="X17" s="26">
        <f>VLOOKUP($F17,Munition!$B:$P,15,FALSE)</f>
        <v>141.36772154838914</v>
      </c>
      <c r="Y17" s="26">
        <f>VLOOKUP($F17,Munition!$B:$P,9,FALSE)</f>
        <v>1</v>
      </c>
      <c r="Z17" s="26">
        <f>VLOOKUP($F17,Munition!$B:$P,14,FALSE)</f>
        <v>9.8784926622870443E-5</v>
      </c>
      <c r="AA17" s="30">
        <f t="shared" si="5"/>
        <v>2.3532636399831048</v>
      </c>
      <c r="AB17" s="30">
        <f t="shared" si="6"/>
        <v>2.2573904868989088</v>
      </c>
      <c r="AC17" s="30">
        <f t="shared" si="7"/>
        <v>2.1654232546499879</v>
      </c>
      <c r="AD17" s="30">
        <f t="shared" si="8"/>
        <v>1.8335266212232062</v>
      </c>
      <c r="AE17" s="30">
        <f t="shared" si="9"/>
        <v>1.4285776627893347</v>
      </c>
      <c r="AF17" s="32" t="str">
        <f t="shared" si="2"/>
        <v>4D6+2</v>
      </c>
      <c r="AG17" s="33" t="str">
        <f t="shared" si="10"/>
        <v>-</v>
      </c>
      <c r="AH17" s="33" t="str">
        <f t="shared" si="11"/>
        <v>-</v>
      </c>
      <c r="AI17" s="33" t="str">
        <f t="shared" si="12"/>
        <v>-</v>
      </c>
      <c r="AJ17" s="33" t="str">
        <f t="shared" si="13"/>
        <v>-</v>
      </c>
      <c r="AK17">
        <v>2006</v>
      </c>
    </row>
    <row r="18" spans="1:37">
      <c r="A18" t="s">
        <v>573</v>
      </c>
      <c r="B18" t="s">
        <v>201</v>
      </c>
      <c r="C18" t="s">
        <v>681</v>
      </c>
      <c r="D18" t="s">
        <v>681</v>
      </c>
      <c r="F18" t="s">
        <v>154</v>
      </c>
      <c r="G18" t="s">
        <v>155</v>
      </c>
      <c r="H18">
        <v>3.26</v>
      </c>
      <c r="I18">
        <v>20</v>
      </c>
      <c r="J18" s="9">
        <v>8</v>
      </c>
      <c r="K18" s="9">
        <v>16</v>
      </c>
      <c r="L18" s="9">
        <v>48</v>
      </c>
      <c r="M18" s="10">
        <v>96</v>
      </c>
      <c r="N18" s="10">
        <v>2</v>
      </c>
      <c r="O18" s="10"/>
      <c r="P18" s="18">
        <v>7</v>
      </c>
      <c r="Q18" s="22" t="s">
        <v>701</v>
      </c>
      <c r="R18">
        <v>1</v>
      </c>
      <c r="S18" s="26">
        <f>VLOOKUP($F18,Munition!$B:$P,10,FALSE)</f>
        <v>20</v>
      </c>
      <c r="T18" s="26">
        <f>VLOOKUP($F18,Munition!$B:$P,11,FALSE)</f>
        <v>408</v>
      </c>
      <c r="U18" s="28">
        <f t="shared" si="0"/>
        <v>408</v>
      </c>
      <c r="V18" s="26">
        <f>VLOOKUP($F18,Munition!$B:$P,5,FALSE)</f>
        <v>38</v>
      </c>
      <c r="W18" s="30">
        <f t="shared" si="4"/>
        <v>3162.8159999999998</v>
      </c>
      <c r="X18" s="26">
        <f>VLOOKUP($F18,Munition!$B:$P,15,FALSE)</f>
        <v>141.36772154838914</v>
      </c>
      <c r="Y18" s="26">
        <f>VLOOKUP($F18,Munition!$B:$P,9,FALSE)</f>
        <v>1</v>
      </c>
      <c r="Z18" s="26">
        <f>VLOOKUP($F18,Munition!$B:$P,14,FALSE)</f>
        <v>9.8784926622870443E-5</v>
      </c>
      <c r="AA18" s="30">
        <f t="shared" si="5"/>
        <v>2.3532636399831048</v>
      </c>
      <c r="AB18" s="30">
        <f t="shared" si="6"/>
        <v>2.2573904868989088</v>
      </c>
      <c r="AC18" s="30">
        <f t="shared" si="7"/>
        <v>2.1654232546499879</v>
      </c>
      <c r="AD18" s="30">
        <f t="shared" si="8"/>
        <v>1.8335266212232062</v>
      </c>
      <c r="AE18" s="30">
        <f t="shared" si="9"/>
        <v>1.4285776627893347</v>
      </c>
      <c r="AF18" s="32" t="str">
        <f t="shared" si="2"/>
        <v>4D6+2</v>
      </c>
      <c r="AG18" s="33" t="str">
        <f t="shared" si="10"/>
        <v>-</v>
      </c>
      <c r="AH18" s="33" t="str">
        <f t="shared" si="11"/>
        <v>-</v>
      </c>
      <c r="AI18" s="33" t="str">
        <f t="shared" si="12"/>
        <v>-</v>
      </c>
      <c r="AJ18" s="33" t="str">
        <f t="shared" si="13"/>
        <v>-</v>
      </c>
      <c r="AK18">
        <v>1993</v>
      </c>
    </row>
    <row r="19" spans="1:37">
      <c r="A19" t="s">
        <v>576</v>
      </c>
      <c r="B19" t="s">
        <v>202</v>
      </c>
      <c r="C19" t="s">
        <v>681</v>
      </c>
      <c r="D19" t="s">
        <v>681</v>
      </c>
      <c r="F19" t="s">
        <v>154</v>
      </c>
      <c r="G19" t="s">
        <v>155</v>
      </c>
      <c r="H19">
        <v>3.24</v>
      </c>
      <c r="I19">
        <v>19</v>
      </c>
      <c r="J19" s="9">
        <v>8</v>
      </c>
      <c r="K19" s="9">
        <v>16</v>
      </c>
      <c r="L19" s="9">
        <v>48</v>
      </c>
      <c r="M19" s="10">
        <v>96</v>
      </c>
      <c r="N19" s="10">
        <v>2</v>
      </c>
      <c r="O19" s="10"/>
      <c r="P19" s="18">
        <v>8</v>
      </c>
      <c r="Q19" s="22" t="s">
        <v>703</v>
      </c>
      <c r="R19">
        <v>1</v>
      </c>
      <c r="S19" s="26">
        <f>VLOOKUP($F19,Munition!$B:$P,10,FALSE)</f>
        <v>20</v>
      </c>
      <c r="T19" s="26">
        <f>VLOOKUP($F19,Munition!$B:$P,11,FALSE)</f>
        <v>408</v>
      </c>
      <c r="U19" s="28">
        <f t="shared" si="0"/>
        <v>402.801486319785</v>
      </c>
      <c r="V19" s="26">
        <f>VLOOKUP($F19,Munition!$B:$P,5,FALSE)</f>
        <v>38</v>
      </c>
      <c r="W19" s="30">
        <f t="shared" si="4"/>
        <v>3082.7317102471306</v>
      </c>
      <c r="X19" s="26">
        <f>VLOOKUP($F19,Munition!$B:$P,15,FALSE)</f>
        <v>141.36772154838914</v>
      </c>
      <c r="Y19" s="26">
        <f>VLOOKUP($F19,Munition!$B:$P,9,FALSE)</f>
        <v>1</v>
      </c>
      <c r="Z19" s="26">
        <f>VLOOKUP($F19,Munition!$B:$P,14,FALSE)</f>
        <v>9.8784926622870443E-5</v>
      </c>
      <c r="AA19" s="30">
        <f t="shared" si="5"/>
        <v>2.2936776738031885</v>
      </c>
      <c r="AB19" s="30">
        <f t="shared" si="6"/>
        <v>2.2002320831731836</v>
      </c>
      <c r="AC19" s="30">
        <f t="shared" si="7"/>
        <v>2.1105935132540323</v>
      </c>
      <c r="AD19" s="30">
        <f t="shared" si="8"/>
        <v>1.7871006902795037</v>
      </c>
      <c r="AE19" s="30">
        <f t="shared" si="9"/>
        <v>1.3924052684795494</v>
      </c>
      <c r="AF19" s="32" t="str">
        <f t="shared" si="2"/>
        <v>4D6+1</v>
      </c>
      <c r="AG19" s="33" t="str">
        <f t="shared" si="10"/>
        <v>-</v>
      </c>
      <c r="AH19" s="33" t="str">
        <f t="shared" si="11"/>
        <v>-</v>
      </c>
      <c r="AI19" s="33" t="str">
        <f t="shared" si="12"/>
        <v>-</v>
      </c>
      <c r="AJ19" s="33" t="str">
        <f t="shared" si="13"/>
        <v>-</v>
      </c>
      <c r="AK19">
        <v>1989</v>
      </c>
    </row>
    <row r="20" spans="1:37">
      <c r="A20" t="s">
        <v>575</v>
      </c>
      <c r="B20" t="s">
        <v>203</v>
      </c>
      <c r="C20" t="s">
        <v>681</v>
      </c>
      <c r="D20" t="s">
        <v>681</v>
      </c>
      <c r="F20" t="s">
        <v>10</v>
      </c>
      <c r="G20" t="s">
        <v>11</v>
      </c>
      <c r="H20">
        <v>3.5449999999999999</v>
      </c>
      <c r="I20">
        <v>17.7</v>
      </c>
      <c r="J20" s="9">
        <v>66</v>
      </c>
      <c r="K20" s="9">
        <v>132</v>
      </c>
      <c r="L20" s="9">
        <v>396</v>
      </c>
      <c r="M20" s="10">
        <v>792</v>
      </c>
      <c r="N20" s="10">
        <v>2</v>
      </c>
      <c r="O20" s="10">
        <v>5</v>
      </c>
      <c r="P20" s="19">
        <v>30</v>
      </c>
      <c r="Q20" s="22" t="s">
        <v>715</v>
      </c>
      <c r="R20">
        <v>10</v>
      </c>
      <c r="S20" s="26">
        <f>VLOOKUP($F20,Munition!$B:$P,10,FALSE)</f>
        <v>20</v>
      </c>
      <c r="T20" s="26">
        <f>VLOOKUP($F20,Munition!$B:$P,11,FALSE)</f>
        <v>878</v>
      </c>
      <c r="U20" s="28">
        <f t="shared" si="0"/>
        <v>851.58956977117407</v>
      </c>
      <c r="V20" s="26">
        <f>VLOOKUP($F20,Munition!$B:$P,5,FALSE)</f>
        <v>3.56</v>
      </c>
      <c r="W20" s="30">
        <f t="shared" si="4"/>
        <v>1290.864535710635</v>
      </c>
      <c r="X20" s="26">
        <f>VLOOKUP($F20,Munition!$B:$P,15,FALSE)</f>
        <v>146.62584685242678</v>
      </c>
      <c r="Y20" s="26">
        <f>VLOOKUP($F20,Munition!$B:$P,9,FALSE)</f>
        <v>1</v>
      </c>
      <c r="Z20" s="26">
        <f>VLOOKUP($F20,Munition!$B:$P,14,FALSE)</f>
        <v>3.7177960891755132E-6</v>
      </c>
      <c r="AA20" s="30">
        <f t="shared" si="5"/>
        <v>10.633376725861604</v>
      </c>
      <c r="AB20" s="30">
        <f t="shared" si="6"/>
        <v>9.2641020422055664</v>
      </c>
      <c r="AC20" s="30">
        <f t="shared" si="7"/>
        <v>8.0711507605730191</v>
      </c>
      <c r="AD20" s="30">
        <f t="shared" si="8"/>
        <v>4.6501180415156993</v>
      </c>
      <c r="AE20" s="30">
        <f t="shared" si="9"/>
        <v>2.0335588926741126</v>
      </c>
      <c r="AF20" s="32" t="str">
        <f t="shared" si="2"/>
        <v>2D6+2</v>
      </c>
      <c r="AG20" s="33" t="str">
        <f t="shared" si="10"/>
        <v>1+2</v>
      </c>
      <c r="AH20" s="33" t="str">
        <f t="shared" si="11"/>
        <v>2</v>
      </c>
      <c r="AI20" s="33" t="str">
        <f t="shared" si="12"/>
        <v>2+1</v>
      </c>
      <c r="AJ20" s="33" t="str">
        <f t="shared" si="13"/>
        <v>-</v>
      </c>
      <c r="AK20">
        <v>1972</v>
      </c>
    </row>
    <row r="21" spans="1:37">
      <c r="A21" t="s">
        <v>571</v>
      </c>
      <c r="B21" t="s">
        <v>204</v>
      </c>
      <c r="C21" t="s">
        <v>681</v>
      </c>
      <c r="D21" t="s">
        <v>681</v>
      </c>
      <c r="E21" t="s">
        <v>787</v>
      </c>
      <c r="F21" t="s">
        <v>182</v>
      </c>
      <c r="G21" t="s">
        <v>79</v>
      </c>
      <c r="H21">
        <v>0.97499999999999998</v>
      </c>
      <c r="I21">
        <v>4.9000000000000004</v>
      </c>
      <c r="J21" s="9">
        <v>8</v>
      </c>
      <c r="K21" s="9">
        <v>16</v>
      </c>
      <c r="L21" s="9">
        <v>48</v>
      </c>
      <c r="M21" s="10">
        <v>96</v>
      </c>
      <c r="N21" s="10">
        <v>3</v>
      </c>
      <c r="O21" s="10"/>
      <c r="P21" s="18">
        <v>15</v>
      </c>
      <c r="Q21" s="22" t="s">
        <v>701</v>
      </c>
      <c r="R21">
        <v>1</v>
      </c>
      <c r="S21" s="26">
        <f>VLOOKUP($F21,Munition!$B:$P,10,FALSE)</f>
        <v>4.5</v>
      </c>
      <c r="T21" s="26">
        <f>VLOOKUP($F21,Munition!$B:$P,11,FALSE)</f>
        <v>450</v>
      </c>
      <c r="U21" s="28">
        <f t="shared" si="0"/>
        <v>459.68296017334609</v>
      </c>
      <c r="V21" s="26">
        <f>VLOOKUP($F21,Munition!$B:$P,5,FALSE)</f>
        <v>6.75</v>
      </c>
      <c r="W21" s="30">
        <f t="shared" si="4"/>
        <v>713.16593057383909</v>
      </c>
      <c r="X21" s="26">
        <f>VLOOKUP($F21,Munition!$B:$P,15,FALSE)</f>
        <v>106.1032953945969</v>
      </c>
      <c r="Y21" s="26">
        <f>VLOOKUP($F21,Munition!$B:$P,9,FALSE)</f>
        <v>1</v>
      </c>
      <c r="Z21" s="26">
        <f>VLOOKUP($F21,Munition!$B:$P,14,FALSE)</f>
        <v>1.5586226552622361E-5</v>
      </c>
      <c r="AA21" s="30">
        <f t="shared" si="5"/>
        <v>2.2420520117641072</v>
      </c>
      <c r="AB21" s="30">
        <f t="shared" si="6"/>
        <v>2.1607305748332468</v>
      </c>
      <c r="AC21" s="30">
        <f t="shared" si="7"/>
        <v>2.0823587465955833</v>
      </c>
      <c r="AD21" s="30">
        <f t="shared" si="8"/>
        <v>1.7962851837749727</v>
      </c>
      <c r="AE21" s="30">
        <f t="shared" si="9"/>
        <v>1.4391461235150733</v>
      </c>
      <c r="AF21" s="32" t="str">
        <f t="shared" si="2"/>
        <v>2D6</v>
      </c>
      <c r="AG21" s="33" t="str">
        <f t="shared" si="10"/>
        <v>-</v>
      </c>
      <c r="AH21" s="33" t="str">
        <f t="shared" si="11"/>
        <v>-</v>
      </c>
      <c r="AI21" s="33" t="str">
        <f t="shared" si="12"/>
        <v>-</v>
      </c>
      <c r="AJ21" s="33" t="str">
        <f t="shared" si="13"/>
        <v>-</v>
      </c>
      <c r="AK21">
        <v>1976</v>
      </c>
    </row>
    <row r="22" spans="1:37">
      <c r="A22" t="s">
        <v>577</v>
      </c>
      <c r="B22" t="s">
        <v>205</v>
      </c>
      <c r="C22" t="s">
        <v>681</v>
      </c>
      <c r="D22" t="s">
        <v>681</v>
      </c>
      <c r="E22" t="s">
        <v>786</v>
      </c>
      <c r="F22" t="s">
        <v>182</v>
      </c>
      <c r="G22" t="s">
        <v>79</v>
      </c>
      <c r="H22">
        <v>1.17</v>
      </c>
      <c r="I22">
        <v>4.9000000000000004</v>
      </c>
      <c r="J22" s="9">
        <v>5</v>
      </c>
      <c r="K22" s="9">
        <v>10</v>
      </c>
      <c r="L22" s="9">
        <v>30</v>
      </c>
      <c r="M22" s="10">
        <v>60</v>
      </c>
      <c r="N22" s="10">
        <v>2</v>
      </c>
      <c r="O22" s="10">
        <v>3</v>
      </c>
      <c r="P22" s="19">
        <v>20</v>
      </c>
      <c r="Q22" s="22" t="s">
        <v>717</v>
      </c>
      <c r="R22">
        <v>3</v>
      </c>
      <c r="S22" s="26">
        <f>VLOOKUP($F22,Munition!$B:$P,10,FALSE)</f>
        <v>4.5</v>
      </c>
      <c r="T22" s="26">
        <f>VLOOKUP($F22,Munition!$B:$P,11,FALSE)</f>
        <v>450</v>
      </c>
      <c r="U22" s="28">
        <f t="shared" si="0"/>
        <v>459.68296017334609</v>
      </c>
      <c r="V22" s="26">
        <f>VLOOKUP($F22,Munition!$B:$P,5,FALSE)</f>
        <v>6.75</v>
      </c>
      <c r="W22" s="30">
        <f t="shared" si="4"/>
        <v>713.16593057383909</v>
      </c>
      <c r="X22" s="26">
        <f>VLOOKUP($F22,Munition!$B:$P,15,FALSE)</f>
        <v>106.1032953945969</v>
      </c>
      <c r="Y22" s="26">
        <f>VLOOKUP($F22,Munition!$B:$P,9,FALSE)</f>
        <v>1</v>
      </c>
      <c r="Z22" s="26">
        <f>VLOOKUP($F22,Munition!$B:$P,14,FALSE)</f>
        <v>1.5586226552622361E-5</v>
      </c>
      <c r="AA22" s="30">
        <f t="shared" si="5"/>
        <v>2.2420520117641072</v>
      </c>
      <c r="AB22" s="30">
        <f t="shared" si="6"/>
        <v>2.1908745832739327</v>
      </c>
      <c r="AC22" s="30">
        <f t="shared" si="7"/>
        <v>2.140865338738958</v>
      </c>
      <c r="AD22" s="30">
        <f t="shared" si="8"/>
        <v>1.951985944071402</v>
      </c>
      <c r="AE22" s="30">
        <f t="shared" si="9"/>
        <v>1.6994472500458699</v>
      </c>
      <c r="AF22" s="32" t="str">
        <f t="shared" si="2"/>
        <v>2D6</v>
      </c>
      <c r="AG22" s="33" t="str">
        <f t="shared" si="10"/>
        <v>-</v>
      </c>
      <c r="AH22" s="33" t="str">
        <f t="shared" si="11"/>
        <v>-</v>
      </c>
      <c r="AI22" s="33" t="str">
        <f t="shared" si="12"/>
        <v>-</v>
      </c>
      <c r="AJ22" s="33" t="str">
        <f t="shared" si="13"/>
        <v>-</v>
      </c>
      <c r="AK22">
        <v>1979</v>
      </c>
    </row>
    <row r="23" spans="1:37">
      <c r="A23" t="s">
        <v>577</v>
      </c>
      <c r="B23" t="s">
        <v>206</v>
      </c>
      <c r="C23" t="s">
        <v>681</v>
      </c>
      <c r="D23" t="s">
        <v>681</v>
      </c>
      <c r="F23" t="s">
        <v>182</v>
      </c>
      <c r="G23" t="s">
        <v>79</v>
      </c>
      <c r="H23">
        <v>1.43</v>
      </c>
      <c r="I23">
        <v>4.9000000000000004</v>
      </c>
      <c r="J23" s="9">
        <v>8</v>
      </c>
      <c r="K23" s="9">
        <v>16</v>
      </c>
      <c r="L23" s="9">
        <v>48</v>
      </c>
      <c r="M23" s="10">
        <v>96</v>
      </c>
      <c r="N23" s="10">
        <v>2</v>
      </c>
      <c r="O23" s="10">
        <v>3</v>
      </c>
      <c r="P23" s="19">
        <v>20</v>
      </c>
      <c r="Q23" s="22" t="s">
        <v>717</v>
      </c>
      <c r="R23">
        <v>3</v>
      </c>
      <c r="S23" s="26">
        <f>VLOOKUP($F23,Munition!$B:$P,10,FALSE)</f>
        <v>4.5</v>
      </c>
      <c r="T23" s="26">
        <f>VLOOKUP($F23,Munition!$B:$P,11,FALSE)</f>
        <v>450</v>
      </c>
      <c r="U23" s="28">
        <f t="shared" si="0"/>
        <v>459.68296017334609</v>
      </c>
      <c r="V23" s="26">
        <f>VLOOKUP($F23,Munition!$B:$P,5,FALSE)</f>
        <v>6.75</v>
      </c>
      <c r="W23" s="30">
        <f t="shared" si="4"/>
        <v>713.16593057383909</v>
      </c>
      <c r="X23" s="26">
        <f>VLOOKUP($F23,Munition!$B:$P,15,FALSE)</f>
        <v>106.1032953945969</v>
      </c>
      <c r="Y23" s="26">
        <f>VLOOKUP($F23,Munition!$B:$P,9,FALSE)</f>
        <v>1</v>
      </c>
      <c r="Z23" s="26">
        <f>VLOOKUP($F23,Munition!$B:$P,14,FALSE)</f>
        <v>1.5586226552622361E-5</v>
      </c>
      <c r="AA23" s="30">
        <f t="shared" si="5"/>
        <v>2.2420520117641072</v>
      </c>
      <c r="AB23" s="30">
        <f t="shared" si="6"/>
        <v>2.1607305748332468</v>
      </c>
      <c r="AC23" s="30">
        <f t="shared" si="7"/>
        <v>2.0823587465955833</v>
      </c>
      <c r="AD23" s="30">
        <f t="shared" si="8"/>
        <v>1.7962851837749727</v>
      </c>
      <c r="AE23" s="30">
        <f t="shared" si="9"/>
        <v>1.4391461235150733</v>
      </c>
      <c r="AF23" s="32" t="str">
        <f t="shared" si="2"/>
        <v>2D6</v>
      </c>
      <c r="AG23" s="33" t="str">
        <f t="shared" si="10"/>
        <v>-</v>
      </c>
      <c r="AH23" s="33" t="str">
        <f t="shared" si="11"/>
        <v>-</v>
      </c>
      <c r="AI23" s="33" t="str">
        <f t="shared" si="12"/>
        <v>-</v>
      </c>
      <c r="AJ23" s="33" t="str">
        <f t="shared" si="13"/>
        <v>-</v>
      </c>
      <c r="AK23">
        <v>1979</v>
      </c>
    </row>
    <row r="24" spans="1:37">
      <c r="A24" t="s">
        <v>571</v>
      </c>
      <c r="B24" t="s">
        <v>207</v>
      </c>
      <c r="C24" t="s">
        <v>681</v>
      </c>
      <c r="D24" t="s">
        <v>681</v>
      </c>
      <c r="F24" t="s">
        <v>106</v>
      </c>
      <c r="G24" t="s">
        <v>208</v>
      </c>
      <c r="H24">
        <v>1.135</v>
      </c>
      <c r="I24">
        <v>4.9000000000000004</v>
      </c>
      <c r="J24" s="9">
        <v>8</v>
      </c>
      <c r="K24" s="9">
        <v>16</v>
      </c>
      <c r="L24" s="9">
        <v>48</v>
      </c>
      <c r="M24" s="10">
        <v>96</v>
      </c>
      <c r="N24" s="10">
        <v>2</v>
      </c>
      <c r="O24" s="10"/>
      <c r="P24" s="18">
        <v>11</v>
      </c>
      <c r="Q24" s="22" t="s">
        <v>701</v>
      </c>
      <c r="R24">
        <v>1</v>
      </c>
      <c r="S24" s="26">
        <f>VLOOKUP($F24,Munition!$B:$P,10,FALSE)</f>
        <v>4.2</v>
      </c>
      <c r="T24" s="26">
        <f>VLOOKUP($F24,Munition!$B:$P,11,FALSE)</f>
        <v>340</v>
      </c>
      <c r="U24" s="28">
        <f t="shared" si="0"/>
        <v>353.35855839264002</v>
      </c>
      <c r="V24" s="26">
        <f>VLOOKUP($F24,Munition!$B:$P,5,FALSE)</f>
        <v>11.7</v>
      </c>
      <c r="W24" s="30">
        <f t="shared" si="4"/>
        <v>730.44428411754996</v>
      </c>
      <c r="X24" s="26">
        <f>VLOOKUP($F24,Munition!$B:$P,15,FALSE)</f>
        <v>148.96902673401402</v>
      </c>
      <c r="Y24" s="26">
        <f>VLOOKUP($F24,Munition!$B:$P,9,FALSE)</f>
        <v>1</v>
      </c>
      <c r="Z24" s="26">
        <f>VLOOKUP($F24,Munition!$B:$P,14,FALSE)</f>
        <v>1.9242255003237486E-5</v>
      </c>
      <c r="AA24" s="30">
        <f t="shared" si="5"/>
        <v>1.8600610955284624</v>
      </c>
      <c r="AB24" s="30">
        <f t="shared" si="6"/>
        <v>1.8117534610989312</v>
      </c>
      <c r="AC24" s="30">
        <f t="shared" si="7"/>
        <v>1.7647004239241826</v>
      </c>
      <c r="AD24" s="30">
        <f t="shared" si="8"/>
        <v>1.588395146987442</v>
      </c>
      <c r="AE24" s="30">
        <f t="shared" si="9"/>
        <v>1.3564065981695339</v>
      </c>
      <c r="AF24" s="32" t="str">
        <f t="shared" si="2"/>
        <v>2D6</v>
      </c>
      <c r="AG24" s="33" t="str">
        <f t="shared" si="10"/>
        <v>-</v>
      </c>
      <c r="AH24" s="33" t="str">
        <f t="shared" si="11"/>
        <v>-</v>
      </c>
      <c r="AI24" s="33" t="str">
        <f t="shared" si="12"/>
        <v>-</v>
      </c>
      <c r="AJ24" s="33" t="str">
        <f t="shared" si="13"/>
        <v>-</v>
      </c>
      <c r="AK24">
        <v>1992</v>
      </c>
    </row>
    <row r="25" spans="1:37">
      <c r="A25" t="s">
        <v>575</v>
      </c>
      <c r="B25" t="s">
        <v>209</v>
      </c>
      <c r="C25" t="s">
        <v>681</v>
      </c>
      <c r="D25" t="s">
        <v>681</v>
      </c>
      <c r="F25" t="s">
        <v>10</v>
      </c>
      <c r="G25" t="s">
        <v>11</v>
      </c>
      <c r="H25">
        <v>3.08</v>
      </c>
      <c r="I25">
        <v>16</v>
      </c>
      <c r="J25" s="9">
        <v>50</v>
      </c>
      <c r="K25" s="9">
        <v>100</v>
      </c>
      <c r="L25" s="9">
        <v>300</v>
      </c>
      <c r="M25" s="10">
        <v>600</v>
      </c>
      <c r="N25" s="10">
        <v>2</v>
      </c>
      <c r="O25" s="10">
        <v>3</v>
      </c>
      <c r="P25" s="19">
        <v>30</v>
      </c>
      <c r="Q25" s="22" t="s">
        <v>719</v>
      </c>
      <c r="R25">
        <v>3</v>
      </c>
      <c r="S25" s="26">
        <f>VLOOKUP($F25,Munition!$B:$P,10,FALSE)</f>
        <v>20</v>
      </c>
      <c r="T25" s="26">
        <f>VLOOKUP($F25,Munition!$B:$P,11,FALSE)</f>
        <v>878</v>
      </c>
      <c r="U25" s="28">
        <f t="shared" si="0"/>
        <v>830.36113270478836</v>
      </c>
      <c r="V25" s="26">
        <f>VLOOKUP($F25,Munition!$B:$P,5,FALSE)</f>
        <v>3.56</v>
      </c>
      <c r="W25" s="30">
        <f t="shared" si="4"/>
        <v>1227.3093070580669</v>
      </c>
      <c r="X25" s="26">
        <f>VLOOKUP($F25,Munition!$B:$P,15,FALSE)</f>
        <v>146.62584685242678</v>
      </c>
      <c r="Y25" s="26">
        <f>VLOOKUP($F25,Munition!$B:$P,9,FALSE)</f>
        <v>1</v>
      </c>
      <c r="Z25" s="26">
        <f>VLOOKUP($F25,Munition!$B:$P,14,FALSE)</f>
        <v>3.7177960891755132E-6</v>
      </c>
      <c r="AA25" s="30">
        <f t="shared" si="5"/>
        <v>10.109846432430007</v>
      </c>
      <c r="AB25" s="30">
        <f t="shared" si="6"/>
        <v>9.1073098276474873</v>
      </c>
      <c r="AC25" s="30">
        <f t="shared" si="7"/>
        <v>8.2041891388876671</v>
      </c>
      <c r="AD25" s="30">
        <f t="shared" si="8"/>
        <v>5.4027873523391472</v>
      </c>
      <c r="AE25" s="30">
        <f t="shared" si="9"/>
        <v>2.887295209644416</v>
      </c>
      <c r="AF25" s="32" t="str">
        <f t="shared" si="2"/>
        <v>2D6+2</v>
      </c>
      <c r="AG25" s="33" t="str">
        <f t="shared" si="10"/>
        <v>2</v>
      </c>
      <c r="AH25" s="33" t="str">
        <f t="shared" si="11"/>
        <v>2</v>
      </c>
      <c r="AI25" s="33" t="str">
        <f t="shared" si="12"/>
        <v>2+1</v>
      </c>
      <c r="AJ25" s="33" t="str">
        <f t="shared" si="13"/>
        <v>-</v>
      </c>
      <c r="AK25">
        <v>2012</v>
      </c>
    </row>
    <row r="26" spans="1:37">
      <c r="A26" t="s">
        <v>574</v>
      </c>
      <c r="B26" t="s">
        <v>210</v>
      </c>
      <c r="C26" t="s">
        <v>681</v>
      </c>
      <c r="D26" t="s">
        <v>681</v>
      </c>
      <c r="F26" t="s">
        <v>10</v>
      </c>
      <c r="G26" t="s">
        <v>11</v>
      </c>
      <c r="H26">
        <v>5.34</v>
      </c>
      <c r="I26">
        <v>17.7</v>
      </c>
      <c r="J26" s="9">
        <v>50</v>
      </c>
      <c r="K26" s="9">
        <v>100</v>
      </c>
      <c r="L26" s="9">
        <v>300</v>
      </c>
      <c r="M26" s="10">
        <v>600</v>
      </c>
      <c r="N26" s="10">
        <v>1</v>
      </c>
      <c r="O26" s="10">
        <v>5</v>
      </c>
      <c r="P26" s="19">
        <v>30</v>
      </c>
      <c r="Q26" s="22" t="s">
        <v>715</v>
      </c>
      <c r="R26">
        <v>10</v>
      </c>
      <c r="S26" s="26">
        <f>VLOOKUP($F26,Munition!$B:$P,10,FALSE)</f>
        <v>20</v>
      </c>
      <c r="T26" s="26">
        <f>VLOOKUP($F26,Munition!$B:$P,11,FALSE)</f>
        <v>878</v>
      </c>
      <c r="U26" s="28">
        <f t="shared" si="0"/>
        <v>851.58956977117407</v>
      </c>
      <c r="V26" s="26">
        <f>VLOOKUP($F26,Munition!$B:$P,5,FALSE)</f>
        <v>3.56</v>
      </c>
      <c r="W26" s="30">
        <f t="shared" si="4"/>
        <v>1290.864535710635</v>
      </c>
      <c r="X26" s="26">
        <f>VLOOKUP($F26,Munition!$B:$P,15,FALSE)</f>
        <v>146.62584685242678</v>
      </c>
      <c r="Y26" s="26">
        <f>VLOOKUP($F26,Munition!$B:$P,9,FALSE)</f>
        <v>1</v>
      </c>
      <c r="Z26" s="26">
        <f>VLOOKUP($F26,Munition!$B:$P,14,FALSE)</f>
        <v>3.7177960891755132E-6</v>
      </c>
      <c r="AA26" s="30">
        <f t="shared" si="5"/>
        <v>10.633376725861604</v>
      </c>
      <c r="AB26" s="30">
        <f t="shared" si="6"/>
        <v>9.5789245666356369</v>
      </c>
      <c r="AC26" s="30">
        <f t="shared" si="7"/>
        <v>8.6290364969516222</v>
      </c>
      <c r="AD26" s="30">
        <f t="shared" si="8"/>
        <v>5.6825663644955924</v>
      </c>
      <c r="AE26" s="30">
        <f t="shared" si="9"/>
        <v>3.0368114776146173</v>
      </c>
      <c r="AF26" s="32" t="str">
        <f t="shared" si="2"/>
        <v>2D6+2</v>
      </c>
      <c r="AG26" s="33" t="str">
        <f t="shared" si="10"/>
        <v>1+2</v>
      </c>
      <c r="AH26" s="33" t="str">
        <f t="shared" si="11"/>
        <v>2</v>
      </c>
      <c r="AI26" s="33" t="str">
        <f t="shared" si="12"/>
        <v>2+1</v>
      </c>
      <c r="AJ26" s="33" t="str">
        <f t="shared" si="13"/>
        <v>-</v>
      </c>
      <c r="AK26">
        <v>1990</v>
      </c>
    </row>
    <row r="27" spans="1:37">
      <c r="A27" t="s">
        <v>575</v>
      </c>
      <c r="B27" t="s">
        <v>211</v>
      </c>
      <c r="C27" t="s">
        <v>681</v>
      </c>
      <c r="D27" t="s">
        <v>681</v>
      </c>
      <c r="F27" t="s">
        <v>51</v>
      </c>
      <c r="G27" t="s">
        <v>52</v>
      </c>
      <c r="H27">
        <v>4.5999999999999996</v>
      </c>
      <c r="I27">
        <v>19.3</v>
      </c>
      <c r="J27" s="9">
        <v>50</v>
      </c>
      <c r="K27" s="9">
        <v>100</v>
      </c>
      <c r="L27" s="9">
        <v>300</v>
      </c>
      <c r="M27" s="10">
        <v>600</v>
      </c>
      <c r="N27" s="10">
        <v>2</v>
      </c>
      <c r="O27" s="10">
        <v>3</v>
      </c>
      <c r="P27" s="19">
        <v>20</v>
      </c>
      <c r="Q27" s="22" t="s">
        <v>719</v>
      </c>
      <c r="R27">
        <v>3</v>
      </c>
      <c r="S27" s="26">
        <f>VLOOKUP($F27,Munition!$B:$P,10,FALSE)</f>
        <v>22</v>
      </c>
      <c r="T27" s="26">
        <f>VLOOKUP($F27,Munition!$B:$P,11,FALSE)</f>
        <v>832</v>
      </c>
      <c r="U27" s="28">
        <f t="shared" si="0"/>
        <v>805.20596469706209</v>
      </c>
      <c r="V27" s="26">
        <f>VLOOKUP($F27,Munition!$B:$P,5,FALSE)</f>
        <v>9.4499999999999993</v>
      </c>
      <c r="W27" s="30">
        <f t="shared" si="4"/>
        <v>3063.4851503831069</v>
      </c>
      <c r="X27" s="26">
        <f>VLOOKUP($F27,Munition!$B:$P,15,FALSE)</f>
        <v>207.22015034594844</v>
      </c>
      <c r="Y27" s="26">
        <f>VLOOKUP($F27,Munition!$B:$P,9,FALSE)</f>
        <v>1</v>
      </c>
      <c r="Z27" s="26">
        <f>VLOOKUP($F27,Munition!$B:$P,14,FALSE)</f>
        <v>6.9830624463123905E-6</v>
      </c>
      <c r="AA27" s="30">
        <f t="shared" si="5"/>
        <v>13.435256157565457</v>
      </c>
      <c r="AB27" s="30">
        <f t="shared" si="6"/>
        <v>12.478254228503513</v>
      </c>
      <c r="AC27" s="30">
        <f t="shared" si="7"/>
        <v>11.589420161779838</v>
      </c>
      <c r="AD27" s="30">
        <f t="shared" si="8"/>
        <v>8.6236916970329851</v>
      </c>
      <c r="AE27" s="30">
        <f t="shared" si="9"/>
        <v>5.5352914461253961</v>
      </c>
      <c r="AF27" s="32" t="str">
        <f t="shared" si="2"/>
        <v>4D6+1</v>
      </c>
      <c r="AG27" s="33" t="str">
        <f t="shared" si="10"/>
        <v>2+1</v>
      </c>
      <c r="AH27" s="33" t="str">
        <f t="shared" si="11"/>
        <v>2+1</v>
      </c>
      <c r="AI27" s="33" t="str">
        <f t="shared" si="12"/>
        <v>2+2</v>
      </c>
      <c r="AJ27" s="33" t="str">
        <f t="shared" si="13"/>
        <v>3+2</v>
      </c>
      <c r="AK27">
        <v>1961</v>
      </c>
    </row>
    <row r="28" spans="1:37">
      <c r="A28" t="s">
        <v>577</v>
      </c>
      <c r="B28" t="s">
        <v>212</v>
      </c>
      <c r="C28" t="s">
        <v>681</v>
      </c>
      <c r="D28" t="s">
        <v>681</v>
      </c>
      <c r="E28" t="s">
        <v>785</v>
      </c>
      <c r="F28" t="s">
        <v>182</v>
      </c>
      <c r="G28" t="s">
        <v>79</v>
      </c>
      <c r="H28">
        <v>2.57</v>
      </c>
      <c r="I28">
        <v>16.600000000000001</v>
      </c>
      <c r="J28" s="9">
        <v>16</v>
      </c>
      <c r="K28" s="9">
        <v>32</v>
      </c>
      <c r="L28" s="9">
        <v>96</v>
      </c>
      <c r="M28" s="10">
        <v>192</v>
      </c>
      <c r="N28" s="10">
        <v>1</v>
      </c>
      <c r="O28" s="10"/>
      <c r="P28" s="18">
        <v>20</v>
      </c>
      <c r="Q28" s="22" t="s">
        <v>701</v>
      </c>
      <c r="R28">
        <v>1</v>
      </c>
      <c r="S28" s="26">
        <f>VLOOKUP($F28,Munition!$B:$P,10,FALSE)</f>
        <v>4.5</v>
      </c>
      <c r="T28" s="26">
        <f>VLOOKUP($F28,Munition!$B:$P,11,FALSE)</f>
        <v>450</v>
      </c>
      <c r="U28" s="28">
        <f t="shared" si="0"/>
        <v>623.64351023158599</v>
      </c>
      <c r="V28" s="26">
        <f>VLOOKUP($F28,Munition!$B:$P,5,FALSE)</f>
        <v>6.75</v>
      </c>
      <c r="W28" s="30">
        <f t="shared" si="4"/>
        <v>1312.6428940071632</v>
      </c>
      <c r="X28" s="26">
        <f>VLOOKUP($F28,Munition!$B:$P,15,FALSE)</f>
        <v>106.1032953945969</v>
      </c>
      <c r="Y28" s="26">
        <f>VLOOKUP($F28,Munition!$B:$P,9,FALSE)</f>
        <v>1</v>
      </c>
      <c r="Z28" s="26">
        <f>VLOOKUP($F28,Munition!$B:$P,14,FALSE)</f>
        <v>1.5586226552622361E-5</v>
      </c>
      <c r="AA28" s="30">
        <f t="shared" si="5"/>
        <v>4.1266884957173504</v>
      </c>
      <c r="AB28" s="30">
        <f t="shared" si="6"/>
        <v>3.8327593822281556</v>
      </c>
      <c r="AC28" s="30">
        <f t="shared" si="7"/>
        <v>3.5597657776454863</v>
      </c>
      <c r="AD28" s="30">
        <f t="shared" si="8"/>
        <v>2.6488715339359952</v>
      </c>
      <c r="AE28" s="30">
        <f t="shared" si="9"/>
        <v>1.7002786642554018</v>
      </c>
      <c r="AF28" s="32" t="str">
        <f t="shared" si="2"/>
        <v>3D6</v>
      </c>
      <c r="AG28" s="33" t="str">
        <f t="shared" si="10"/>
        <v>-</v>
      </c>
      <c r="AH28" s="33" t="str">
        <f t="shared" si="11"/>
        <v>-</v>
      </c>
      <c r="AI28" s="33" t="str">
        <f t="shared" si="12"/>
        <v>-</v>
      </c>
      <c r="AJ28" s="33" t="str">
        <f t="shared" si="13"/>
        <v>-</v>
      </c>
      <c r="AK28">
        <v>2003</v>
      </c>
    </row>
    <row r="29" spans="1:37">
      <c r="A29" t="s">
        <v>577</v>
      </c>
      <c r="B29" t="s">
        <v>213</v>
      </c>
      <c r="C29" t="s">
        <v>681</v>
      </c>
      <c r="D29" t="s">
        <v>681</v>
      </c>
      <c r="E29" t="s">
        <v>784</v>
      </c>
      <c r="F29" t="s">
        <v>182</v>
      </c>
      <c r="G29" t="s">
        <v>79</v>
      </c>
      <c r="H29">
        <v>3.24</v>
      </c>
      <c r="I29">
        <v>7.9</v>
      </c>
      <c r="J29" s="9">
        <v>15</v>
      </c>
      <c r="K29" s="9">
        <v>30</v>
      </c>
      <c r="L29" s="9">
        <v>90</v>
      </c>
      <c r="M29" s="10">
        <v>180</v>
      </c>
      <c r="N29" s="10">
        <v>1</v>
      </c>
      <c r="O29" s="10">
        <v>3</v>
      </c>
      <c r="P29" s="19">
        <v>32</v>
      </c>
      <c r="Q29" s="22" t="s">
        <v>720</v>
      </c>
      <c r="R29">
        <v>9</v>
      </c>
      <c r="S29" s="26">
        <f>VLOOKUP($F29,Munition!$B:$P,10,FALSE)</f>
        <v>4.5</v>
      </c>
      <c r="T29" s="26">
        <f>VLOOKUP($F29,Munition!$B:$P,11,FALSE)</f>
        <v>450</v>
      </c>
      <c r="U29" s="28">
        <f t="shared" si="0"/>
        <v>517.98377710479429</v>
      </c>
      <c r="V29" s="26">
        <f>VLOOKUP($F29,Munition!$B:$P,5,FALSE)</f>
        <v>6.75</v>
      </c>
      <c r="W29" s="30">
        <f t="shared" si="4"/>
        <v>905.53677753515353</v>
      </c>
      <c r="X29" s="26">
        <f>VLOOKUP($F29,Munition!$B:$P,15,FALSE)</f>
        <v>106.1032953945969</v>
      </c>
      <c r="Y29" s="26">
        <f>VLOOKUP($F29,Munition!$B:$P,9,FALSE)</f>
        <v>1</v>
      </c>
      <c r="Z29" s="26">
        <f>VLOOKUP($F29,Munition!$B:$P,14,FALSE)</f>
        <v>1.5586226552622361E-5</v>
      </c>
      <c r="AA29" s="30">
        <f t="shared" si="5"/>
        <v>2.8468277391847043</v>
      </c>
      <c r="AB29" s="30">
        <f t="shared" si="6"/>
        <v>2.6562973578564528</v>
      </c>
      <c r="AC29" s="30">
        <f t="shared" si="7"/>
        <v>2.4785186529677055</v>
      </c>
      <c r="AD29" s="30">
        <f t="shared" si="8"/>
        <v>1.8786859925069965</v>
      </c>
      <c r="AE29" s="30">
        <f t="shared" si="9"/>
        <v>1.2397873639705335</v>
      </c>
      <c r="AF29" s="32" t="str">
        <f t="shared" si="2"/>
        <v>2D6+1</v>
      </c>
      <c r="AG29" s="33" t="str">
        <f t="shared" si="10"/>
        <v>-</v>
      </c>
      <c r="AH29" s="33" t="str">
        <f t="shared" si="11"/>
        <v>-</v>
      </c>
      <c r="AI29" s="33" t="str">
        <f t="shared" si="12"/>
        <v>-</v>
      </c>
      <c r="AJ29" s="33" t="str">
        <f t="shared" si="13"/>
        <v>-</v>
      </c>
      <c r="AK29">
        <v>1959</v>
      </c>
    </row>
    <row r="30" spans="1:37">
      <c r="A30" t="s">
        <v>577</v>
      </c>
      <c r="B30" t="s">
        <v>214</v>
      </c>
      <c r="C30" t="s">
        <v>681</v>
      </c>
      <c r="D30" t="s">
        <v>681</v>
      </c>
      <c r="F30" t="s">
        <v>182</v>
      </c>
      <c r="G30" t="s">
        <v>79</v>
      </c>
      <c r="H30">
        <v>3.3</v>
      </c>
      <c r="I30">
        <v>12</v>
      </c>
      <c r="J30" s="9">
        <v>8</v>
      </c>
      <c r="K30" s="9">
        <v>16</v>
      </c>
      <c r="L30" s="9">
        <v>48</v>
      </c>
      <c r="M30" s="10">
        <v>96</v>
      </c>
      <c r="N30" s="10">
        <v>1</v>
      </c>
      <c r="O30" s="10">
        <v>3</v>
      </c>
      <c r="P30" s="19">
        <v>25</v>
      </c>
      <c r="Q30" s="22" t="s">
        <v>695</v>
      </c>
      <c r="R30">
        <v>10</v>
      </c>
      <c r="S30" s="26">
        <f>VLOOKUP($F30,Munition!$B:$P,10,FALSE)</f>
        <v>4.5</v>
      </c>
      <c r="T30" s="26">
        <f>VLOOKUP($F30,Munition!$B:$P,11,FALSE)</f>
        <v>450</v>
      </c>
      <c r="U30" s="28">
        <f t="shared" si="0"/>
        <v>575.04879382164518</v>
      </c>
      <c r="V30" s="26">
        <f>VLOOKUP($F30,Munition!$B:$P,5,FALSE)</f>
        <v>6.75</v>
      </c>
      <c r="W30" s="30">
        <f t="shared" si="4"/>
        <v>1116.0487640555853</v>
      </c>
      <c r="X30" s="26">
        <f>VLOOKUP($F30,Munition!$B:$P,15,FALSE)</f>
        <v>106.1032953945969</v>
      </c>
      <c r="Y30" s="26">
        <f>VLOOKUP($F30,Munition!$B:$P,9,FALSE)</f>
        <v>1</v>
      </c>
      <c r="Z30" s="26">
        <f>VLOOKUP($F30,Munition!$B:$P,14,FALSE)</f>
        <v>1.5586226552622361E-5</v>
      </c>
      <c r="AA30" s="30">
        <f t="shared" si="5"/>
        <v>3.5086356055515417</v>
      </c>
      <c r="AB30" s="30">
        <f t="shared" si="6"/>
        <v>3.3813739329350669</v>
      </c>
      <c r="AC30" s="30">
        <f t="shared" si="7"/>
        <v>3.2587281666530994</v>
      </c>
      <c r="AD30" s="30">
        <f t="shared" si="8"/>
        <v>2.811045471045329</v>
      </c>
      <c r="AE30" s="30">
        <f t="shared" si="9"/>
        <v>2.2521508439866329</v>
      </c>
      <c r="AF30" s="32" t="str">
        <f t="shared" si="2"/>
        <v>2D6+2</v>
      </c>
      <c r="AG30" s="33" t="str">
        <f t="shared" si="10"/>
        <v>-</v>
      </c>
      <c r="AH30" s="33" t="str">
        <f t="shared" si="11"/>
        <v>-</v>
      </c>
      <c r="AI30" s="33" t="str">
        <f t="shared" si="12"/>
        <v>-</v>
      </c>
      <c r="AJ30" s="33" t="str">
        <f t="shared" si="13"/>
        <v>-</v>
      </c>
      <c r="AK30">
        <v>1918</v>
      </c>
    </row>
    <row r="31" spans="1:37">
      <c r="A31" t="s">
        <v>571</v>
      </c>
      <c r="B31" t="s">
        <v>215</v>
      </c>
      <c r="C31" t="s">
        <v>681</v>
      </c>
      <c r="D31" t="s">
        <v>681</v>
      </c>
      <c r="F31" t="s">
        <v>73</v>
      </c>
      <c r="G31" t="s">
        <v>74</v>
      </c>
      <c r="H31">
        <v>0.66800000000000004</v>
      </c>
      <c r="I31">
        <v>3.4</v>
      </c>
      <c r="J31" s="9">
        <v>5</v>
      </c>
      <c r="K31" s="9">
        <v>10</v>
      </c>
      <c r="L31" s="9">
        <v>30</v>
      </c>
      <c r="M31" s="10">
        <v>60</v>
      </c>
      <c r="N31" s="10">
        <v>3</v>
      </c>
      <c r="O31" s="10"/>
      <c r="P31" s="18">
        <v>8</v>
      </c>
      <c r="Q31" s="22" t="s">
        <v>701</v>
      </c>
      <c r="R31">
        <v>1</v>
      </c>
      <c r="S31" s="26">
        <f>VLOOKUP($F31,Munition!$B:$P,10,FALSE)</f>
        <v>3.7</v>
      </c>
      <c r="T31" s="26">
        <f>VLOOKUP($F31,Munition!$B:$P,11,FALSE)</f>
        <v>297</v>
      </c>
      <c r="U31" s="28">
        <f t="shared" si="0"/>
        <v>290.78750928470589</v>
      </c>
      <c r="V31" s="26">
        <f>VLOOKUP($F31,Munition!$B:$P,5,FALSE)</f>
        <v>5.68</v>
      </c>
      <c r="W31" s="30">
        <f t="shared" si="4"/>
        <v>240.14294657904824</v>
      </c>
      <c r="X31" s="26">
        <f>VLOOKUP($F31,Munition!$B:$P,15,FALSE)</f>
        <v>89.283958198712639</v>
      </c>
      <c r="Y31" s="26">
        <f>VLOOKUP($F31,Munition!$B:$P,9,FALSE)</f>
        <v>1</v>
      </c>
      <c r="Z31" s="26">
        <f>VLOOKUP($F31,Munition!$B:$P,14,FALSE)</f>
        <v>1.5586226552622361E-5</v>
      </c>
      <c r="AA31" s="30">
        <f t="shared" si="5"/>
        <v>0.75496171845350102</v>
      </c>
      <c r="AB31" s="30">
        <f t="shared" si="6"/>
        <v>0.73452681606294878</v>
      </c>
      <c r="AC31" s="30">
        <f t="shared" si="7"/>
        <v>0.71464503474529917</v>
      </c>
      <c r="AD31" s="30">
        <f t="shared" si="8"/>
        <v>0.64035570158935451</v>
      </c>
      <c r="AE31" s="30">
        <f t="shared" si="9"/>
        <v>0.54314730738661976</v>
      </c>
      <c r="AF31" s="32" t="str">
        <f t="shared" si="2"/>
        <v>1D6</v>
      </c>
      <c r="AG31" s="33" t="str">
        <f t="shared" si="10"/>
        <v>-</v>
      </c>
      <c r="AH31" s="33" t="str">
        <f t="shared" si="11"/>
        <v>-</v>
      </c>
      <c r="AI31" s="33" t="str">
        <f t="shared" si="12"/>
        <v>-</v>
      </c>
      <c r="AJ31" s="33" t="str">
        <f t="shared" si="13"/>
        <v>-</v>
      </c>
      <c r="AK31">
        <v>1934</v>
      </c>
    </row>
    <row r="32" spans="1:37">
      <c r="A32" t="s">
        <v>571</v>
      </c>
      <c r="B32" t="s">
        <v>216</v>
      </c>
      <c r="C32" t="s">
        <v>681</v>
      </c>
      <c r="D32" t="s">
        <v>681</v>
      </c>
      <c r="F32" t="s">
        <v>182</v>
      </c>
      <c r="G32" t="s">
        <v>79</v>
      </c>
      <c r="H32">
        <v>0.87</v>
      </c>
      <c r="I32">
        <v>4.5</v>
      </c>
      <c r="J32" s="9">
        <v>8</v>
      </c>
      <c r="K32" s="9">
        <v>16</v>
      </c>
      <c r="L32" s="9">
        <v>48</v>
      </c>
      <c r="M32" s="10">
        <v>96</v>
      </c>
      <c r="N32" s="10">
        <v>3</v>
      </c>
      <c r="O32" s="10"/>
      <c r="P32" s="18">
        <v>8</v>
      </c>
      <c r="Q32" s="22" t="s">
        <v>701</v>
      </c>
      <c r="R32">
        <v>1</v>
      </c>
      <c r="S32" s="26">
        <f>VLOOKUP($F32,Munition!$B:$P,10,FALSE)</f>
        <v>4.5</v>
      </c>
      <c r="T32" s="26">
        <f>VLOOKUP($F32,Munition!$B:$P,11,FALSE)</f>
        <v>450</v>
      </c>
      <c r="U32" s="28">
        <f t="shared" si="0"/>
        <v>450</v>
      </c>
      <c r="V32" s="26">
        <f>VLOOKUP($F32,Munition!$B:$P,5,FALSE)</f>
        <v>6.75</v>
      </c>
      <c r="W32" s="30">
        <f t="shared" si="4"/>
        <v>683.4375</v>
      </c>
      <c r="X32" s="26">
        <f>VLOOKUP($F32,Munition!$B:$P,15,FALSE)</f>
        <v>106.1032953945969</v>
      </c>
      <c r="Y32" s="26">
        <f>VLOOKUP($F32,Munition!$B:$P,9,FALSE)</f>
        <v>1</v>
      </c>
      <c r="Z32" s="26">
        <f>VLOOKUP($F32,Munition!$B:$P,14,FALSE)</f>
        <v>1.5586226552622361E-5</v>
      </c>
      <c r="AA32" s="30">
        <f t="shared" si="5"/>
        <v>2.1485917317405869</v>
      </c>
      <c r="AB32" s="30">
        <f t="shared" si="6"/>
        <v>2.0706601913097158</v>
      </c>
      <c r="AC32" s="30">
        <f t="shared" si="7"/>
        <v>1.9955553046838499</v>
      </c>
      <c r="AD32" s="30">
        <f t="shared" si="8"/>
        <v>1.7214067619556606</v>
      </c>
      <c r="AE32" s="30">
        <f t="shared" si="9"/>
        <v>1.3791550978864342</v>
      </c>
      <c r="AF32" s="32" t="str">
        <f t="shared" si="2"/>
        <v>2D6</v>
      </c>
      <c r="AG32" s="33" t="str">
        <f t="shared" si="10"/>
        <v>-</v>
      </c>
      <c r="AH32" s="33" t="str">
        <f t="shared" si="11"/>
        <v>-</v>
      </c>
      <c r="AI32" s="33" t="str">
        <f t="shared" si="12"/>
        <v>-</v>
      </c>
      <c r="AJ32" s="33" t="str">
        <f t="shared" si="13"/>
        <v>-</v>
      </c>
      <c r="AK32">
        <v>1951</v>
      </c>
    </row>
    <row r="33" spans="1:37">
      <c r="A33" t="s">
        <v>571</v>
      </c>
      <c r="B33" t="s">
        <v>217</v>
      </c>
      <c r="C33" t="s">
        <v>681</v>
      </c>
      <c r="D33" t="s">
        <v>681</v>
      </c>
      <c r="F33" t="s">
        <v>73</v>
      </c>
      <c r="G33" t="s">
        <v>74</v>
      </c>
      <c r="H33">
        <v>0.67500000000000004</v>
      </c>
      <c r="I33">
        <v>3.5</v>
      </c>
      <c r="J33" s="9">
        <v>6</v>
      </c>
      <c r="K33" s="9">
        <v>12</v>
      </c>
      <c r="L33" s="9">
        <v>36</v>
      </c>
      <c r="M33" s="10">
        <v>72</v>
      </c>
      <c r="N33" s="10">
        <v>3</v>
      </c>
      <c r="O33" s="10"/>
      <c r="P33" s="18">
        <v>7</v>
      </c>
      <c r="Q33" s="22" t="s">
        <v>701</v>
      </c>
      <c r="R33">
        <v>1</v>
      </c>
      <c r="S33" s="26">
        <f>VLOOKUP($F33,Munition!$B:$P,10,FALSE)</f>
        <v>3.7</v>
      </c>
      <c r="T33" s="26">
        <f>VLOOKUP($F33,Munition!$B:$P,11,FALSE)</f>
        <v>297</v>
      </c>
      <c r="U33" s="28">
        <f t="shared" si="0"/>
        <v>292.90246686700073</v>
      </c>
      <c r="V33" s="26">
        <f>VLOOKUP($F33,Munition!$B:$P,5,FALSE)</f>
        <v>5.68</v>
      </c>
      <c r="W33" s="30">
        <f t="shared" si="4"/>
        <v>243.64886847483942</v>
      </c>
      <c r="X33" s="26">
        <f>VLOOKUP($F33,Munition!$B:$P,15,FALSE)</f>
        <v>89.283958198712639</v>
      </c>
      <c r="Y33" s="26">
        <f>VLOOKUP($F33,Munition!$B:$P,9,FALSE)</f>
        <v>1</v>
      </c>
      <c r="Z33" s="26">
        <f>VLOOKUP($F33,Munition!$B:$P,14,FALSE)</f>
        <v>1.5586226552622361E-5</v>
      </c>
      <c r="AA33" s="30">
        <f t="shared" si="5"/>
        <v>0.76598364042504219</v>
      </c>
      <c r="AB33" s="30">
        <f t="shared" si="6"/>
        <v>0.74117159057636228</v>
      </c>
      <c r="AC33" s="30">
        <f t="shared" si="7"/>
        <v>0.7171632626157266</v>
      </c>
      <c r="AD33" s="30">
        <f t="shared" si="8"/>
        <v>0.62865896678025568</v>
      </c>
      <c r="AE33" s="30">
        <f t="shared" si="9"/>
        <v>0.51595370404244734</v>
      </c>
      <c r="AF33" s="32" t="str">
        <f t="shared" si="2"/>
        <v>1D6</v>
      </c>
      <c r="AG33" s="33" t="str">
        <f t="shared" si="10"/>
        <v>-</v>
      </c>
      <c r="AH33" s="33" t="str">
        <f t="shared" si="11"/>
        <v>-</v>
      </c>
      <c r="AI33" s="33" t="str">
        <f t="shared" si="12"/>
        <v>-</v>
      </c>
      <c r="AJ33" s="33" t="str">
        <f t="shared" si="13"/>
        <v>-</v>
      </c>
      <c r="AK33">
        <v>1959</v>
      </c>
    </row>
    <row r="34" spans="1:37">
      <c r="A34" t="s">
        <v>571</v>
      </c>
      <c r="B34" t="s">
        <v>218</v>
      </c>
      <c r="C34" t="s">
        <v>681</v>
      </c>
      <c r="D34" t="s">
        <v>681</v>
      </c>
      <c r="F34" t="s">
        <v>73</v>
      </c>
      <c r="G34" t="s">
        <v>74</v>
      </c>
      <c r="H34">
        <v>0.66</v>
      </c>
      <c r="I34">
        <v>3.8</v>
      </c>
      <c r="J34" s="9">
        <v>6</v>
      </c>
      <c r="K34" s="9">
        <v>12</v>
      </c>
      <c r="L34" s="9">
        <v>36</v>
      </c>
      <c r="M34" s="10">
        <v>72</v>
      </c>
      <c r="N34" s="10">
        <v>3</v>
      </c>
      <c r="O34" s="10"/>
      <c r="P34" s="18">
        <v>13</v>
      </c>
      <c r="Q34" s="22" t="s">
        <v>701</v>
      </c>
      <c r="R34">
        <v>1</v>
      </c>
      <c r="S34" s="26">
        <f>VLOOKUP($F34,Munition!$B:$P,10,FALSE)</f>
        <v>3.7</v>
      </c>
      <c r="T34" s="26">
        <f>VLOOKUP($F34,Munition!$B:$P,11,FALSE)</f>
        <v>297</v>
      </c>
      <c r="U34" s="28">
        <f t="shared" si="0"/>
        <v>298.9867328219367</v>
      </c>
      <c r="V34" s="26">
        <f>VLOOKUP($F34,Munition!$B:$P,5,FALSE)</f>
        <v>5.68</v>
      </c>
      <c r="W34" s="30">
        <f t="shared" si="4"/>
        <v>253.87630858604265</v>
      </c>
      <c r="X34" s="26">
        <f>VLOOKUP($F34,Munition!$B:$P,15,FALSE)</f>
        <v>89.283958198712639</v>
      </c>
      <c r="Y34" s="26">
        <f>VLOOKUP($F34,Munition!$B:$P,9,FALSE)</f>
        <v>1</v>
      </c>
      <c r="Z34" s="26">
        <f>VLOOKUP($F34,Munition!$B:$P,14,FALSE)</f>
        <v>1.5586226552622361E-5</v>
      </c>
      <c r="AA34" s="30">
        <f t="shared" si="5"/>
        <v>0.7981366804028065</v>
      </c>
      <c r="AB34" s="30">
        <f t="shared" si="6"/>
        <v>0.77228311636425151</v>
      </c>
      <c r="AC34" s="30">
        <f t="shared" si="7"/>
        <v>0.74726701135985374</v>
      </c>
      <c r="AD34" s="30">
        <f t="shared" si="8"/>
        <v>0.65504764641321667</v>
      </c>
      <c r="AE34" s="30">
        <f t="shared" si="9"/>
        <v>0.5376114512804262</v>
      </c>
      <c r="AF34" s="32" t="str">
        <f t="shared" si="2"/>
        <v>1D6</v>
      </c>
      <c r="AG34" s="33" t="str">
        <f t="shared" si="10"/>
        <v>-</v>
      </c>
      <c r="AH34" s="33" t="str">
        <f t="shared" si="11"/>
        <v>-</v>
      </c>
      <c r="AI34" s="33" t="str">
        <f t="shared" si="12"/>
        <v>-</v>
      </c>
      <c r="AJ34" s="33" t="str">
        <f t="shared" si="13"/>
        <v>-</v>
      </c>
      <c r="AK34">
        <v>1976</v>
      </c>
    </row>
    <row r="35" spans="1:37">
      <c r="A35" t="s">
        <v>577</v>
      </c>
      <c r="B35" t="s">
        <v>219</v>
      </c>
      <c r="C35" t="s">
        <v>681</v>
      </c>
      <c r="D35" t="s">
        <v>681</v>
      </c>
      <c r="F35" t="s">
        <v>182</v>
      </c>
      <c r="G35" t="s">
        <v>79</v>
      </c>
      <c r="H35">
        <v>3.4</v>
      </c>
      <c r="I35">
        <v>7.9</v>
      </c>
      <c r="J35" s="9">
        <v>8</v>
      </c>
      <c r="K35" s="9">
        <v>16</v>
      </c>
      <c r="L35" s="9">
        <v>48</v>
      </c>
      <c r="M35" s="10">
        <v>96</v>
      </c>
      <c r="N35" s="10">
        <v>1</v>
      </c>
      <c r="O35" s="10">
        <v>5</v>
      </c>
      <c r="P35" s="19">
        <v>32</v>
      </c>
      <c r="Q35" s="22" t="s">
        <v>695</v>
      </c>
      <c r="R35">
        <v>10</v>
      </c>
      <c r="S35" s="26">
        <f>VLOOKUP($F35,Munition!$B:$P,10,FALSE)</f>
        <v>4.5</v>
      </c>
      <c r="T35" s="26">
        <f>VLOOKUP($F35,Munition!$B:$P,11,FALSE)</f>
        <v>450</v>
      </c>
      <c r="U35" s="28">
        <f t="shared" si="0"/>
        <v>517.98377710479429</v>
      </c>
      <c r="V35" s="26">
        <f>VLOOKUP($F35,Munition!$B:$P,5,FALSE)</f>
        <v>6.75</v>
      </c>
      <c r="W35" s="30">
        <f t="shared" si="4"/>
        <v>905.53677753515353</v>
      </c>
      <c r="X35" s="26">
        <f>VLOOKUP($F35,Munition!$B:$P,15,FALSE)</f>
        <v>106.1032953945969</v>
      </c>
      <c r="Y35" s="26">
        <f>VLOOKUP($F35,Munition!$B:$P,9,FALSE)</f>
        <v>1</v>
      </c>
      <c r="Z35" s="26">
        <f>VLOOKUP($F35,Munition!$B:$P,14,FALSE)</f>
        <v>1.5586226552622361E-5</v>
      </c>
      <c r="AA35" s="30">
        <f t="shared" si="5"/>
        <v>2.8468277391847043</v>
      </c>
      <c r="AB35" s="30">
        <f t="shared" si="6"/>
        <v>2.7435704903651388</v>
      </c>
      <c r="AC35" s="30">
        <f t="shared" si="7"/>
        <v>2.6440584837627363</v>
      </c>
      <c r="AD35" s="30">
        <f t="shared" si="8"/>
        <v>2.28081884890506</v>
      </c>
      <c r="AE35" s="30">
        <f t="shared" si="9"/>
        <v>1.8273443629611499</v>
      </c>
      <c r="AF35" s="32" t="str">
        <f t="shared" si="2"/>
        <v>2D6+1</v>
      </c>
      <c r="AG35" s="33" t="str">
        <f t="shared" si="10"/>
        <v>-</v>
      </c>
      <c r="AH35" s="33" t="str">
        <f t="shared" si="11"/>
        <v>-</v>
      </c>
      <c r="AI35" s="33" t="str">
        <f t="shared" si="12"/>
        <v>-</v>
      </c>
      <c r="AJ35" s="33" t="str">
        <f t="shared" si="13"/>
        <v>-</v>
      </c>
      <c r="AK35">
        <v>1978</v>
      </c>
    </row>
    <row r="36" spans="1:37">
      <c r="A36" t="s">
        <v>577</v>
      </c>
      <c r="B36" t="s">
        <v>220</v>
      </c>
      <c r="C36" t="s">
        <v>681</v>
      </c>
      <c r="D36" t="s">
        <v>681</v>
      </c>
      <c r="F36" t="s">
        <v>182</v>
      </c>
      <c r="G36" t="s">
        <v>79</v>
      </c>
      <c r="H36">
        <v>4.24</v>
      </c>
      <c r="I36">
        <v>12.5</v>
      </c>
      <c r="J36" s="9">
        <v>12</v>
      </c>
      <c r="K36" s="9">
        <v>24</v>
      </c>
      <c r="L36" s="9">
        <v>72</v>
      </c>
      <c r="M36" s="10">
        <v>144</v>
      </c>
      <c r="N36" s="10"/>
      <c r="O36" s="10">
        <v>5</v>
      </c>
      <c r="P36" s="18">
        <v>32</v>
      </c>
      <c r="Q36" s="22">
        <v>10</v>
      </c>
      <c r="R36">
        <v>10</v>
      </c>
      <c r="S36" s="26">
        <f>VLOOKUP($F36,Munition!$B:$P,10,FALSE)</f>
        <v>4.5</v>
      </c>
      <c r="T36" s="26">
        <f>VLOOKUP($F36,Munition!$B:$P,11,FALSE)</f>
        <v>450</v>
      </c>
      <c r="U36" s="28">
        <f t="shared" si="0"/>
        <v>580.94750193111247</v>
      </c>
      <c r="V36" s="26">
        <f>VLOOKUP($F36,Munition!$B:$P,5,FALSE)</f>
        <v>6.75</v>
      </c>
      <c r="W36" s="30">
        <f t="shared" si="4"/>
        <v>1139.0624999999998</v>
      </c>
      <c r="X36" s="26">
        <f>VLOOKUP($F36,Munition!$B:$P,15,FALSE)</f>
        <v>106.1032953945969</v>
      </c>
      <c r="Y36" s="26">
        <f>VLOOKUP($F36,Munition!$B:$P,9,FALSE)</f>
        <v>1</v>
      </c>
      <c r="Z36" s="26">
        <f>VLOOKUP($F36,Munition!$B:$P,14,FALSE)</f>
        <v>1.5586226552622361E-5</v>
      </c>
      <c r="AA36" s="30">
        <f t="shared" si="5"/>
        <v>3.5809862195676443</v>
      </c>
      <c r="AB36" s="30">
        <f t="shared" si="6"/>
        <v>3.3879348548135475</v>
      </c>
      <c r="AC36" s="30">
        <f t="shared" si="7"/>
        <v>3.2052909105710876</v>
      </c>
      <c r="AD36" s="30">
        <f t="shared" si="8"/>
        <v>2.568012045276856</v>
      </c>
      <c r="AE36" s="30">
        <f t="shared" si="9"/>
        <v>1.841583703576285</v>
      </c>
      <c r="AF36" s="32" t="str">
        <f t="shared" si="2"/>
        <v>2D6+2</v>
      </c>
      <c r="AG36" s="33" t="str">
        <f t="shared" si="10"/>
        <v>-</v>
      </c>
      <c r="AH36" s="33" t="str">
        <f t="shared" si="11"/>
        <v>-</v>
      </c>
      <c r="AI36" s="33" t="str">
        <f t="shared" si="12"/>
        <v>-</v>
      </c>
      <c r="AJ36" s="33" t="str">
        <f t="shared" si="13"/>
        <v>-</v>
      </c>
      <c r="AK36">
        <v>1935</v>
      </c>
    </row>
    <row r="37" spans="1:37">
      <c r="A37" t="s">
        <v>574</v>
      </c>
      <c r="B37" t="s">
        <v>221</v>
      </c>
      <c r="C37" t="s">
        <v>681</v>
      </c>
      <c r="D37" t="s">
        <v>681</v>
      </c>
      <c r="F37" t="s">
        <v>130</v>
      </c>
      <c r="G37" t="s">
        <v>131</v>
      </c>
      <c r="H37">
        <v>38.1</v>
      </c>
      <c r="I37">
        <v>45</v>
      </c>
      <c r="J37" s="9">
        <v>250</v>
      </c>
      <c r="K37" s="9">
        <v>500</v>
      </c>
      <c r="L37" s="9">
        <v>1500</v>
      </c>
      <c r="M37" s="10">
        <v>3000</v>
      </c>
      <c r="N37" s="10">
        <v>1</v>
      </c>
      <c r="O37" s="10">
        <v>3</v>
      </c>
      <c r="P37" s="19">
        <v>50</v>
      </c>
      <c r="Q37" s="22" t="s">
        <v>721</v>
      </c>
      <c r="R37">
        <v>5</v>
      </c>
      <c r="S37" s="26">
        <f>VLOOKUP($F37,Munition!$B:$P,10,FALSE)</f>
        <v>30</v>
      </c>
      <c r="T37" s="26">
        <f>VLOOKUP($F37,Munition!$B:$P,11,FALSE)</f>
        <v>903</v>
      </c>
      <c r="U37" s="28">
        <f t="shared" si="0"/>
        <v>999.33377348939052</v>
      </c>
      <c r="V37" s="26">
        <f>VLOOKUP($F37,Munition!$B:$P,5,FALSE)</f>
        <v>42</v>
      </c>
      <c r="W37" s="30">
        <f t="shared" si="4"/>
        <v>20972.027807567436</v>
      </c>
      <c r="X37" s="26">
        <f>VLOOKUP($F37,Munition!$B:$P,15,FALSE)</f>
        <v>331.55224055351755</v>
      </c>
      <c r="Y37" s="26">
        <f>VLOOKUP($F37,Munition!$B:$P,9,FALSE)</f>
        <v>1</v>
      </c>
      <c r="Z37" s="26">
        <f>VLOOKUP($F37,Munition!$B:$P,14,FALSE)</f>
        <v>2.7156353957881518E-5</v>
      </c>
      <c r="AA37" s="30">
        <f t="shared" si="5"/>
        <v>33.111060993093609</v>
      </c>
      <c r="AB37" s="30">
        <f t="shared" si="6"/>
        <v>23.964593433749428</v>
      </c>
      <c r="AC37" s="30">
        <f t="shared" si="7"/>
        <v>17.34470962935001</v>
      </c>
      <c r="AD37" s="30">
        <f t="shared" si="8"/>
        <v>4.759429590416385</v>
      </c>
      <c r="AE37" s="30">
        <f t="shared" si="9"/>
        <v>0.68412697590258209</v>
      </c>
      <c r="AF37" s="32" t="str">
        <f t="shared" si="2"/>
        <v>12D6</v>
      </c>
      <c r="AG37" s="33" t="str">
        <f t="shared" si="10"/>
        <v>2+1</v>
      </c>
      <c r="AH37" s="33" t="str">
        <f t="shared" si="11"/>
        <v>3+1</v>
      </c>
      <c r="AI37" s="33" t="str">
        <f t="shared" si="12"/>
        <v>4+2</v>
      </c>
      <c r="AJ37" s="33" t="str">
        <f t="shared" si="13"/>
        <v>-</v>
      </c>
      <c r="AK37">
        <v>1933</v>
      </c>
    </row>
    <row r="38" spans="1:37">
      <c r="A38" t="s">
        <v>571</v>
      </c>
      <c r="B38" t="s">
        <v>222</v>
      </c>
      <c r="C38" t="s">
        <v>681</v>
      </c>
      <c r="D38" t="s">
        <v>681</v>
      </c>
      <c r="F38" t="s">
        <v>73</v>
      </c>
      <c r="G38" t="s">
        <v>223</v>
      </c>
      <c r="H38">
        <v>0.64</v>
      </c>
      <c r="I38">
        <v>3.8</v>
      </c>
      <c r="J38" s="9">
        <v>5</v>
      </c>
      <c r="K38" s="9">
        <v>10</v>
      </c>
      <c r="L38" s="9">
        <v>30</v>
      </c>
      <c r="M38" s="10">
        <v>60</v>
      </c>
      <c r="N38" s="10">
        <v>3</v>
      </c>
      <c r="O38" s="10"/>
      <c r="P38" s="18">
        <v>12</v>
      </c>
      <c r="Q38" s="22" t="s">
        <v>701</v>
      </c>
      <c r="R38">
        <v>1</v>
      </c>
      <c r="S38" s="26">
        <f>VLOOKUP($F38,Munition!$B:$P,10,FALSE)</f>
        <v>3.7</v>
      </c>
      <c r="T38" s="26">
        <f>VLOOKUP($F38,Munition!$B:$P,11,FALSE)</f>
        <v>297</v>
      </c>
      <c r="U38" s="28">
        <f t="shared" si="0"/>
        <v>298.9867328219367</v>
      </c>
      <c r="V38" s="26">
        <f>VLOOKUP($F38,Munition!$B:$P,5,FALSE)</f>
        <v>5.68</v>
      </c>
      <c r="W38" s="30">
        <f t="shared" si="4"/>
        <v>253.87630858604265</v>
      </c>
      <c r="X38" s="26">
        <f>VLOOKUP($F38,Munition!$B:$P,15,FALSE)</f>
        <v>89.283958198712639</v>
      </c>
      <c r="Y38" s="26">
        <f>VLOOKUP($F38,Munition!$B:$P,9,FALSE)</f>
        <v>1</v>
      </c>
      <c r="Z38" s="26">
        <f>VLOOKUP($F38,Munition!$B:$P,14,FALSE)</f>
        <v>1.5586226552622361E-5</v>
      </c>
      <c r="AA38" s="30">
        <f t="shared" si="5"/>
        <v>0.7981366804028065</v>
      </c>
      <c r="AB38" s="30">
        <f t="shared" si="6"/>
        <v>0.7765331410978461</v>
      </c>
      <c r="AC38" s="30">
        <f t="shared" si="7"/>
        <v>0.75551435490843633</v>
      </c>
      <c r="AD38" s="30">
        <f t="shared" si="8"/>
        <v>0.67697654258613416</v>
      </c>
      <c r="AE38" s="30">
        <f t="shared" si="9"/>
        <v>0.57420896754247763</v>
      </c>
      <c r="AF38" s="32" t="str">
        <f t="shared" si="2"/>
        <v>1D6</v>
      </c>
      <c r="AG38" s="33" t="str">
        <f t="shared" si="10"/>
        <v>-</v>
      </c>
      <c r="AH38" s="33" t="str">
        <f t="shared" si="11"/>
        <v>-</v>
      </c>
      <c r="AI38" s="33" t="str">
        <f t="shared" si="12"/>
        <v>-</v>
      </c>
      <c r="AJ38" s="33" t="str">
        <f t="shared" si="13"/>
        <v>-</v>
      </c>
      <c r="AK38">
        <v>1980</v>
      </c>
    </row>
    <row r="39" spans="1:37">
      <c r="A39" t="s">
        <v>571</v>
      </c>
      <c r="B39" t="s">
        <v>224</v>
      </c>
      <c r="C39" t="s">
        <v>681</v>
      </c>
      <c r="D39" t="s">
        <v>681</v>
      </c>
      <c r="F39" t="s">
        <v>17</v>
      </c>
      <c r="G39" t="s">
        <v>18</v>
      </c>
      <c r="H39">
        <v>0.95</v>
      </c>
      <c r="I39">
        <v>5.5</v>
      </c>
      <c r="J39" s="9">
        <v>3</v>
      </c>
      <c r="K39" s="9">
        <v>6</v>
      </c>
      <c r="L39" s="9">
        <v>18</v>
      </c>
      <c r="M39" s="10">
        <v>36</v>
      </c>
      <c r="N39" s="10">
        <v>2</v>
      </c>
      <c r="O39" s="10"/>
      <c r="P39" s="18">
        <v>10</v>
      </c>
      <c r="Q39" s="22" t="s">
        <v>701</v>
      </c>
      <c r="R39">
        <v>1</v>
      </c>
      <c r="S39" s="26">
        <f>VLOOKUP($F39,Munition!$B:$P,10,FALSE)</f>
        <v>16</v>
      </c>
      <c r="T39" s="26">
        <f>VLOOKUP($F39,Munition!$B:$P,11,FALSE)</f>
        <v>345</v>
      </c>
      <c r="U39" s="28">
        <f t="shared" si="0"/>
        <v>264.16773454875778</v>
      </c>
      <c r="V39" s="26">
        <f>VLOOKUP($F39,Munition!$B:$P,5,FALSE)</f>
        <v>2.59</v>
      </c>
      <c r="W39" s="30">
        <f t="shared" si="4"/>
        <v>90.371046609726719</v>
      </c>
      <c r="X39" s="26">
        <f>VLOOKUP($F39,Munition!$B:$P,15,FALSE)</f>
        <v>106.67442228870374</v>
      </c>
      <c r="Y39" s="26">
        <f>VLOOKUP($F39,Munition!$B:$P,9,FALSE)</f>
        <v>1</v>
      </c>
      <c r="Z39" s="26">
        <f>VLOOKUP($F39,Munition!$B:$P,14,FALSE)</f>
        <v>5.204914524845718E-6</v>
      </c>
      <c r="AA39" s="30">
        <f t="shared" si="5"/>
        <v>0.74442310337591622</v>
      </c>
      <c r="AB39" s="30">
        <f t="shared" si="6"/>
        <v>0.73550095867889409</v>
      </c>
      <c r="AC39" s="30">
        <f t="shared" si="7"/>
        <v>0.72668574868826874</v>
      </c>
      <c r="AD39" s="30">
        <f t="shared" si="8"/>
        <v>0.69246885218043619</v>
      </c>
      <c r="AE39" s="30">
        <f t="shared" si="9"/>
        <v>0.64414055537170478</v>
      </c>
      <c r="AF39" s="32">
        <f t="shared" si="2"/>
        <v>2</v>
      </c>
      <c r="AG39" s="33" t="str">
        <f t="shared" si="10"/>
        <v>-</v>
      </c>
      <c r="AH39" s="33" t="str">
        <f t="shared" si="11"/>
        <v>-</v>
      </c>
      <c r="AI39" s="33" t="str">
        <f t="shared" si="12"/>
        <v>-</v>
      </c>
      <c r="AJ39" s="33" t="str">
        <f t="shared" si="13"/>
        <v>-</v>
      </c>
      <c r="AK39">
        <v>1960</v>
      </c>
    </row>
    <row r="40" spans="1:37">
      <c r="A40" t="s">
        <v>571</v>
      </c>
      <c r="B40" t="s">
        <v>225</v>
      </c>
      <c r="C40" t="s">
        <v>681</v>
      </c>
      <c r="D40" t="s">
        <v>681</v>
      </c>
      <c r="F40" t="s">
        <v>182</v>
      </c>
      <c r="G40" t="s">
        <v>226</v>
      </c>
      <c r="H40">
        <v>0.81</v>
      </c>
      <c r="I40">
        <v>4.7</v>
      </c>
      <c r="J40" s="9">
        <v>5</v>
      </c>
      <c r="K40" s="9">
        <v>10</v>
      </c>
      <c r="L40" s="9">
        <v>30</v>
      </c>
      <c r="M40" s="10">
        <v>60</v>
      </c>
      <c r="N40" s="10">
        <v>3</v>
      </c>
      <c r="O40" s="10"/>
      <c r="P40" s="18">
        <v>13</v>
      </c>
      <c r="Q40" s="22" t="s">
        <v>701</v>
      </c>
      <c r="R40">
        <v>1</v>
      </c>
      <c r="S40" s="26">
        <f>VLOOKUP($F40,Munition!$B:$P,10,FALSE)</f>
        <v>4.5</v>
      </c>
      <c r="T40" s="26">
        <f>VLOOKUP($F40,Munition!$B:$P,11,FALSE)</f>
        <v>450</v>
      </c>
      <c r="U40" s="28">
        <f t="shared" si="0"/>
        <v>454.91876327120707</v>
      </c>
      <c r="V40" s="26">
        <f>VLOOKUP($F40,Munition!$B:$P,5,FALSE)</f>
        <v>6.75</v>
      </c>
      <c r="W40" s="30">
        <f t="shared" si="4"/>
        <v>698.45989896969036</v>
      </c>
      <c r="X40" s="26">
        <f>VLOOKUP($F40,Munition!$B:$P,15,FALSE)</f>
        <v>106.1032953945969</v>
      </c>
      <c r="Y40" s="26">
        <f>VLOOKUP($F40,Munition!$B:$P,9,FALSE)</f>
        <v>1</v>
      </c>
      <c r="Z40" s="26">
        <f>VLOOKUP($F40,Munition!$B:$P,14,FALSE)</f>
        <v>1.5586226552622361E-5</v>
      </c>
      <c r="AA40" s="30">
        <f t="shared" si="5"/>
        <v>2.1958191698270029</v>
      </c>
      <c r="AB40" s="30">
        <f t="shared" si="6"/>
        <v>2.1456970593890943</v>
      </c>
      <c r="AC40" s="30">
        <f t="shared" si="7"/>
        <v>2.0967190440521257</v>
      </c>
      <c r="AD40" s="30">
        <f t="shared" si="8"/>
        <v>1.911734488198755</v>
      </c>
      <c r="AE40" s="30">
        <f t="shared" si="9"/>
        <v>1.6644033368451248</v>
      </c>
      <c r="AF40" s="32" t="str">
        <f t="shared" si="2"/>
        <v>2D6</v>
      </c>
      <c r="AG40" s="33" t="str">
        <f t="shared" si="10"/>
        <v>-</v>
      </c>
      <c r="AH40" s="33" t="str">
        <f t="shared" si="11"/>
        <v>-</v>
      </c>
      <c r="AI40" s="33" t="str">
        <f t="shared" si="12"/>
        <v>-</v>
      </c>
      <c r="AJ40" s="33" t="str">
        <f t="shared" si="13"/>
        <v>-</v>
      </c>
      <c r="AK40">
        <v>1935</v>
      </c>
    </row>
    <row r="41" spans="1:37">
      <c r="A41" t="s">
        <v>571</v>
      </c>
      <c r="B41" t="s">
        <v>227</v>
      </c>
      <c r="C41" t="s">
        <v>681</v>
      </c>
      <c r="D41" t="s">
        <v>681</v>
      </c>
      <c r="E41" t="s">
        <v>791</v>
      </c>
      <c r="F41" t="s">
        <v>64</v>
      </c>
      <c r="G41" t="s">
        <v>65</v>
      </c>
      <c r="H41">
        <v>0.8</v>
      </c>
      <c r="I41">
        <v>3.5</v>
      </c>
      <c r="J41" s="9">
        <v>2</v>
      </c>
      <c r="K41" s="9">
        <v>4</v>
      </c>
      <c r="L41" s="9">
        <v>12</v>
      </c>
      <c r="M41" s="10">
        <v>24</v>
      </c>
      <c r="N41" s="10">
        <v>2</v>
      </c>
      <c r="O41" s="10"/>
      <c r="P41" s="18">
        <v>6</v>
      </c>
      <c r="Q41" s="22" t="s">
        <v>699</v>
      </c>
      <c r="R41">
        <v>1</v>
      </c>
      <c r="S41" s="26">
        <f>VLOOKUP($F41,Munition!$B:$P,10,FALSE)</f>
        <v>4</v>
      </c>
      <c r="T41" s="26">
        <f>VLOOKUP($F41,Munition!$B:$P,11,FALSE)</f>
        <v>318</v>
      </c>
      <c r="U41" s="28">
        <f t="shared" si="0"/>
        <v>307.55949082255944</v>
      </c>
      <c r="V41" s="26">
        <f>VLOOKUP($F41,Munition!$B:$P,5,FALSE)</f>
        <v>4.7</v>
      </c>
      <c r="W41" s="30">
        <f t="shared" si="4"/>
        <v>222.29317492832527</v>
      </c>
      <c r="X41" s="26">
        <f>VLOOKUP($F41,Munition!$B:$P,15,FALSE)</f>
        <v>102.25513025341134</v>
      </c>
      <c r="Y41" s="26">
        <f>VLOOKUP($F41,Munition!$B:$P,9,FALSE)</f>
        <v>1</v>
      </c>
      <c r="Z41" s="26">
        <f>VLOOKUP($F41,Munition!$B:$P,14,FALSE)</f>
        <v>1.1261048684269658E-5</v>
      </c>
      <c r="AA41" s="30">
        <f t="shared" si="5"/>
        <v>0.96726032156341479</v>
      </c>
      <c r="AB41" s="30">
        <f t="shared" si="6"/>
        <v>0.95803450334783724</v>
      </c>
      <c r="AC41" s="30">
        <f t="shared" si="7"/>
        <v>0.94889668183785114</v>
      </c>
      <c r="AD41" s="30">
        <f t="shared" si="8"/>
        <v>0.91320869606519606</v>
      </c>
      <c r="AE41" s="30">
        <f t="shared" si="9"/>
        <v>0.86217753791570217</v>
      </c>
      <c r="AF41" s="32" t="str">
        <f t="shared" si="2"/>
        <v>1D6</v>
      </c>
      <c r="AG41" s="33" t="str">
        <f t="shared" si="10"/>
        <v>-</v>
      </c>
      <c r="AH41" s="33" t="str">
        <f t="shared" si="11"/>
        <v>-</v>
      </c>
      <c r="AI41" s="33" t="str">
        <f t="shared" si="12"/>
        <v>-</v>
      </c>
      <c r="AJ41" s="33" t="str">
        <f t="shared" si="13"/>
        <v>-</v>
      </c>
      <c r="AK41">
        <v>1942</v>
      </c>
    </row>
    <row r="42" spans="1:37">
      <c r="A42" t="s">
        <v>578</v>
      </c>
      <c r="B42" t="s">
        <v>228</v>
      </c>
      <c r="C42" t="s">
        <v>681</v>
      </c>
      <c r="D42" t="s">
        <v>681</v>
      </c>
      <c r="E42" t="s">
        <v>791</v>
      </c>
      <c r="F42" t="s">
        <v>182</v>
      </c>
      <c r="G42" t="s">
        <v>79</v>
      </c>
      <c r="H42">
        <v>1.5</v>
      </c>
      <c r="I42">
        <v>5</v>
      </c>
      <c r="J42" s="9">
        <v>2</v>
      </c>
      <c r="K42" s="9">
        <v>4</v>
      </c>
      <c r="L42" s="9">
        <v>12</v>
      </c>
      <c r="M42" s="10">
        <v>24</v>
      </c>
      <c r="N42" s="10">
        <v>2</v>
      </c>
      <c r="O42" s="10"/>
      <c r="P42" s="18">
        <v>6</v>
      </c>
      <c r="Q42" s="22" t="s">
        <v>699</v>
      </c>
      <c r="R42">
        <v>1</v>
      </c>
      <c r="S42" s="26">
        <f>VLOOKUP($F42,Munition!$B:$P,10,FALSE)</f>
        <v>4.5</v>
      </c>
      <c r="T42" s="26">
        <f>VLOOKUP($F42,Munition!$B:$P,11,FALSE)</f>
        <v>450</v>
      </c>
      <c r="U42" s="28">
        <f t="shared" si="0"/>
        <v>462.01054323615341</v>
      </c>
      <c r="V42" s="26">
        <f>VLOOKUP($F42,Munition!$B:$P,5,FALSE)</f>
        <v>6.75</v>
      </c>
      <c r="W42" s="30">
        <f t="shared" si="4"/>
        <v>720.40637945710876</v>
      </c>
      <c r="X42" s="26">
        <f>VLOOKUP($F42,Munition!$B:$P,15,FALSE)</f>
        <v>106.1032953945969</v>
      </c>
      <c r="Y42" s="26">
        <f>VLOOKUP($F42,Munition!$B:$P,9,FALSE)</f>
        <v>1</v>
      </c>
      <c r="Z42" s="26">
        <f>VLOOKUP($F42,Munition!$B:$P,14,FALSE)</f>
        <v>1.5586226552622361E-5</v>
      </c>
      <c r="AA42" s="30">
        <f t="shared" si="5"/>
        <v>2.2648145447019159</v>
      </c>
      <c r="AB42" s="30">
        <f t="shared" si="6"/>
        <v>2.2439923856764881</v>
      </c>
      <c r="AC42" s="30">
        <f t="shared" si="7"/>
        <v>2.2233616605622806</v>
      </c>
      <c r="AD42" s="30">
        <f t="shared" si="8"/>
        <v>2.1427181410965361</v>
      </c>
      <c r="AE42" s="30">
        <f t="shared" si="9"/>
        <v>2.0272039681679423</v>
      </c>
      <c r="AF42" s="32" t="str">
        <f t="shared" si="2"/>
        <v>2D6</v>
      </c>
      <c r="AG42" s="33" t="str">
        <f t="shared" si="10"/>
        <v>-</v>
      </c>
      <c r="AH42" s="33" t="str">
        <f t="shared" si="11"/>
        <v>-</v>
      </c>
      <c r="AI42" s="33" t="str">
        <f t="shared" si="12"/>
        <v>-</v>
      </c>
      <c r="AJ42" s="33" t="str">
        <f t="shared" si="13"/>
        <v>-</v>
      </c>
      <c r="AK42">
        <v>1942</v>
      </c>
    </row>
    <row r="43" spans="1:37">
      <c r="A43" t="s">
        <v>577</v>
      </c>
      <c r="B43" t="s">
        <v>229</v>
      </c>
      <c r="C43" t="s">
        <v>681</v>
      </c>
      <c r="D43" t="s">
        <v>681</v>
      </c>
      <c r="F43" t="s">
        <v>10</v>
      </c>
      <c r="G43" t="s">
        <v>230</v>
      </c>
      <c r="H43">
        <v>1.93</v>
      </c>
      <c r="I43">
        <v>24</v>
      </c>
      <c r="J43" s="9">
        <v>15</v>
      </c>
      <c r="K43" s="9">
        <v>30</v>
      </c>
      <c r="L43" s="9">
        <v>90</v>
      </c>
      <c r="M43" s="10">
        <v>180</v>
      </c>
      <c r="N43" s="10"/>
      <c r="O43" s="10">
        <v>5</v>
      </c>
      <c r="P43" s="18">
        <v>20</v>
      </c>
      <c r="Q43" s="22">
        <v>5</v>
      </c>
      <c r="R43">
        <v>5</v>
      </c>
      <c r="S43" s="26">
        <f>VLOOKUP($F43,Munition!$B:$P,10,FALSE)</f>
        <v>20</v>
      </c>
      <c r="T43" s="26">
        <f>VLOOKUP($F43,Munition!$B:$P,11,FALSE)</f>
        <v>878</v>
      </c>
      <c r="U43" s="28">
        <f t="shared" si="0"/>
        <v>918.94565238626876</v>
      </c>
      <c r="V43" s="26">
        <f>VLOOKUP($F43,Munition!$B:$P,5,FALSE)</f>
        <v>3.56</v>
      </c>
      <c r="W43" s="30">
        <f t="shared" si="4"/>
        <v>1503.1407794305328</v>
      </c>
      <c r="X43" s="26">
        <f>VLOOKUP($F43,Munition!$B:$P,15,FALSE)</f>
        <v>146.62584685242678</v>
      </c>
      <c r="Y43" s="26">
        <f>VLOOKUP($F43,Munition!$B:$P,9,FALSE)</f>
        <v>1</v>
      </c>
      <c r="Z43" s="26">
        <f>VLOOKUP($F43,Munition!$B:$P,14,FALSE)</f>
        <v>3.7177960891755132E-6</v>
      </c>
      <c r="AA43" s="30">
        <f t="shared" si="5"/>
        <v>12.381982568675207</v>
      </c>
      <c r="AB43" s="30">
        <f t="shared" si="6"/>
        <v>12.000072062471927</v>
      </c>
      <c r="AC43" s="30">
        <f t="shared" si="7"/>
        <v>11.629941223534328</v>
      </c>
      <c r="AD43" s="30">
        <f t="shared" si="8"/>
        <v>10.260113923679043</v>
      </c>
      <c r="AE43" s="30">
        <f t="shared" si="9"/>
        <v>8.5018644746917733</v>
      </c>
      <c r="AF43" s="32" t="str">
        <f t="shared" si="2"/>
        <v>3D6</v>
      </c>
      <c r="AG43" s="33" t="str">
        <f t="shared" si="10"/>
        <v>1+2</v>
      </c>
      <c r="AH43" s="33" t="str">
        <f t="shared" si="11"/>
        <v>1+2</v>
      </c>
      <c r="AI43" s="33" t="str">
        <f t="shared" si="12"/>
        <v>1+2</v>
      </c>
      <c r="AJ43" s="33" t="str">
        <f t="shared" si="13"/>
        <v>2</v>
      </c>
      <c r="AK43">
        <v>1985</v>
      </c>
    </row>
    <row r="44" spans="1:37">
      <c r="A44" t="s">
        <v>579</v>
      </c>
      <c r="B44" t="s">
        <v>231</v>
      </c>
      <c r="C44" t="s">
        <v>681</v>
      </c>
      <c r="D44" t="s">
        <v>681</v>
      </c>
      <c r="F44" t="s">
        <v>67</v>
      </c>
      <c r="G44" t="s">
        <v>68</v>
      </c>
      <c r="H44">
        <v>4.2</v>
      </c>
      <c r="I44">
        <v>23</v>
      </c>
      <c r="J44" s="9">
        <v>50</v>
      </c>
      <c r="K44" s="9">
        <v>100</v>
      </c>
      <c r="L44" s="9">
        <v>300</v>
      </c>
      <c r="M44" s="10">
        <v>600</v>
      </c>
      <c r="N44" s="10">
        <v>2</v>
      </c>
      <c r="O44" s="10"/>
      <c r="P44" s="18">
        <v>5</v>
      </c>
      <c r="Q44" s="22" t="s">
        <v>699</v>
      </c>
      <c r="R44">
        <v>1</v>
      </c>
      <c r="S44" s="26">
        <f>VLOOKUP($F44,Munition!$B:$P,10,FALSE)</f>
        <v>24</v>
      </c>
      <c r="T44" s="26">
        <f>VLOOKUP($F44,Munition!$B:$P,11,FALSE)</f>
        <v>740</v>
      </c>
      <c r="U44" s="28">
        <f t="shared" si="0"/>
        <v>732.16820996272054</v>
      </c>
      <c r="V44" s="26">
        <f>VLOOKUP($F44,Munition!$B:$P,5,FALSE)</f>
        <v>13.4</v>
      </c>
      <c r="W44" s="30">
        <f t="shared" si="4"/>
        <v>3591.6709274560967</v>
      </c>
      <c r="X44" s="26">
        <f>VLOOKUP($F44,Munition!$B:$P,15,FALSE)</f>
        <v>271.99727546059046</v>
      </c>
      <c r="Y44" s="26">
        <f>VLOOKUP($F44,Munition!$B:$P,9,FALSE)</f>
        <v>1</v>
      </c>
      <c r="Z44" s="26">
        <f>VLOOKUP($F44,Munition!$B:$P,14,FALSE)</f>
        <v>7.8454829975279935E-6</v>
      </c>
      <c r="AA44" s="30">
        <f t="shared" si="5"/>
        <v>14.580965770433883</v>
      </c>
      <c r="AB44" s="30">
        <f t="shared" si="6"/>
        <v>13.751784303310149</v>
      </c>
      <c r="AC44" s="30">
        <f t="shared" si="7"/>
        <v>12.969756222062653</v>
      </c>
      <c r="AD44" s="30">
        <f t="shared" si="8"/>
        <v>10.261783759304082</v>
      </c>
      <c r="AE44" s="30">
        <f t="shared" si="9"/>
        <v>7.2220323112097597</v>
      </c>
      <c r="AF44" s="32" t="str">
        <f t="shared" si="2"/>
        <v>4D6+2</v>
      </c>
      <c r="AG44" s="33" t="str">
        <f t="shared" si="10"/>
        <v>2+1</v>
      </c>
      <c r="AH44" s="33" t="str">
        <f t="shared" si="11"/>
        <v>2+1</v>
      </c>
      <c r="AI44" s="33" t="str">
        <f t="shared" si="12"/>
        <v>2+2</v>
      </c>
      <c r="AJ44" s="33" t="str">
        <f t="shared" si="13"/>
        <v>3+1</v>
      </c>
      <c r="AK44">
        <v>1924</v>
      </c>
    </row>
    <row r="45" spans="1:37">
      <c r="A45" t="s">
        <v>579</v>
      </c>
      <c r="B45" t="s">
        <v>232</v>
      </c>
      <c r="C45" t="s">
        <v>681</v>
      </c>
      <c r="D45" t="s">
        <v>681</v>
      </c>
      <c r="F45" t="s">
        <v>37</v>
      </c>
      <c r="G45" t="s">
        <v>38</v>
      </c>
      <c r="H45">
        <v>4.5</v>
      </c>
      <c r="I45">
        <v>20.7</v>
      </c>
      <c r="J45" s="9">
        <v>50</v>
      </c>
      <c r="K45" s="9">
        <v>100</v>
      </c>
      <c r="L45" s="9">
        <v>300</v>
      </c>
      <c r="M45" s="10">
        <v>600</v>
      </c>
      <c r="N45" s="10">
        <v>2</v>
      </c>
      <c r="O45" s="10"/>
      <c r="P45" s="18">
        <v>10</v>
      </c>
      <c r="Q45" s="22" t="s">
        <v>701</v>
      </c>
      <c r="R45">
        <v>1</v>
      </c>
      <c r="S45" s="26">
        <f>VLOOKUP($F45,Munition!$B:$P,10,FALSE)</f>
        <v>16</v>
      </c>
      <c r="T45" s="26">
        <f>VLOOKUP($F45,Munition!$B:$P,11,FALSE)</f>
        <v>725</v>
      </c>
      <c r="U45" s="28">
        <f t="shared" si="0"/>
        <v>773.21558170534786</v>
      </c>
      <c r="V45" s="26">
        <f>VLOOKUP($F45,Munition!$B:$P,5,FALSE)</f>
        <v>7.9</v>
      </c>
      <c r="W45" s="30">
        <f t="shared" si="4"/>
        <v>2361.5562263781612</v>
      </c>
      <c r="X45" s="26">
        <f>VLOOKUP($F45,Munition!$B:$P,15,FALSE)</f>
        <v>173.23166007756538</v>
      </c>
      <c r="Y45" s="26">
        <f>VLOOKUP($F45,Munition!$B:$P,9,FALSE)</f>
        <v>1</v>
      </c>
      <c r="Z45" s="26">
        <f>VLOOKUP($F45,Munition!$B:$P,14,FALSE)</f>
        <v>7.8210299398698787E-6</v>
      </c>
      <c r="AA45" s="30">
        <f t="shared" si="5"/>
        <v>10.35686849270885</v>
      </c>
      <c r="AB45" s="30">
        <f t="shared" si="6"/>
        <v>9.3806545600953228</v>
      </c>
      <c r="AC45" s="30">
        <f t="shared" si="7"/>
        <v>8.4964562442582032</v>
      </c>
      <c r="AD45" s="30">
        <f t="shared" si="8"/>
        <v>5.7181632757098955</v>
      </c>
      <c r="AE45" s="30">
        <f t="shared" si="9"/>
        <v>3.1570731317768499</v>
      </c>
      <c r="AF45" s="32" t="str">
        <f t="shared" si="2"/>
        <v>4D6</v>
      </c>
      <c r="AG45" s="33" t="str">
        <f t="shared" si="10"/>
        <v>2+2</v>
      </c>
      <c r="AH45" s="33" t="str">
        <f t="shared" si="11"/>
        <v>3</v>
      </c>
      <c r="AI45" s="33" t="str">
        <f t="shared" si="12"/>
        <v>3+1</v>
      </c>
      <c r="AJ45" s="33" t="str">
        <f t="shared" si="13"/>
        <v>-</v>
      </c>
      <c r="AK45">
        <v>1952</v>
      </c>
    </row>
    <row r="46" spans="1:37">
      <c r="A46" t="s">
        <v>579</v>
      </c>
      <c r="B46" t="s">
        <v>233</v>
      </c>
      <c r="C46" t="s">
        <v>681</v>
      </c>
      <c r="D46" t="s">
        <v>681</v>
      </c>
      <c r="F46" t="s">
        <v>62</v>
      </c>
      <c r="G46" t="s">
        <v>61</v>
      </c>
      <c r="H46">
        <v>5.2</v>
      </c>
      <c r="I46">
        <v>24</v>
      </c>
      <c r="J46" s="9">
        <v>75</v>
      </c>
      <c r="K46" s="9">
        <v>150</v>
      </c>
      <c r="L46" s="9">
        <v>450</v>
      </c>
      <c r="M46" s="10">
        <v>900</v>
      </c>
      <c r="N46" s="10">
        <v>2</v>
      </c>
      <c r="O46" s="10"/>
      <c r="P46" s="18">
        <v>5</v>
      </c>
      <c r="Q46" s="22" t="s">
        <v>699</v>
      </c>
      <c r="R46">
        <v>1</v>
      </c>
      <c r="S46" s="26">
        <f>VLOOKUP($F46,Munition!$B:$P,10,FALSE)</f>
        <v>24</v>
      </c>
      <c r="T46" s="26">
        <f>VLOOKUP($F46,Munition!$B:$P,11,FALSE)</f>
        <v>786</v>
      </c>
      <c r="U46" s="28">
        <f t="shared" si="0"/>
        <v>786</v>
      </c>
      <c r="V46" s="26">
        <f>VLOOKUP($F46,Munition!$B:$P,5,FALSE)</f>
        <v>11</v>
      </c>
      <c r="W46" s="30">
        <f t="shared" si="4"/>
        <v>3397.8779999999997</v>
      </c>
      <c r="X46" s="26">
        <f>VLOOKUP($F46,Munition!$B:$P,15,FALSE)</f>
        <v>241.2086406143315</v>
      </c>
      <c r="Y46" s="26">
        <f>VLOOKUP($F46,Munition!$B:$P,9,FALSE)</f>
        <v>1</v>
      </c>
      <c r="Z46" s="26">
        <f>VLOOKUP($F46,Munition!$B:$P,14,FALSE)</f>
        <v>6.9830624463123905E-6</v>
      </c>
      <c r="AA46" s="30">
        <f t="shared" si="5"/>
        <v>14.901773333697154</v>
      </c>
      <c r="AB46" s="30">
        <f t="shared" si="6"/>
        <v>13.548239907196715</v>
      </c>
      <c r="AC46" s="30">
        <f t="shared" si="7"/>
        <v>12.317648408185619</v>
      </c>
      <c r="AD46" s="30">
        <f t="shared" si="8"/>
        <v>8.4160344440529311</v>
      </c>
      <c r="AE46" s="30">
        <f t="shared" si="9"/>
        <v>4.7531011361795015</v>
      </c>
      <c r="AF46" s="32" t="str">
        <f t="shared" si="2"/>
        <v>4D6+2</v>
      </c>
      <c r="AG46" s="33" t="str">
        <f t="shared" si="10"/>
        <v>2</v>
      </c>
      <c r="AH46" s="33" t="str">
        <f t="shared" si="11"/>
        <v>2+1</v>
      </c>
      <c r="AI46" s="33" t="str">
        <f t="shared" si="12"/>
        <v>2+2</v>
      </c>
      <c r="AJ46" s="33" t="str">
        <f t="shared" si="13"/>
        <v>4</v>
      </c>
      <c r="AK46">
        <v>1954</v>
      </c>
    </row>
    <row r="47" spans="1:37">
      <c r="A47" t="s">
        <v>574</v>
      </c>
      <c r="B47" t="s">
        <v>234</v>
      </c>
      <c r="C47" t="s">
        <v>681</v>
      </c>
      <c r="D47" t="s">
        <v>681</v>
      </c>
      <c r="F47" t="s">
        <v>62</v>
      </c>
      <c r="G47" t="s">
        <v>61</v>
      </c>
      <c r="H47">
        <v>8.6</v>
      </c>
      <c r="I47">
        <v>22</v>
      </c>
      <c r="J47" s="9">
        <v>100</v>
      </c>
      <c r="K47" s="9">
        <v>200</v>
      </c>
      <c r="L47" s="9">
        <v>600</v>
      </c>
      <c r="M47" s="10">
        <v>1200</v>
      </c>
      <c r="N47" s="10">
        <v>1</v>
      </c>
      <c r="O47" s="10">
        <v>8</v>
      </c>
      <c r="P47" s="18">
        <v>50</v>
      </c>
      <c r="Q47" s="22">
        <v>62</v>
      </c>
      <c r="R47">
        <v>10</v>
      </c>
      <c r="S47" s="26">
        <f>VLOOKUP($F47,Munition!$B:$P,10,FALSE)</f>
        <v>24</v>
      </c>
      <c r="T47" s="26">
        <f>VLOOKUP($F47,Munition!$B:$P,11,FALSE)</f>
        <v>786</v>
      </c>
      <c r="U47" s="28">
        <f t="shared" si="0"/>
        <v>769.08688550997579</v>
      </c>
      <c r="V47" s="26">
        <f>VLOOKUP($F47,Munition!$B:$P,5,FALSE)</f>
        <v>11</v>
      </c>
      <c r="W47" s="30">
        <f t="shared" si="4"/>
        <v>3253.22050604889</v>
      </c>
      <c r="X47" s="26">
        <f>VLOOKUP($F47,Munition!$B:$P,15,FALSE)</f>
        <v>241.2086406143315</v>
      </c>
      <c r="Y47" s="26">
        <f>VLOOKUP($F47,Munition!$B:$P,9,FALSE)</f>
        <v>1</v>
      </c>
      <c r="Z47" s="26">
        <f>VLOOKUP($F47,Munition!$B:$P,14,FALSE)</f>
        <v>6.9830624463123905E-6</v>
      </c>
      <c r="AA47" s="30">
        <f t="shared" si="5"/>
        <v>14.267361743322189</v>
      </c>
      <c r="AB47" s="30">
        <f t="shared" si="6"/>
        <v>12.566188583489625</v>
      </c>
      <c r="AC47" s="30">
        <f t="shared" si="7"/>
        <v>11.067855315979076</v>
      </c>
      <c r="AD47" s="30">
        <f t="shared" si="8"/>
        <v>6.6604423585705383</v>
      </c>
      <c r="AE47" s="30">
        <f t="shared" si="9"/>
        <v>3.1092989166412632</v>
      </c>
      <c r="AF47" s="32" t="str">
        <f t="shared" si="2"/>
        <v>4D6+2</v>
      </c>
      <c r="AG47" s="33" t="str">
        <f t="shared" si="10"/>
        <v>2</v>
      </c>
      <c r="AH47" s="33" t="str">
        <f t="shared" si="11"/>
        <v>2+1</v>
      </c>
      <c r="AI47" s="33" t="str">
        <f t="shared" si="12"/>
        <v>3</v>
      </c>
      <c r="AJ47" s="33" t="str">
        <f t="shared" si="13"/>
        <v>-</v>
      </c>
      <c r="AK47">
        <v>1950</v>
      </c>
    </row>
    <row r="48" spans="1:37">
      <c r="A48" t="s">
        <v>577</v>
      </c>
      <c r="B48" t="s">
        <v>235</v>
      </c>
      <c r="C48" t="s">
        <v>681</v>
      </c>
      <c r="D48" t="s">
        <v>681</v>
      </c>
      <c r="F48" t="s">
        <v>64</v>
      </c>
      <c r="G48" t="s">
        <v>65</v>
      </c>
      <c r="H48">
        <v>1.28</v>
      </c>
      <c r="I48">
        <v>4.5</v>
      </c>
      <c r="J48" s="9">
        <v>8</v>
      </c>
      <c r="K48" s="9">
        <v>16</v>
      </c>
      <c r="L48" s="9">
        <v>48</v>
      </c>
      <c r="M48" s="10">
        <v>96</v>
      </c>
      <c r="N48" s="10">
        <v>2</v>
      </c>
      <c r="O48" s="10">
        <v>10</v>
      </c>
      <c r="P48" s="19">
        <v>20</v>
      </c>
      <c r="Q48" s="22" t="s">
        <v>722</v>
      </c>
      <c r="R48">
        <v>10</v>
      </c>
      <c r="S48" s="26">
        <f>VLOOKUP($F48,Munition!$B:$P,10,FALSE)</f>
        <v>4</v>
      </c>
      <c r="T48" s="26">
        <f>VLOOKUP($F48,Munition!$B:$P,11,FALSE)</f>
        <v>318</v>
      </c>
      <c r="U48" s="28">
        <f t="shared" si="0"/>
        <v>327.50297588123169</v>
      </c>
      <c r="V48" s="26">
        <f>VLOOKUP($F48,Munition!$B:$P,5,FALSE)</f>
        <v>4.7</v>
      </c>
      <c r="W48" s="30">
        <f t="shared" si="4"/>
        <v>252.05676814599718</v>
      </c>
      <c r="X48" s="26">
        <f>VLOOKUP($F48,Munition!$B:$P,15,FALSE)</f>
        <v>102.25513025341134</v>
      </c>
      <c r="Y48" s="26">
        <f>VLOOKUP($F48,Munition!$B:$P,9,FALSE)</f>
        <v>1</v>
      </c>
      <c r="Z48" s="26">
        <f>VLOOKUP($F48,Munition!$B:$P,14,FALSE)</f>
        <v>1.1261048684269658E-5</v>
      </c>
      <c r="AA48" s="30">
        <f t="shared" si="5"/>
        <v>1.0967701131073551</v>
      </c>
      <c r="AB48" s="30">
        <f t="shared" si="6"/>
        <v>1.0555206104569312</v>
      </c>
      <c r="AC48" s="30">
        <f t="shared" si="7"/>
        <v>1.0158225007999642</v>
      </c>
      <c r="AD48" s="30">
        <f t="shared" si="8"/>
        <v>0.87140945973015582</v>
      </c>
      <c r="AE48" s="30">
        <f t="shared" si="9"/>
        <v>0.69235515941969739</v>
      </c>
      <c r="AF48" s="32" t="str">
        <f t="shared" si="2"/>
        <v>1D6</v>
      </c>
      <c r="AG48" s="33" t="str">
        <f t="shared" si="10"/>
        <v>-</v>
      </c>
      <c r="AH48" s="33" t="str">
        <f t="shared" si="11"/>
        <v>-</v>
      </c>
      <c r="AI48" s="33" t="str">
        <f t="shared" si="12"/>
        <v>-</v>
      </c>
      <c r="AJ48" s="33" t="str">
        <f t="shared" si="13"/>
        <v>-</v>
      </c>
      <c r="AK48">
        <v>1961</v>
      </c>
    </row>
    <row r="49" spans="1:37">
      <c r="A49" t="s">
        <v>575</v>
      </c>
      <c r="B49" t="s">
        <v>236</v>
      </c>
      <c r="C49" t="s">
        <v>681</v>
      </c>
      <c r="D49" t="s">
        <v>681</v>
      </c>
      <c r="F49" t="s">
        <v>51</v>
      </c>
      <c r="G49" t="s">
        <v>52</v>
      </c>
      <c r="H49">
        <v>4.4000000000000004</v>
      </c>
      <c r="I49">
        <v>17.7</v>
      </c>
      <c r="J49" s="9">
        <v>50</v>
      </c>
      <c r="K49" s="9">
        <v>100</v>
      </c>
      <c r="L49" s="9">
        <v>300</v>
      </c>
      <c r="M49" s="10">
        <v>600</v>
      </c>
      <c r="N49" s="10">
        <v>2</v>
      </c>
      <c r="O49" s="10">
        <v>10</v>
      </c>
      <c r="P49" s="19">
        <v>30</v>
      </c>
      <c r="Q49" s="22" t="s">
        <v>695</v>
      </c>
      <c r="R49">
        <v>10</v>
      </c>
      <c r="S49" s="26">
        <f>VLOOKUP($F49,Munition!$B:$P,10,FALSE)</f>
        <v>22</v>
      </c>
      <c r="T49" s="26">
        <f>VLOOKUP($F49,Munition!$B:$P,11,FALSE)</f>
        <v>832</v>
      </c>
      <c r="U49" s="28">
        <f t="shared" si="0"/>
        <v>787.97233973020764</v>
      </c>
      <c r="V49" s="26">
        <f>VLOOKUP($F49,Munition!$B:$P,5,FALSE)</f>
        <v>9.4499999999999993</v>
      </c>
      <c r="W49" s="30">
        <f t="shared" si="4"/>
        <v>2933.7544286500174</v>
      </c>
      <c r="X49" s="26">
        <f>VLOOKUP($F49,Munition!$B:$P,15,FALSE)</f>
        <v>207.22015034594844</v>
      </c>
      <c r="Y49" s="26">
        <f>VLOOKUP($F49,Munition!$B:$P,9,FALSE)</f>
        <v>1</v>
      </c>
      <c r="Z49" s="26">
        <f>VLOOKUP($F49,Munition!$B:$P,14,FALSE)</f>
        <v>6.9830624463123905E-6</v>
      </c>
      <c r="AA49" s="30">
        <f t="shared" si="5"/>
        <v>12.866307593289916</v>
      </c>
      <c r="AB49" s="30">
        <f t="shared" si="6"/>
        <v>11.949832236044925</v>
      </c>
      <c r="AC49" s="30">
        <f t="shared" si="7"/>
        <v>11.098638007386924</v>
      </c>
      <c r="AD49" s="30">
        <f t="shared" si="8"/>
        <v>8.2585005200103581</v>
      </c>
      <c r="AE49" s="30">
        <f t="shared" si="9"/>
        <v>5.3008860813012708</v>
      </c>
      <c r="AF49" s="32" t="str">
        <f t="shared" si="2"/>
        <v>4D6+1</v>
      </c>
      <c r="AG49" s="33" t="str">
        <f t="shared" si="10"/>
        <v>2+1</v>
      </c>
      <c r="AH49" s="33" t="str">
        <f t="shared" si="11"/>
        <v>2+1</v>
      </c>
      <c r="AI49" s="33" t="str">
        <f t="shared" si="12"/>
        <v>2+2</v>
      </c>
      <c r="AJ49" s="33" t="str">
        <f t="shared" si="13"/>
        <v>3+2</v>
      </c>
      <c r="AK49">
        <v>1956</v>
      </c>
    </row>
    <row r="50" spans="1:37">
      <c r="A50" t="s">
        <v>575</v>
      </c>
      <c r="B50" t="s">
        <v>237</v>
      </c>
      <c r="C50" t="s">
        <v>681</v>
      </c>
      <c r="D50" t="s">
        <v>681</v>
      </c>
      <c r="F50" t="s">
        <v>10</v>
      </c>
      <c r="G50" t="s">
        <v>11</v>
      </c>
      <c r="H50">
        <v>3.4</v>
      </c>
      <c r="I50">
        <v>17.7</v>
      </c>
      <c r="J50" s="9">
        <v>50</v>
      </c>
      <c r="K50" s="9">
        <v>100</v>
      </c>
      <c r="L50" s="9">
        <v>300</v>
      </c>
      <c r="M50" s="10">
        <v>600</v>
      </c>
      <c r="N50" s="10">
        <v>2</v>
      </c>
      <c r="O50" s="10">
        <v>10</v>
      </c>
      <c r="P50" s="19">
        <v>30</v>
      </c>
      <c r="Q50" s="22" t="s">
        <v>715</v>
      </c>
      <c r="R50">
        <v>10</v>
      </c>
      <c r="S50" s="26">
        <f>VLOOKUP($F50,Munition!$B:$P,10,FALSE)</f>
        <v>20</v>
      </c>
      <c r="T50" s="26">
        <f>VLOOKUP($F50,Munition!$B:$P,11,FALSE)</f>
        <v>878</v>
      </c>
      <c r="U50" s="28">
        <f t="shared" si="0"/>
        <v>851.58956977117407</v>
      </c>
      <c r="V50" s="26">
        <f>VLOOKUP($F50,Munition!$B:$P,5,FALSE)</f>
        <v>3.56</v>
      </c>
      <c r="W50" s="30">
        <f t="shared" si="4"/>
        <v>1290.864535710635</v>
      </c>
      <c r="X50" s="26">
        <f>VLOOKUP($F50,Munition!$B:$P,15,FALSE)</f>
        <v>146.62584685242678</v>
      </c>
      <c r="Y50" s="26">
        <f>VLOOKUP($F50,Munition!$B:$P,9,FALSE)</f>
        <v>1</v>
      </c>
      <c r="Z50" s="26">
        <f>VLOOKUP($F50,Munition!$B:$P,14,FALSE)</f>
        <v>3.7177960891755132E-6</v>
      </c>
      <c r="AA50" s="30">
        <f t="shared" si="5"/>
        <v>10.633376725861604</v>
      </c>
      <c r="AB50" s="30">
        <f t="shared" si="6"/>
        <v>9.5789245666356369</v>
      </c>
      <c r="AC50" s="30">
        <f t="shared" si="7"/>
        <v>8.6290364969516222</v>
      </c>
      <c r="AD50" s="30">
        <f t="shared" si="8"/>
        <v>5.6825663644955924</v>
      </c>
      <c r="AE50" s="30">
        <f t="shared" si="9"/>
        <v>3.0368114776146173</v>
      </c>
      <c r="AF50" s="32" t="str">
        <f t="shared" si="2"/>
        <v>2D6+2</v>
      </c>
      <c r="AG50" s="33" t="str">
        <f t="shared" si="10"/>
        <v>1+2</v>
      </c>
      <c r="AH50" s="33" t="str">
        <f t="shared" si="11"/>
        <v>2</v>
      </c>
      <c r="AI50" s="33" t="str">
        <f t="shared" si="12"/>
        <v>2+1</v>
      </c>
      <c r="AJ50" s="33" t="str">
        <f t="shared" si="13"/>
        <v>-</v>
      </c>
      <c r="AK50">
        <v>1984</v>
      </c>
    </row>
    <row r="51" spans="1:37">
      <c r="A51" t="s">
        <v>575</v>
      </c>
      <c r="B51" t="s">
        <v>238</v>
      </c>
      <c r="C51" t="s">
        <v>681</v>
      </c>
      <c r="D51" t="s">
        <v>681</v>
      </c>
      <c r="F51" t="s">
        <v>10</v>
      </c>
      <c r="G51" t="s">
        <v>11</v>
      </c>
      <c r="H51">
        <v>3.4</v>
      </c>
      <c r="I51">
        <v>12.2</v>
      </c>
      <c r="J51" s="9">
        <v>41</v>
      </c>
      <c r="K51" s="9">
        <v>82</v>
      </c>
      <c r="L51" s="9">
        <v>246</v>
      </c>
      <c r="M51" s="10">
        <v>492</v>
      </c>
      <c r="N51" s="10">
        <v>2</v>
      </c>
      <c r="O51" s="10">
        <v>10</v>
      </c>
      <c r="P51" s="19">
        <v>30</v>
      </c>
      <c r="Q51" s="22" t="s">
        <v>723</v>
      </c>
      <c r="R51">
        <v>10</v>
      </c>
      <c r="S51" s="26">
        <f>VLOOKUP($F51,Munition!$B:$P,10,FALSE)</f>
        <v>20</v>
      </c>
      <c r="T51" s="26">
        <f>VLOOKUP($F51,Munition!$B:$P,11,FALSE)</f>
        <v>878</v>
      </c>
      <c r="U51" s="28">
        <f t="shared" si="0"/>
        <v>775.93791705017395</v>
      </c>
      <c r="V51" s="26">
        <f>VLOOKUP($F51,Munition!$B:$P,5,FALSE)</f>
        <v>3.56</v>
      </c>
      <c r="W51" s="30">
        <f t="shared" si="4"/>
        <v>1071.7017789867696</v>
      </c>
      <c r="X51" s="26">
        <f>VLOOKUP($F51,Munition!$B:$P,15,FALSE)</f>
        <v>146.62584685242678</v>
      </c>
      <c r="Y51" s="26">
        <f>VLOOKUP($F51,Munition!$B:$P,9,FALSE)</f>
        <v>1</v>
      </c>
      <c r="Z51" s="26">
        <f>VLOOKUP($F51,Munition!$B:$P,14,FALSE)</f>
        <v>3.7177960891755132E-6</v>
      </c>
      <c r="AA51" s="30">
        <f t="shared" si="5"/>
        <v>8.8280438717521008</v>
      </c>
      <c r="AB51" s="30">
        <f t="shared" si="6"/>
        <v>8.1035223807612802</v>
      </c>
      <c r="AC51" s="30">
        <f t="shared" si="7"/>
        <v>7.438462691108719</v>
      </c>
      <c r="AD51" s="30">
        <f t="shared" si="8"/>
        <v>5.2810539200737354</v>
      </c>
      <c r="AE51" s="30">
        <f t="shared" si="9"/>
        <v>3.1591970896255805</v>
      </c>
      <c r="AF51" s="32" t="str">
        <f t="shared" si="2"/>
        <v>2D6+2</v>
      </c>
      <c r="AG51" s="33" t="str">
        <f t="shared" si="10"/>
        <v>2</v>
      </c>
      <c r="AH51" s="33" t="str">
        <f t="shared" si="11"/>
        <v>2+1</v>
      </c>
      <c r="AI51" s="33" t="str">
        <f t="shared" si="12"/>
        <v>2+1</v>
      </c>
      <c r="AJ51" s="33" t="str">
        <f t="shared" si="13"/>
        <v>-</v>
      </c>
      <c r="AK51">
        <v>1984</v>
      </c>
    </row>
    <row r="52" spans="1:37">
      <c r="A52" t="s">
        <v>574</v>
      </c>
      <c r="B52" t="s">
        <v>239</v>
      </c>
      <c r="C52" t="s">
        <v>681</v>
      </c>
      <c r="D52" t="s">
        <v>681</v>
      </c>
      <c r="F52" t="s">
        <v>51</v>
      </c>
      <c r="G52" t="s">
        <v>52</v>
      </c>
      <c r="H52">
        <v>6.1509999999999998</v>
      </c>
      <c r="I52">
        <v>15.7</v>
      </c>
      <c r="J52" s="9">
        <v>100</v>
      </c>
      <c r="K52" s="9">
        <v>200</v>
      </c>
      <c r="L52" s="9">
        <v>600</v>
      </c>
      <c r="M52" s="10">
        <v>1200</v>
      </c>
      <c r="N52" s="10"/>
      <c r="O52" s="10">
        <v>5</v>
      </c>
      <c r="P52" s="19">
        <v>50</v>
      </c>
      <c r="Q52" s="22" t="s">
        <v>724</v>
      </c>
      <c r="R52">
        <v>9</v>
      </c>
      <c r="S52" s="26">
        <f>VLOOKUP($F52,Munition!$B:$P,10,FALSE)</f>
        <v>22</v>
      </c>
      <c r="T52" s="26">
        <f>VLOOKUP($F52,Munition!$B:$P,11,FALSE)</f>
        <v>832</v>
      </c>
      <c r="U52" s="28">
        <f t="shared" si="0"/>
        <v>764.70260420559043</v>
      </c>
      <c r="V52" s="26">
        <f>VLOOKUP($F52,Munition!$B:$P,5,FALSE)</f>
        <v>9.4499999999999993</v>
      </c>
      <c r="W52" s="30">
        <f t="shared" si="4"/>
        <v>2763.0385943523861</v>
      </c>
      <c r="X52" s="26">
        <f>VLOOKUP($F52,Munition!$B:$P,15,FALSE)</f>
        <v>207.22015034594844</v>
      </c>
      <c r="Y52" s="26">
        <f>VLOOKUP($F52,Munition!$B:$P,9,FALSE)</f>
        <v>1</v>
      </c>
      <c r="Z52" s="26">
        <f>VLOOKUP($F52,Munition!$B:$P,14,FALSE)</f>
        <v>6.9830624463123905E-6</v>
      </c>
      <c r="AA52" s="30">
        <f t="shared" si="5"/>
        <v>12.117614241975861</v>
      </c>
      <c r="AB52" s="30">
        <f t="shared" si="6"/>
        <v>10.452805749412175</v>
      </c>
      <c r="AC52" s="30">
        <f t="shared" si="7"/>
        <v>9.0167211014573798</v>
      </c>
      <c r="AD52" s="30">
        <f t="shared" si="8"/>
        <v>4.9924263203040073</v>
      </c>
      <c r="AE52" s="30">
        <f t="shared" si="9"/>
        <v>2.0568669761185703</v>
      </c>
      <c r="AF52" s="32" t="str">
        <f t="shared" si="2"/>
        <v>4D6+1</v>
      </c>
      <c r="AG52" s="33" t="str">
        <f t="shared" si="10"/>
        <v>2+1</v>
      </c>
      <c r="AH52" s="33" t="str">
        <f t="shared" si="11"/>
        <v>2+2</v>
      </c>
      <c r="AI52" s="33" t="str">
        <f t="shared" si="12"/>
        <v>3+1</v>
      </c>
      <c r="AJ52" s="33" t="str">
        <f t="shared" si="13"/>
        <v>-</v>
      </c>
      <c r="AK52">
        <v>1982</v>
      </c>
    </row>
    <row r="53" spans="1:37">
      <c r="A53" t="s">
        <v>573</v>
      </c>
      <c r="B53" t="s">
        <v>240</v>
      </c>
      <c r="C53" t="s">
        <v>681</v>
      </c>
      <c r="D53" t="s">
        <v>681</v>
      </c>
      <c r="F53" t="s">
        <v>69</v>
      </c>
      <c r="G53" t="s">
        <v>70</v>
      </c>
      <c r="H53">
        <v>4.7</v>
      </c>
      <c r="I53">
        <v>31.5</v>
      </c>
      <c r="J53" s="9">
        <v>83</v>
      </c>
      <c r="K53" s="9">
        <v>166</v>
      </c>
      <c r="L53" s="9">
        <v>498</v>
      </c>
      <c r="M53" s="10">
        <v>996</v>
      </c>
      <c r="N53" s="10">
        <v>2</v>
      </c>
      <c r="O53" s="10"/>
      <c r="P53" s="18">
        <v>5</v>
      </c>
      <c r="Q53" s="22" t="s">
        <v>701</v>
      </c>
      <c r="R53">
        <v>1</v>
      </c>
      <c r="S53" s="26">
        <f>VLOOKUP($F53,Munition!$B:$P,10,FALSE)</f>
        <v>24</v>
      </c>
      <c r="T53" s="26">
        <f>VLOOKUP($F53,Munition!$B:$P,11,FALSE)</f>
        <v>735</v>
      </c>
      <c r="U53" s="28">
        <f t="shared" si="0"/>
        <v>786.70546502606669</v>
      </c>
      <c r="V53" s="26">
        <f>VLOOKUP($F53,Munition!$B:$P,5,FALSE)</f>
        <v>12.5</v>
      </c>
      <c r="W53" s="30">
        <f t="shared" si="4"/>
        <v>3868.1593043867492</v>
      </c>
      <c r="X53" s="26">
        <f>VLOOKUP($F53,Munition!$B:$P,15,FALSE)</f>
        <v>248.67959858108651</v>
      </c>
      <c r="Y53" s="26">
        <f>VLOOKUP($F53,Munition!$B:$P,9,FALSE)</f>
        <v>1</v>
      </c>
      <c r="Z53" s="26">
        <f>VLOOKUP($F53,Munition!$B:$P,14,FALSE)</f>
        <v>9.2362824015539926E-6</v>
      </c>
      <c r="AA53" s="30">
        <f t="shared" si="5"/>
        <v>15.390916849001465</v>
      </c>
      <c r="AB53" s="30">
        <f t="shared" si="6"/>
        <v>13.614286102468567</v>
      </c>
      <c r="AC53" s="30">
        <f t="shared" si="7"/>
        <v>12.042738447508009</v>
      </c>
      <c r="AD53" s="30">
        <f t="shared" si="8"/>
        <v>7.3730432033042792</v>
      </c>
      <c r="AE53" s="30">
        <f t="shared" si="9"/>
        <v>3.5320680769786845</v>
      </c>
      <c r="AF53" s="32" t="str">
        <f t="shared" si="2"/>
        <v>5D6</v>
      </c>
      <c r="AG53" s="33" t="str">
        <f t="shared" si="10"/>
        <v>2+1</v>
      </c>
      <c r="AH53" s="33" t="str">
        <f t="shared" si="11"/>
        <v>2+1</v>
      </c>
      <c r="AI53" s="33" t="str">
        <f t="shared" si="12"/>
        <v>3</v>
      </c>
      <c r="AJ53" s="33" t="str">
        <f t="shared" si="13"/>
        <v>4+2</v>
      </c>
      <c r="AK53">
        <v>1918</v>
      </c>
    </row>
    <row r="54" spans="1:37">
      <c r="A54" t="s">
        <v>572</v>
      </c>
      <c r="B54" t="s">
        <v>241</v>
      </c>
      <c r="C54" t="s">
        <v>681</v>
      </c>
      <c r="D54" t="s">
        <v>681</v>
      </c>
      <c r="F54" t="s">
        <v>174</v>
      </c>
      <c r="G54" t="s">
        <v>175</v>
      </c>
      <c r="H54">
        <v>7</v>
      </c>
      <c r="I54">
        <v>17</v>
      </c>
      <c r="J54" s="9">
        <v>100</v>
      </c>
      <c r="K54" s="9">
        <v>200</v>
      </c>
      <c r="L54" s="9">
        <v>600</v>
      </c>
      <c r="M54" s="10">
        <v>1200</v>
      </c>
      <c r="N54" s="10">
        <v>1</v>
      </c>
      <c r="O54" s="10"/>
      <c r="P54" s="18">
        <v>5</v>
      </c>
      <c r="Q54" s="22" t="s">
        <v>701</v>
      </c>
      <c r="R54">
        <v>1</v>
      </c>
      <c r="S54" s="26">
        <f>VLOOKUP($F54,Munition!$B:$P,10,FALSE)</f>
        <v>17</v>
      </c>
      <c r="T54" s="26">
        <f>VLOOKUP($F54,Munition!$B:$P,11,FALSE)</f>
        <v>295</v>
      </c>
      <c r="U54" s="28">
        <f t="shared" si="0"/>
        <v>295</v>
      </c>
      <c r="V54" s="26">
        <f>VLOOKUP($F54,Munition!$B:$P,5,FALSE)</f>
        <v>59</v>
      </c>
      <c r="W54" s="30">
        <f t="shared" si="4"/>
        <v>2567.2374999999997</v>
      </c>
      <c r="X54" s="26">
        <f>VLOOKUP($F54,Munition!$B:$P,15,FALSE)</f>
        <v>465.7519569680365</v>
      </c>
      <c r="Y54" s="26">
        <f>VLOOKUP($F54,Munition!$B:$P,9,FALSE)</f>
        <v>1</v>
      </c>
      <c r="Z54" s="26">
        <f>VLOOKUP($F54,Munition!$B:$P,14,FALSE)</f>
        <v>3.1035833094721738E-5</v>
      </c>
      <c r="AA54" s="30">
        <f t="shared" si="5"/>
        <v>4.0532064055143371</v>
      </c>
      <c r="AB54" s="30">
        <f t="shared" si="6"/>
        <v>3.648448683648799</v>
      </c>
      <c r="AC54" s="30">
        <f t="shared" si="7"/>
        <v>3.2841105202806746</v>
      </c>
      <c r="AD54" s="30">
        <f t="shared" si="8"/>
        <v>2.1560352220433319</v>
      </c>
      <c r="AE54" s="30">
        <f t="shared" si="9"/>
        <v>1.1468668046036909</v>
      </c>
      <c r="AF54" s="32" t="str">
        <f t="shared" si="2"/>
        <v>4D6</v>
      </c>
      <c r="AG54" s="33" t="str">
        <f t="shared" si="10"/>
        <v>-</v>
      </c>
      <c r="AH54" s="33" t="str">
        <f t="shared" si="11"/>
        <v>-</v>
      </c>
      <c r="AI54" s="33" t="str">
        <f t="shared" si="12"/>
        <v>-</v>
      </c>
      <c r="AJ54" s="33" t="str">
        <f t="shared" si="13"/>
        <v>-</v>
      </c>
      <c r="AK54">
        <v>2002</v>
      </c>
    </row>
    <row r="55" spans="1:37">
      <c r="A55" t="s">
        <v>580</v>
      </c>
      <c r="B55" t="s">
        <v>242</v>
      </c>
      <c r="C55" t="s">
        <v>681</v>
      </c>
      <c r="D55" t="s">
        <v>681</v>
      </c>
      <c r="F55" t="s">
        <v>83</v>
      </c>
      <c r="G55" t="s">
        <v>84</v>
      </c>
      <c r="H55">
        <v>0.95</v>
      </c>
      <c r="I55">
        <v>4</v>
      </c>
      <c r="J55" s="9">
        <v>2</v>
      </c>
      <c r="K55" s="9">
        <v>4</v>
      </c>
      <c r="L55" s="9">
        <v>12</v>
      </c>
      <c r="M55" s="10">
        <v>24</v>
      </c>
      <c r="N55" s="10">
        <v>2</v>
      </c>
      <c r="O55" s="10"/>
      <c r="P55" s="18">
        <v>6</v>
      </c>
      <c r="Q55" s="22" t="s">
        <v>699</v>
      </c>
      <c r="R55">
        <v>1</v>
      </c>
      <c r="S55" s="26">
        <f>VLOOKUP($F55,Munition!$B:$P,10,FALSE)</f>
        <v>4</v>
      </c>
      <c r="T55" s="26">
        <f>VLOOKUP($F55,Munition!$B:$P,11,FALSE)</f>
        <v>260</v>
      </c>
      <c r="U55" s="28">
        <f t="shared" si="0"/>
        <v>260</v>
      </c>
      <c r="V55" s="26">
        <f>VLOOKUP($F55,Munition!$B:$P,5,FALSE)</f>
        <v>10.6</v>
      </c>
      <c r="W55" s="30">
        <f t="shared" si="4"/>
        <v>358.28000000000003</v>
      </c>
      <c r="X55" s="26">
        <f>VLOOKUP($F55,Munition!$B:$P,15,FALSE)</f>
        <v>166.62147128632995</v>
      </c>
      <c r="Y55" s="26">
        <f>VLOOKUP($F55,Munition!$B:$P,9,FALSE)</f>
        <v>1</v>
      </c>
      <c r="Z55" s="26">
        <f>VLOOKUP($F55,Munition!$B:$P,14,FALSE)</f>
        <v>1.7534504871700157E-5</v>
      </c>
      <c r="AA55" s="30">
        <f t="shared" si="5"/>
        <v>1.1263611458955904</v>
      </c>
      <c r="AB55" s="30">
        <f t="shared" si="6"/>
        <v>1.1189328487547499</v>
      </c>
      <c r="AC55" s="30">
        <f t="shared" si="7"/>
        <v>1.1115535408733606</v>
      </c>
      <c r="AD55" s="30">
        <f t="shared" si="8"/>
        <v>1.0825197721829212</v>
      </c>
      <c r="AE55" s="30">
        <f t="shared" si="9"/>
        <v>1.0403848369922282</v>
      </c>
      <c r="AF55" s="32" t="str">
        <f t="shared" si="2"/>
        <v>1D6+1</v>
      </c>
      <c r="AG55" s="33" t="str">
        <f t="shared" si="10"/>
        <v>-</v>
      </c>
      <c r="AH55" s="33" t="str">
        <f t="shared" si="11"/>
        <v>-</v>
      </c>
      <c r="AI55" s="33" t="str">
        <f t="shared" si="12"/>
        <v>-</v>
      </c>
      <c r="AJ55" s="33" t="str">
        <f t="shared" si="13"/>
        <v>-</v>
      </c>
      <c r="AK55">
        <v>1927</v>
      </c>
    </row>
    <row r="56" spans="1:37">
      <c r="A56" t="s">
        <v>580</v>
      </c>
      <c r="B56" t="s">
        <v>243</v>
      </c>
      <c r="C56" t="s">
        <v>681</v>
      </c>
      <c r="D56" t="s">
        <v>681</v>
      </c>
      <c r="F56" t="s">
        <v>102</v>
      </c>
      <c r="G56" t="s">
        <v>244</v>
      </c>
      <c r="H56">
        <v>1.67</v>
      </c>
      <c r="I56">
        <v>8</v>
      </c>
      <c r="J56" s="9">
        <v>12</v>
      </c>
      <c r="K56" s="9">
        <v>24</v>
      </c>
      <c r="L56" s="9">
        <v>72</v>
      </c>
      <c r="M56" s="10">
        <v>144</v>
      </c>
      <c r="N56" s="10">
        <v>3</v>
      </c>
      <c r="O56" s="10"/>
      <c r="P56" s="18">
        <v>6</v>
      </c>
      <c r="Q56" s="22" t="s">
        <v>699</v>
      </c>
      <c r="R56">
        <v>1</v>
      </c>
      <c r="S56" s="26">
        <f>VLOOKUP($F56,Munition!$B:$P,10,FALSE)</f>
        <v>5</v>
      </c>
      <c r="T56" s="26">
        <f>VLOOKUP($F56,Munition!$B:$P,11,FALSE)</f>
        <v>450</v>
      </c>
      <c r="U56" s="28">
        <f t="shared" si="0"/>
        <v>506.10719267131418</v>
      </c>
      <c r="V56" s="26">
        <f>VLOOKUP($F56,Munition!$B:$P,5,FALSE)</f>
        <v>19</v>
      </c>
      <c r="W56" s="30">
        <f t="shared" si="4"/>
        <v>2433.3726594995678</v>
      </c>
      <c r="X56" s="26">
        <f>VLOOKUP($F56,Munition!$B:$P,15,FALSE)</f>
        <v>185.17026956251715</v>
      </c>
      <c r="Y56" s="26">
        <f>VLOOKUP($F56,Munition!$B:$P,9,FALSE)</f>
        <v>1</v>
      </c>
      <c r="Z56" s="26">
        <f>VLOOKUP($F56,Munition!$B:$P,14,FALSE)</f>
        <v>2.8281402907565187E-5</v>
      </c>
      <c r="AA56" s="30">
        <f t="shared" si="5"/>
        <v>4.7430344347957289</v>
      </c>
      <c r="AB56" s="30">
        <f t="shared" si="6"/>
        <v>4.5765856536569727</v>
      </c>
      <c r="AC56" s="30">
        <f t="shared" si="7"/>
        <v>4.4159781113123788</v>
      </c>
      <c r="AD56" s="30">
        <f t="shared" si="8"/>
        <v>3.8279669616953238</v>
      </c>
      <c r="AE56" s="30">
        <f t="shared" si="9"/>
        <v>3.0894422676612958</v>
      </c>
      <c r="AF56" s="32" t="str">
        <f t="shared" si="2"/>
        <v>4D6</v>
      </c>
      <c r="AG56" s="33" t="str">
        <f t="shared" si="10"/>
        <v>-</v>
      </c>
      <c r="AH56" s="33" t="str">
        <f t="shared" si="11"/>
        <v>-</v>
      </c>
      <c r="AI56" s="33" t="str">
        <f t="shared" si="12"/>
        <v>-</v>
      </c>
      <c r="AJ56" s="33" t="str">
        <f t="shared" si="13"/>
        <v>-</v>
      </c>
      <c r="AK56">
        <v>1990</v>
      </c>
    </row>
    <row r="57" spans="1:37">
      <c r="A57" t="s">
        <v>575</v>
      </c>
      <c r="B57" t="s">
        <v>245</v>
      </c>
      <c r="C57" t="s">
        <v>681</v>
      </c>
      <c r="D57" t="s">
        <v>681</v>
      </c>
      <c r="F57" t="s">
        <v>10</v>
      </c>
      <c r="G57" t="s">
        <v>11</v>
      </c>
      <c r="H57">
        <v>3.5</v>
      </c>
      <c r="I57">
        <v>20</v>
      </c>
      <c r="J57" s="9">
        <v>50</v>
      </c>
      <c r="K57" s="9">
        <v>100</v>
      </c>
      <c r="L57" s="9">
        <v>300</v>
      </c>
      <c r="M57" s="10">
        <v>600</v>
      </c>
      <c r="N57" s="10">
        <v>2</v>
      </c>
      <c r="O57" s="10"/>
      <c r="P57" s="18">
        <v>30</v>
      </c>
      <c r="Q57" s="22" t="s">
        <v>704</v>
      </c>
      <c r="R57">
        <v>1</v>
      </c>
      <c r="S57" s="26">
        <f>VLOOKUP($F57,Munition!$B:$P,10,FALSE)</f>
        <v>20</v>
      </c>
      <c r="T57" s="26">
        <f>VLOOKUP($F57,Munition!$B:$P,11,FALSE)</f>
        <v>878</v>
      </c>
      <c r="U57" s="28">
        <f t="shared" si="0"/>
        <v>878</v>
      </c>
      <c r="V57" s="26">
        <f>VLOOKUP($F57,Munition!$B:$P,5,FALSE)</f>
        <v>3.56</v>
      </c>
      <c r="W57" s="30">
        <f t="shared" si="4"/>
        <v>1372.1735200000001</v>
      </c>
      <c r="X57" s="26">
        <f>VLOOKUP($F57,Munition!$B:$P,15,FALSE)</f>
        <v>146.62584685242678</v>
      </c>
      <c r="Y57" s="26">
        <f>VLOOKUP($F57,Munition!$B:$P,9,FALSE)</f>
        <v>1</v>
      </c>
      <c r="Z57" s="26">
        <f>VLOOKUP($F57,Munition!$B:$P,14,FALSE)</f>
        <v>3.7177960891755132E-6</v>
      </c>
      <c r="AA57" s="30">
        <f t="shared" si="5"/>
        <v>11.303151932498615</v>
      </c>
      <c r="AB57" s="30">
        <f t="shared" si="6"/>
        <v>10.182281933385839</v>
      </c>
      <c r="AC57" s="30">
        <f t="shared" si="7"/>
        <v>9.1725623074091445</v>
      </c>
      <c r="AD57" s="30">
        <f t="shared" si="8"/>
        <v>6.0404998939032204</v>
      </c>
      <c r="AE57" s="30">
        <f t="shared" si="9"/>
        <v>3.2280941799372109</v>
      </c>
      <c r="AF57" s="32" t="str">
        <f t="shared" si="2"/>
        <v>3D6</v>
      </c>
      <c r="AG57" s="33" t="str">
        <f t="shared" si="10"/>
        <v>1+2</v>
      </c>
      <c r="AH57" s="33" t="str">
        <f t="shared" si="11"/>
        <v>2</v>
      </c>
      <c r="AI57" s="33" t="str">
        <f t="shared" si="12"/>
        <v>2+1</v>
      </c>
      <c r="AJ57" s="33" t="str">
        <f t="shared" si="13"/>
        <v>-</v>
      </c>
      <c r="AK57">
        <v>1963</v>
      </c>
    </row>
    <row r="58" spans="1:37">
      <c r="A58" t="s">
        <v>575</v>
      </c>
      <c r="B58" t="s">
        <v>246</v>
      </c>
      <c r="C58" t="s">
        <v>681</v>
      </c>
      <c r="D58" t="s">
        <v>681</v>
      </c>
      <c r="F58" t="s">
        <v>10</v>
      </c>
      <c r="G58" t="s">
        <v>11</v>
      </c>
      <c r="H58">
        <v>2.78</v>
      </c>
      <c r="I58">
        <v>10</v>
      </c>
      <c r="J58" s="9">
        <v>50</v>
      </c>
      <c r="K58" s="9">
        <v>100</v>
      </c>
      <c r="L58" s="9">
        <v>300</v>
      </c>
      <c r="M58" s="10">
        <v>600</v>
      </c>
      <c r="N58" s="10">
        <v>2</v>
      </c>
      <c r="O58" s="10"/>
      <c r="P58" s="18">
        <v>30</v>
      </c>
      <c r="Q58" s="22">
        <v>1</v>
      </c>
      <c r="R58">
        <v>1</v>
      </c>
      <c r="S58" s="26">
        <f>VLOOKUP($F58,Munition!$B:$P,10,FALSE)</f>
        <v>20</v>
      </c>
      <c r="T58" s="26">
        <f>VLOOKUP($F58,Munition!$B:$P,11,FALSE)</f>
        <v>878</v>
      </c>
      <c r="U58" s="28">
        <f t="shared" si="0"/>
        <v>738.30705259276135</v>
      </c>
      <c r="V58" s="26">
        <f>VLOOKUP($F58,Munition!$B:$P,5,FALSE)</f>
        <v>3.56</v>
      </c>
      <c r="W58" s="30">
        <f t="shared" si="4"/>
        <v>970.27320095661469</v>
      </c>
      <c r="X58" s="26">
        <f>VLOOKUP($F58,Munition!$B:$P,15,FALSE)</f>
        <v>146.62584685242678</v>
      </c>
      <c r="Y58" s="26">
        <f>VLOOKUP($F58,Munition!$B:$P,9,FALSE)</f>
        <v>1</v>
      </c>
      <c r="Z58" s="26">
        <f>VLOOKUP($F58,Munition!$B:$P,14,FALSE)</f>
        <v>3.7177960891755132E-6</v>
      </c>
      <c r="AA58" s="30">
        <f t="shared" si="5"/>
        <v>7.9925353802516002</v>
      </c>
      <c r="AB58" s="30">
        <f t="shared" si="6"/>
        <v>7.1999606030503953</v>
      </c>
      <c r="AC58" s="30">
        <f t="shared" si="7"/>
        <v>6.4859810084251306</v>
      </c>
      <c r="AD58" s="30">
        <f t="shared" si="8"/>
        <v>4.2712784367355878</v>
      </c>
      <c r="AE58" s="30">
        <f t="shared" si="9"/>
        <v>2.2826072849424288</v>
      </c>
      <c r="AF58" s="32" t="str">
        <f t="shared" si="2"/>
        <v>2D6+1</v>
      </c>
      <c r="AG58" s="33" t="str">
        <f t="shared" si="10"/>
        <v>2</v>
      </c>
      <c r="AH58" s="33" t="str">
        <f t="shared" si="11"/>
        <v>2+1</v>
      </c>
      <c r="AI58" s="33" t="str">
        <f t="shared" si="12"/>
        <v>-</v>
      </c>
      <c r="AJ58" s="33" t="str">
        <f t="shared" si="13"/>
        <v>-</v>
      </c>
      <c r="AK58">
        <v>1966</v>
      </c>
    </row>
    <row r="59" spans="1:37">
      <c r="A59" t="s">
        <v>580</v>
      </c>
      <c r="B59" t="s">
        <v>247</v>
      </c>
      <c r="C59" t="s">
        <v>681</v>
      </c>
      <c r="D59" t="s">
        <v>681</v>
      </c>
      <c r="F59" t="s">
        <v>248</v>
      </c>
      <c r="G59" t="s">
        <v>84</v>
      </c>
      <c r="H59">
        <v>1.1000000000000001</v>
      </c>
      <c r="I59">
        <v>12</v>
      </c>
      <c r="J59" s="9">
        <v>5</v>
      </c>
      <c r="K59" s="9">
        <v>10</v>
      </c>
      <c r="L59" s="9">
        <v>30</v>
      </c>
      <c r="M59" s="10">
        <v>60</v>
      </c>
      <c r="N59" s="10">
        <v>2</v>
      </c>
      <c r="O59" s="10"/>
      <c r="P59" s="18">
        <v>6</v>
      </c>
      <c r="Q59" s="22" t="s">
        <v>705</v>
      </c>
      <c r="R59">
        <v>1</v>
      </c>
      <c r="S59" s="26">
        <f>VLOOKUP($F59,Munition!$B:$P,10,FALSE)</f>
        <v>4</v>
      </c>
      <c r="T59" s="26">
        <f>VLOOKUP($F59,Munition!$B:$P,11,FALSE)</f>
        <v>260</v>
      </c>
      <c r="U59" s="28">
        <f t="shared" si="0"/>
        <v>342.1792433676481</v>
      </c>
      <c r="V59" s="26">
        <f>VLOOKUP($F59,Munition!$B:$P,5,FALSE)</f>
        <v>10.6</v>
      </c>
      <c r="W59" s="30">
        <f t="shared" si="4"/>
        <v>620.5591633357775</v>
      </c>
      <c r="X59" s="26">
        <f>VLOOKUP($F59,Munition!$B:$P,15,FALSE)</f>
        <v>166.62147128632995</v>
      </c>
      <c r="Y59" s="26">
        <f>VLOOKUP($F59,Munition!$B:$P,9,FALSE)</f>
        <v>1</v>
      </c>
      <c r="Z59" s="26">
        <f>VLOOKUP($F59,Munition!$B:$P,14,FALSE)</f>
        <v>1.7534504871700157E-5</v>
      </c>
      <c r="AA59" s="30">
        <f t="shared" si="5"/>
        <v>1.9509147323626637</v>
      </c>
      <c r="AB59" s="30">
        <f t="shared" si="6"/>
        <v>1.9189081844779234</v>
      </c>
      <c r="AC59" s="30">
        <f t="shared" si="7"/>
        <v>1.8874267334057215</v>
      </c>
      <c r="AD59" s="30">
        <f t="shared" si="8"/>
        <v>1.7665817094390455</v>
      </c>
      <c r="AE59" s="30">
        <f t="shared" si="9"/>
        <v>1.5996654719732974</v>
      </c>
      <c r="AF59" s="32" t="str">
        <f t="shared" si="2"/>
        <v>2D6</v>
      </c>
      <c r="AG59" s="33" t="str">
        <f t="shared" si="10"/>
        <v>-</v>
      </c>
      <c r="AH59" s="33" t="str">
        <f t="shared" si="11"/>
        <v>-</v>
      </c>
      <c r="AI59" s="33" t="str">
        <f t="shared" si="12"/>
        <v>-</v>
      </c>
      <c r="AJ59" s="33" t="str">
        <f t="shared" si="13"/>
        <v>-</v>
      </c>
      <c r="AK59">
        <v>1927</v>
      </c>
    </row>
    <row r="60" spans="1:37">
      <c r="A60" t="s">
        <v>580</v>
      </c>
      <c r="B60" t="s">
        <v>249</v>
      </c>
      <c r="C60" t="s">
        <v>681</v>
      </c>
      <c r="D60" t="s">
        <v>681</v>
      </c>
      <c r="F60" t="s">
        <v>94</v>
      </c>
      <c r="G60" t="s">
        <v>95</v>
      </c>
      <c r="H60">
        <v>1.3</v>
      </c>
      <c r="I60">
        <v>15</v>
      </c>
      <c r="J60" s="9">
        <v>5</v>
      </c>
      <c r="K60" s="9">
        <v>10</v>
      </c>
      <c r="L60" s="9">
        <v>30</v>
      </c>
      <c r="M60" s="10">
        <v>60</v>
      </c>
      <c r="N60" s="10">
        <v>3</v>
      </c>
      <c r="O60" s="10"/>
      <c r="P60" s="18">
        <v>6</v>
      </c>
      <c r="Q60" s="22" t="s">
        <v>705</v>
      </c>
      <c r="R60">
        <v>1</v>
      </c>
      <c r="S60" s="26">
        <f>VLOOKUP($F60,Munition!$B:$P,10,FALSE)</f>
        <v>6</v>
      </c>
      <c r="T60" s="26">
        <f>VLOOKUP($F60,Munition!$B:$P,11,FALSE)</f>
        <v>395</v>
      </c>
      <c r="U60" s="28">
        <f t="shared" si="0"/>
        <v>496.68620472475953</v>
      </c>
      <c r="V60" s="26">
        <f>VLOOKUP($F60,Munition!$B:$P,5,FALSE)</f>
        <v>10.199999999999999</v>
      </c>
      <c r="W60" s="30">
        <f t="shared" si="4"/>
        <v>1258.1556484158173</v>
      </c>
      <c r="X60" s="26">
        <f>VLOOKUP($F60,Munition!$B:$P,15,FALSE)</f>
        <v>160.33386859627976</v>
      </c>
      <c r="Y60" s="26">
        <f>VLOOKUP($F60,Munition!$B:$P,9,FALSE)</f>
        <v>1</v>
      </c>
      <c r="Z60" s="26">
        <f>VLOOKUP($F60,Munition!$B:$P,14,FALSE)</f>
        <v>1.7534504871700157E-5</v>
      </c>
      <c r="AA60" s="30">
        <f t="shared" si="5"/>
        <v>3.9553914197405651</v>
      </c>
      <c r="AB60" s="30">
        <f t="shared" si="6"/>
        <v>3.8879766215361506</v>
      </c>
      <c r="AC60" s="30">
        <f t="shared" si="7"/>
        <v>3.8217108259296233</v>
      </c>
      <c r="AD60" s="30">
        <f t="shared" si="8"/>
        <v>3.5677509752407914</v>
      </c>
      <c r="AE60" s="30">
        <f t="shared" si="9"/>
        <v>3.2181004787047121</v>
      </c>
      <c r="AF60" s="32" t="str">
        <f t="shared" si="2"/>
        <v>2D6+2</v>
      </c>
      <c r="AG60" s="33" t="str">
        <f t="shared" si="10"/>
        <v>-</v>
      </c>
      <c r="AH60" s="33" t="str">
        <f t="shared" si="11"/>
        <v>-</v>
      </c>
      <c r="AI60" s="33" t="str">
        <f t="shared" si="12"/>
        <v>-</v>
      </c>
      <c r="AJ60" s="33" t="str">
        <f t="shared" si="13"/>
        <v>-</v>
      </c>
      <c r="AK60">
        <v>1955</v>
      </c>
    </row>
    <row r="61" spans="1:37">
      <c r="A61" t="s">
        <v>580</v>
      </c>
      <c r="B61" t="s">
        <v>250</v>
      </c>
      <c r="C61" t="s">
        <v>681</v>
      </c>
      <c r="D61" t="s">
        <v>681</v>
      </c>
      <c r="F61" t="s">
        <v>94</v>
      </c>
      <c r="G61" t="s">
        <v>95</v>
      </c>
      <c r="H61">
        <v>0.93500000000000005</v>
      </c>
      <c r="I61">
        <v>6</v>
      </c>
      <c r="J61" s="9">
        <v>2</v>
      </c>
      <c r="K61" s="9">
        <v>4</v>
      </c>
      <c r="L61" s="9">
        <v>12</v>
      </c>
      <c r="M61" s="10">
        <v>24</v>
      </c>
      <c r="N61" s="10">
        <v>3</v>
      </c>
      <c r="O61" s="10"/>
      <c r="P61" s="18">
        <v>6</v>
      </c>
      <c r="Q61" s="22" t="s">
        <v>705</v>
      </c>
      <c r="R61">
        <v>1</v>
      </c>
      <c r="S61" s="26">
        <f>VLOOKUP($F61,Munition!$B:$P,10,FALSE)</f>
        <v>6</v>
      </c>
      <c r="T61" s="26">
        <f>VLOOKUP($F61,Munition!$B:$P,11,FALSE)</f>
        <v>395</v>
      </c>
      <c r="U61" s="28">
        <f t="shared" si="0"/>
        <v>395</v>
      </c>
      <c r="V61" s="26">
        <f>VLOOKUP($F61,Munition!$B:$P,5,FALSE)</f>
        <v>10.199999999999999</v>
      </c>
      <c r="W61" s="30">
        <f t="shared" si="4"/>
        <v>795.72749999999996</v>
      </c>
      <c r="X61" s="26">
        <f>VLOOKUP($F61,Munition!$B:$P,15,FALSE)</f>
        <v>160.33386859627976</v>
      </c>
      <c r="Y61" s="26">
        <f>VLOOKUP($F61,Munition!$B:$P,9,FALSE)</f>
        <v>1</v>
      </c>
      <c r="Z61" s="26">
        <f>VLOOKUP($F61,Munition!$B:$P,14,FALSE)</f>
        <v>1.7534504871700157E-5</v>
      </c>
      <c r="AA61" s="30">
        <f t="shared" si="5"/>
        <v>2.5016091847734545</v>
      </c>
      <c r="AB61" s="30">
        <f t="shared" si="6"/>
        <v>2.4844664352126657</v>
      </c>
      <c r="AC61" s="30">
        <f t="shared" si="7"/>
        <v>2.4674411595819743</v>
      </c>
      <c r="AD61" s="30">
        <f t="shared" si="8"/>
        <v>2.4004987786351113</v>
      </c>
      <c r="AE61" s="30">
        <f t="shared" si="9"/>
        <v>2.3034750676894808</v>
      </c>
      <c r="AF61" s="32" t="str">
        <f t="shared" si="2"/>
        <v>2D6+1</v>
      </c>
      <c r="AG61" s="33" t="str">
        <f t="shared" si="10"/>
        <v>-</v>
      </c>
      <c r="AH61" s="33" t="str">
        <f t="shared" si="11"/>
        <v>-</v>
      </c>
      <c r="AI61" s="33" t="str">
        <f t="shared" si="12"/>
        <v>-</v>
      </c>
      <c r="AJ61" s="33" t="str">
        <f t="shared" si="13"/>
        <v>-</v>
      </c>
      <c r="AK61">
        <v>1955</v>
      </c>
    </row>
    <row r="62" spans="1:37">
      <c r="A62" t="s">
        <v>571</v>
      </c>
      <c r="B62" t="s">
        <v>251</v>
      </c>
      <c r="C62" t="s">
        <v>681</v>
      </c>
      <c r="D62" t="s">
        <v>681</v>
      </c>
      <c r="F62" t="s">
        <v>108</v>
      </c>
      <c r="G62" t="s">
        <v>103</v>
      </c>
      <c r="H62">
        <v>0.75</v>
      </c>
      <c r="I62">
        <v>4.25</v>
      </c>
      <c r="J62" s="9">
        <v>6</v>
      </c>
      <c r="K62" s="9">
        <v>12</v>
      </c>
      <c r="L62" s="9">
        <v>36</v>
      </c>
      <c r="M62" s="10">
        <v>72</v>
      </c>
      <c r="N62" s="10">
        <v>3</v>
      </c>
      <c r="O62" s="10"/>
      <c r="P62" s="18">
        <v>7</v>
      </c>
      <c r="Q62" s="22" t="s">
        <v>701</v>
      </c>
      <c r="R62">
        <v>1</v>
      </c>
      <c r="S62" s="26">
        <f>VLOOKUP($F62,Munition!$B:$P,10,FALSE)</f>
        <v>5</v>
      </c>
      <c r="T62" s="26">
        <f>VLOOKUP($F62,Munition!$B:$P,11,FALSE)</f>
        <v>285</v>
      </c>
      <c r="U62" s="28">
        <f t="shared" si="0"/>
        <v>273.65260798019352</v>
      </c>
      <c r="V62" s="26">
        <f>VLOOKUP($F62,Munition!$B:$P,5,FALSE)</f>
        <v>14.84</v>
      </c>
      <c r="W62" s="30">
        <f t="shared" si="4"/>
        <v>555.6522639193621</v>
      </c>
      <c r="X62" s="26">
        <f>VLOOKUP($F62,Munition!$B:$P,15,FALSE)</f>
        <v>144.62772633198708</v>
      </c>
      <c r="Y62" s="26">
        <f>VLOOKUP($F62,Munition!$B:$P,9,FALSE)</f>
        <v>1</v>
      </c>
      <c r="Z62" s="26">
        <f>VLOOKUP($F62,Munition!$B:$P,14,FALSE)</f>
        <v>2.8281402907565187E-5</v>
      </c>
      <c r="AA62" s="30">
        <f t="shared" si="5"/>
        <v>1.0830555736102232</v>
      </c>
      <c r="AB62" s="30">
        <f t="shared" si="6"/>
        <v>1.0585681808802527</v>
      </c>
      <c r="AC62" s="30">
        <f t="shared" si="7"/>
        <v>1.0346344369355549</v>
      </c>
      <c r="AD62" s="30">
        <f t="shared" si="8"/>
        <v>0.94418980113624706</v>
      </c>
      <c r="AE62" s="30">
        <f t="shared" si="9"/>
        <v>0.82312893473972593</v>
      </c>
      <c r="AF62" s="32" t="str">
        <f t="shared" si="2"/>
        <v>1D6+2</v>
      </c>
      <c r="AG62" s="33" t="str">
        <f t="shared" si="10"/>
        <v>-</v>
      </c>
      <c r="AH62" s="33" t="str">
        <f t="shared" si="11"/>
        <v>-</v>
      </c>
      <c r="AI62" s="33" t="str">
        <f t="shared" si="12"/>
        <v>-</v>
      </c>
      <c r="AJ62" s="33" t="str">
        <f t="shared" si="13"/>
        <v>-</v>
      </c>
      <c r="AK62">
        <v>1950</v>
      </c>
    </row>
    <row r="63" spans="1:37">
      <c r="A63" t="s">
        <v>580</v>
      </c>
      <c r="B63" t="s">
        <v>252</v>
      </c>
      <c r="C63" t="s">
        <v>681</v>
      </c>
      <c r="D63" t="s">
        <v>681</v>
      </c>
      <c r="F63" t="s">
        <v>248</v>
      </c>
      <c r="G63" t="s">
        <v>84</v>
      </c>
      <c r="H63">
        <v>0.57999999999999996</v>
      </c>
      <c r="I63">
        <v>2</v>
      </c>
      <c r="J63" s="9">
        <v>2</v>
      </c>
      <c r="K63" s="9">
        <v>4</v>
      </c>
      <c r="L63" s="9">
        <v>12</v>
      </c>
      <c r="M63" s="10">
        <v>24</v>
      </c>
      <c r="N63" s="10">
        <v>3</v>
      </c>
      <c r="O63" s="10"/>
      <c r="P63" s="18">
        <v>6</v>
      </c>
      <c r="Q63" s="22" t="s">
        <v>705</v>
      </c>
      <c r="R63">
        <v>1</v>
      </c>
      <c r="S63" s="26">
        <f>VLOOKUP($F63,Munition!$B:$P,10,FALSE)</f>
        <v>4</v>
      </c>
      <c r="T63" s="26">
        <f>VLOOKUP($F63,Munition!$B:$P,11,FALSE)</f>
        <v>260</v>
      </c>
      <c r="U63" s="28">
        <f t="shared" si="0"/>
        <v>218.63306796596578</v>
      </c>
      <c r="V63" s="26">
        <f>VLOOKUP($F63,Munition!$B:$P,5,FALSE)</f>
        <v>10.6</v>
      </c>
      <c r="W63" s="30">
        <f t="shared" si="4"/>
        <v>253.34221756351627</v>
      </c>
      <c r="X63" s="26">
        <f>VLOOKUP($F63,Munition!$B:$P,15,FALSE)</f>
        <v>166.62147128632995</v>
      </c>
      <c r="Y63" s="26">
        <f>VLOOKUP($F63,Munition!$B:$P,9,FALSE)</f>
        <v>1</v>
      </c>
      <c r="Z63" s="26">
        <f>VLOOKUP($F63,Munition!$B:$P,14,FALSE)</f>
        <v>1.7534504871700157E-5</v>
      </c>
      <c r="AA63" s="30">
        <f t="shared" si="5"/>
        <v>0.7964576043278222</v>
      </c>
      <c r="AB63" s="30">
        <f t="shared" si="6"/>
        <v>0.79120500504686497</v>
      </c>
      <c r="AC63" s="30">
        <f t="shared" si="7"/>
        <v>0.7859870464034715</v>
      </c>
      <c r="AD63" s="30">
        <f t="shared" si="8"/>
        <v>0.76545707167906007</v>
      </c>
      <c r="AE63" s="30">
        <f t="shared" si="9"/>
        <v>0.73566317328086561</v>
      </c>
      <c r="AF63" s="32" t="str">
        <f t="shared" si="2"/>
        <v>1D6</v>
      </c>
      <c r="AG63" s="33" t="str">
        <f t="shared" si="10"/>
        <v>-</v>
      </c>
      <c r="AH63" s="33" t="str">
        <f t="shared" si="11"/>
        <v>-</v>
      </c>
      <c r="AI63" s="33" t="str">
        <f t="shared" si="12"/>
        <v>-</v>
      </c>
      <c r="AJ63" s="33" t="str">
        <f t="shared" si="13"/>
        <v>-</v>
      </c>
      <c r="AK63">
        <v>1927</v>
      </c>
    </row>
    <row r="64" spans="1:37">
      <c r="A64" t="s">
        <v>571</v>
      </c>
      <c r="B64" t="s">
        <v>253</v>
      </c>
      <c r="C64" t="s">
        <v>681</v>
      </c>
      <c r="D64" t="s">
        <v>681</v>
      </c>
      <c r="F64" t="s">
        <v>73</v>
      </c>
      <c r="G64" t="s">
        <v>223</v>
      </c>
      <c r="H64">
        <v>0.61</v>
      </c>
      <c r="I64">
        <v>3.25</v>
      </c>
      <c r="J64" s="9">
        <v>10</v>
      </c>
      <c r="K64" s="9">
        <v>20</v>
      </c>
      <c r="L64" s="9">
        <v>60</v>
      </c>
      <c r="M64" s="10">
        <v>120</v>
      </c>
      <c r="N64" s="10">
        <v>3</v>
      </c>
      <c r="O64" s="10"/>
      <c r="P64" s="18">
        <v>7</v>
      </c>
      <c r="Q64" s="22" t="s">
        <v>701</v>
      </c>
      <c r="R64">
        <v>1</v>
      </c>
      <c r="S64" s="26">
        <f>VLOOKUP($F64,Munition!$B:$P,10,FALSE)</f>
        <v>3.7</v>
      </c>
      <c r="T64" s="26">
        <f>VLOOKUP($F64,Munition!$B:$P,11,FALSE)</f>
        <v>297</v>
      </c>
      <c r="U64" s="28">
        <f t="shared" si="0"/>
        <v>287.52582519704896</v>
      </c>
      <c r="V64" s="26">
        <f>VLOOKUP($F64,Munition!$B:$P,5,FALSE)</f>
        <v>5.68</v>
      </c>
      <c r="W64" s="30">
        <f t="shared" si="4"/>
        <v>234.78592444089281</v>
      </c>
      <c r="X64" s="26">
        <f>VLOOKUP($F64,Munition!$B:$P,15,FALSE)</f>
        <v>89.283958198712639</v>
      </c>
      <c r="Y64" s="26">
        <f>VLOOKUP($F64,Munition!$B:$P,9,FALSE)</f>
        <v>1</v>
      </c>
      <c r="Z64" s="26">
        <f>VLOOKUP($F64,Munition!$B:$P,14,FALSE)</f>
        <v>1.5586226552622361E-5</v>
      </c>
      <c r="AA64" s="30">
        <f t="shared" si="5"/>
        <v>0.73812030505023873</v>
      </c>
      <c r="AB64" s="30">
        <f t="shared" si="6"/>
        <v>0.69870299136409475</v>
      </c>
      <c r="AC64" s="30">
        <f t="shared" si="7"/>
        <v>0.66139065244642858</v>
      </c>
      <c r="AD64" s="30">
        <f t="shared" si="8"/>
        <v>0.53103097338056615</v>
      </c>
      <c r="AE64" s="30">
        <f t="shared" si="9"/>
        <v>0.38204326958641005</v>
      </c>
      <c r="AF64" s="32" t="str">
        <f t="shared" si="2"/>
        <v>1D6</v>
      </c>
      <c r="AG64" s="33" t="str">
        <f t="shared" si="10"/>
        <v>-</v>
      </c>
      <c r="AH64" s="33" t="str">
        <f t="shared" si="11"/>
        <v>-</v>
      </c>
      <c r="AI64" s="33" t="str">
        <f t="shared" si="12"/>
        <v>-</v>
      </c>
      <c r="AJ64" s="33" t="str">
        <f t="shared" si="13"/>
        <v>-</v>
      </c>
      <c r="AK64">
        <v>1983</v>
      </c>
    </row>
    <row r="65" spans="1:37">
      <c r="A65" t="s">
        <v>575</v>
      </c>
      <c r="B65" t="s">
        <v>254</v>
      </c>
      <c r="C65" t="s">
        <v>681</v>
      </c>
      <c r="D65" t="s">
        <v>681</v>
      </c>
      <c r="F65" t="s">
        <v>10</v>
      </c>
      <c r="G65" t="s">
        <v>11</v>
      </c>
      <c r="H65">
        <v>3.1</v>
      </c>
      <c r="I65">
        <v>20</v>
      </c>
      <c r="J65" s="9">
        <v>41</v>
      </c>
      <c r="K65" s="9">
        <v>82</v>
      </c>
      <c r="L65" s="9">
        <v>246</v>
      </c>
      <c r="M65" s="10">
        <v>492</v>
      </c>
      <c r="N65" s="10">
        <v>2</v>
      </c>
      <c r="O65" s="10">
        <v>10</v>
      </c>
      <c r="P65" s="19">
        <v>30</v>
      </c>
      <c r="Q65" s="22" t="s">
        <v>716</v>
      </c>
      <c r="R65">
        <v>10</v>
      </c>
      <c r="S65" s="26">
        <f>VLOOKUP($F65,Munition!$B:$P,10,FALSE)</f>
        <v>20</v>
      </c>
      <c r="T65" s="26">
        <f>VLOOKUP($F65,Munition!$B:$P,11,FALSE)</f>
        <v>878</v>
      </c>
      <c r="U65" s="28">
        <f t="shared" si="0"/>
        <v>878</v>
      </c>
      <c r="V65" s="26">
        <f>VLOOKUP($F65,Munition!$B:$P,5,FALSE)</f>
        <v>3.56</v>
      </c>
      <c r="W65" s="30">
        <f t="shared" si="4"/>
        <v>1372.1735200000001</v>
      </c>
      <c r="X65" s="26">
        <f>VLOOKUP($F65,Munition!$B:$P,15,FALSE)</f>
        <v>146.62584685242678</v>
      </c>
      <c r="Y65" s="26">
        <f>VLOOKUP($F65,Munition!$B:$P,9,FALSE)</f>
        <v>1</v>
      </c>
      <c r="Z65" s="26">
        <f>VLOOKUP($F65,Munition!$B:$P,14,FALSE)</f>
        <v>3.7177960891755132E-6</v>
      </c>
      <c r="AA65" s="30">
        <f t="shared" si="5"/>
        <v>11.303151932498615</v>
      </c>
      <c r="AB65" s="30">
        <f t="shared" si="6"/>
        <v>10.375497220990672</v>
      </c>
      <c r="AC65" s="30">
        <f t="shared" si="7"/>
        <v>9.5239755446681311</v>
      </c>
      <c r="AD65" s="30">
        <f t="shared" si="8"/>
        <v>6.7616966668363041</v>
      </c>
      <c r="AE65" s="30">
        <f t="shared" si="9"/>
        <v>4.0449373844874472</v>
      </c>
      <c r="AF65" s="32" t="str">
        <f t="shared" si="2"/>
        <v>3D6</v>
      </c>
      <c r="AG65" s="33" t="str">
        <f t="shared" si="10"/>
        <v>1+2</v>
      </c>
      <c r="AH65" s="33" t="str">
        <f t="shared" si="11"/>
        <v>2</v>
      </c>
      <c r="AI65" s="33" t="str">
        <f t="shared" si="12"/>
        <v>2</v>
      </c>
      <c r="AJ65" s="33" t="str">
        <f t="shared" si="13"/>
        <v>-</v>
      </c>
      <c r="AK65">
        <v>1967</v>
      </c>
    </row>
    <row r="66" spans="1:37">
      <c r="A66" t="s">
        <v>575</v>
      </c>
      <c r="B66" t="s">
        <v>255</v>
      </c>
      <c r="C66" t="s">
        <v>681</v>
      </c>
      <c r="D66" t="s">
        <v>681</v>
      </c>
      <c r="F66" t="s">
        <v>10</v>
      </c>
      <c r="G66" t="s">
        <v>11</v>
      </c>
      <c r="H66">
        <v>2.6309999999999998</v>
      </c>
      <c r="I66">
        <v>14.5</v>
      </c>
      <c r="J66" s="9">
        <v>41</v>
      </c>
      <c r="K66" s="9">
        <v>82</v>
      </c>
      <c r="L66" s="9">
        <v>246</v>
      </c>
      <c r="M66" s="10">
        <v>492</v>
      </c>
      <c r="N66" s="10">
        <v>2</v>
      </c>
      <c r="O66" s="10">
        <v>10</v>
      </c>
      <c r="P66" s="19">
        <v>30</v>
      </c>
      <c r="Q66" s="22" t="s">
        <v>725</v>
      </c>
      <c r="R66">
        <v>10</v>
      </c>
      <c r="S66" s="26">
        <f>VLOOKUP($F66,Munition!$B:$P,10,FALSE)</f>
        <v>20</v>
      </c>
      <c r="T66" s="26">
        <f>VLOOKUP($F66,Munition!$B:$P,11,FALSE)</f>
        <v>878</v>
      </c>
      <c r="U66" s="28">
        <f t="shared" ref="U66:U129" si="14">T66 * POWER(I66/S66,0.25)</f>
        <v>810.17533532287962</v>
      </c>
      <c r="V66" s="26">
        <f>VLOOKUP($F66,Munition!$B:$P,5,FALSE)</f>
        <v>3.56</v>
      </c>
      <c r="W66" s="30">
        <f t="shared" si="4"/>
        <v>1168.3636516586619</v>
      </c>
      <c r="X66" s="26">
        <f>VLOOKUP($F66,Munition!$B:$P,15,FALSE)</f>
        <v>146.62584685242678</v>
      </c>
      <c r="Y66" s="26">
        <f>VLOOKUP($F66,Munition!$B:$P,9,FALSE)</f>
        <v>1</v>
      </c>
      <c r="Z66" s="26">
        <f>VLOOKUP($F66,Munition!$B:$P,14,FALSE)</f>
        <v>3.7177960891755132E-6</v>
      </c>
      <c r="AA66" s="30">
        <f t="shared" si="5"/>
        <v>9.6242870705643284</v>
      </c>
      <c r="AB66" s="30">
        <f t="shared" si="6"/>
        <v>8.8344175457422907</v>
      </c>
      <c r="AC66" s="30">
        <f t="shared" si="7"/>
        <v>8.1093729644893973</v>
      </c>
      <c r="AD66" s="30">
        <f t="shared" si="8"/>
        <v>5.7573772514376067</v>
      </c>
      <c r="AE66" s="30">
        <f t="shared" si="9"/>
        <v>3.4441400773208266</v>
      </c>
      <c r="AF66" s="32" t="str">
        <f t="shared" ref="AF66:AF129" si="15">IF(INT(SQRT(W66)/12)=0, MOD(INT(SQRT(W66)/4),3), INT(SQRT(W66)/12) &amp; "D6" &amp; IF(MOD(INT(SQRT(W66)/4),3)=0, "", "+" &amp; MOD(INT(SQRT(W66)/4),3)))</f>
        <v>2D6+2</v>
      </c>
      <c r="AG66" s="33" t="str">
        <f t="shared" si="10"/>
        <v>2</v>
      </c>
      <c r="AH66" s="33" t="str">
        <f t="shared" si="11"/>
        <v>2</v>
      </c>
      <c r="AI66" s="33" t="str">
        <f t="shared" si="12"/>
        <v>2+1</v>
      </c>
      <c r="AJ66" s="33" t="str">
        <f t="shared" si="13"/>
        <v>-</v>
      </c>
      <c r="AK66">
        <v>1967</v>
      </c>
    </row>
    <row r="67" spans="1:37">
      <c r="A67" t="s">
        <v>574</v>
      </c>
      <c r="B67" t="s">
        <v>256</v>
      </c>
      <c r="C67" t="s">
        <v>681</v>
      </c>
      <c r="D67" t="s">
        <v>681</v>
      </c>
      <c r="F67" t="s">
        <v>10</v>
      </c>
      <c r="G67" t="s">
        <v>11</v>
      </c>
      <c r="H67">
        <v>3.5830000000000002</v>
      </c>
      <c r="I67">
        <v>20</v>
      </c>
      <c r="J67" s="9">
        <v>58</v>
      </c>
      <c r="K67" s="9">
        <v>116</v>
      </c>
      <c r="L67" s="9">
        <v>348</v>
      </c>
      <c r="M67" s="10">
        <v>696</v>
      </c>
      <c r="N67" s="10">
        <v>2</v>
      </c>
      <c r="O67" s="10">
        <v>10</v>
      </c>
      <c r="P67" s="19">
        <v>50</v>
      </c>
      <c r="Q67" s="22" t="s">
        <v>725</v>
      </c>
      <c r="R67">
        <v>10</v>
      </c>
      <c r="S67" s="26">
        <f>VLOOKUP($F67,Munition!$B:$P,10,FALSE)</f>
        <v>20</v>
      </c>
      <c r="T67" s="26">
        <f>VLOOKUP($F67,Munition!$B:$P,11,FALSE)</f>
        <v>878</v>
      </c>
      <c r="U67" s="28">
        <f t="shared" si="14"/>
        <v>878</v>
      </c>
      <c r="V67" s="26">
        <f>VLOOKUP($F67,Munition!$B:$P,5,FALSE)</f>
        <v>3.56</v>
      </c>
      <c r="W67" s="30">
        <f t="shared" ref="W67:W130" si="16">0.5 * (V67/1000) * (U67^2)</f>
        <v>1372.1735200000001</v>
      </c>
      <c r="X67" s="26">
        <f>VLOOKUP($F67,Munition!$B:$P,15,FALSE)</f>
        <v>146.62584685242678</v>
      </c>
      <c r="Y67" s="26">
        <f>VLOOKUP($F67,Munition!$B:$P,9,FALSE)</f>
        <v>1</v>
      </c>
      <c r="Z67" s="26">
        <f>VLOOKUP($F67,Munition!$B:$P,14,FALSE)</f>
        <v>3.7177960891755132E-6</v>
      </c>
      <c r="AA67" s="30">
        <f t="shared" ref="AA67:AA130" si="17">0.0000001 * X67 * (2 * W67 / (V67/1000)) * Y67</f>
        <v>11.303151932498615</v>
      </c>
      <c r="AB67" s="30">
        <f t="shared" ref="AB67:AB130" si="18">0.0000001 * $X67 * (2 * $W67 * EXP(-(2*$Z67/($V67/1000)) * J67) / ($V67/1000))  * $Y67</f>
        <v>10.013557738194789</v>
      </c>
      <c r="AC67" s="30">
        <f t="shared" ref="AC67:AC130" si="19">0.0000001 * $X67 * (2 * $W67 * EXP(-(2*$Z67/($V67/1000)) * K67) / ($V67/1000))  * $Y67</f>
        <v>8.8710953524266483</v>
      </c>
      <c r="AD67" s="30">
        <f t="shared" ref="AD67:AD130" si="20">0.0000001 * $X67 * (2 * $W67 * EXP(-(2*$Z67/($V67/1000)) * L67) / ($V67/1000))  * $Y67</f>
        <v>5.4642758007557202</v>
      </c>
      <c r="AE67" s="30">
        <f t="shared" ref="AE67:AE130" si="21">0.0000001 * $X67 * (2 * $W67 * EXP(-(2*$Z67/($V67/1000)) * M67) / ($V67/1000))  * $Y67</f>
        <v>2.6415914963397507</v>
      </c>
      <c r="AF67" s="32" t="str">
        <f t="shared" si="15"/>
        <v>3D6</v>
      </c>
      <c r="AG67" s="33" t="str">
        <f t="shared" ref="AG67:AG130" si="22">IF((SQRT($W67)*(7/AA67))&gt;=(SQRT($W67)),"-",IF(INT(SQRT($W67)*(7/AA67)/12)=0, MOD(INT(SQRT($W67)*(7/AA67)/4),3), INT(SQRT($W67)*(7/AA67)/12)  &amp; IF(MOD(INT(SQRT($W67)*(7/AA67)/4),3)=0, "", "+" &amp; MOD(INT(SQRT($W67)*(7/AA67)/4),3))))</f>
        <v>1+2</v>
      </c>
      <c r="AH67" s="33" t="str">
        <f t="shared" ref="AH67:AH130" si="23">IF((SQRT($W67)*(7/AB67))&gt;=(SQRT($W67)),"-",IF(INT(SQRT($W67)*(7/AB67)/12)=0, MOD(INT(SQRT($W67)*(7/AB67)/4),3), INT(SQRT($W67)*(7/AB67)/12)  &amp; IF(MOD(INT(SQRT($W67)*(7/AB67)/4),3)=0, "", "+" &amp; MOD(INT(SQRT($W67)*(7/AB67)/4),3))))</f>
        <v>2</v>
      </c>
      <c r="AI67" s="33" t="str">
        <f t="shared" ref="AI67:AI130" si="24">IF((SQRT($W67)*(7/AC67))&gt;=(SQRT($W67)),"-",IF(INT(SQRT($W67)*(7/AC67)/12)=0, MOD(INT(SQRT($W67)*(7/AC67)/4),3), INT(SQRT($W67)*(7/AC67)/12)  &amp; IF(MOD(INT(SQRT($W67)*(7/AC67)/4),3)=0, "", "+" &amp; MOD(INT(SQRT($W67)*(7/AC67)/4),3))))</f>
        <v>2+1</v>
      </c>
      <c r="AJ67" s="33" t="str">
        <f t="shared" ref="AJ67:AJ130" si="25">IF((SQRT($W67)*(7/AD67))&gt;=(SQRT($W67)),"-",IF(INT(SQRT($W67)*(7/AD67)/12)=0, MOD(INT(SQRT($W67)*(7/AD67)/4),3), INT(SQRT($W67)*(7/AD67)/12)  &amp; IF(MOD(INT(SQRT($W67)*(7/AD67)/4),3)=0, "", "+" &amp; MOD(INT(SQRT($W67)*(7/AD67)/4),3))))</f>
        <v>-</v>
      </c>
      <c r="AK67">
        <v>1967</v>
      </c>
    </row>
    <row r="68" spans="1:37">
      <c r="A68" t="s">
        <v>575</v>
      </c>
      <c r="B68" t="s">
        <v>257</v>
      </c>
      <c r="C68" t="s">
        <v>681</v>
      </c>
      <c r="D68" t="s">
        <v>681</v>
      </c>
      <c r="F68" t="s">
        <v>10</v>
      </c>
      <c r="G68" t="s">
        <v>11</v>
      </c>
      <c r="H68">
        <v>3.9</v>
      </c>
      <c r="I68">
        <v>20</v>
      </c>
      <c r="J68" s="9">
        <v>50</v>
      </c>
      <c r="K68" s="9">
        <v>100</v>
      </c>
      <c r="L68" s="9">
        <v>300</v>
      </c>
      <c r="M68" s="10">
        <v>600</v>
      </c>
      <c r="N68" s="10">
        <v>2</v>
      </c>
      <c r="O68" s="10">
        <v>3</v>
      </c>
      <c r="P68" s="19">
        <v>30</v>
      </c>
      <c r="Q68" s="22" t="s">
        <v>726</v>
      </c>
      <c r="R68">
        <v>3</v>
      </c>
      <c r="S68" s="26">
        <f>VLOOKUP($F68,Munition!$B:$P,10,FALSE)</f>
        <v>20</v>
      </c>
      <c r="T68" s="26">
        <f>VLOOKUP($F68,Munition!$B:$P,11,FALSE)</f>
        <v>878</v>
      </c>
      <c r="U68" s="28">
        <f t="shared" si="14"/>
        <v>878</v>
      </c>
      <c r="V68" s="26">
        <f>VLOOKUP($F68,Munition!$B:$P,5,FALSE)</f>
        <v>3.56</v>
      </c>
      <c r="W68" s="30">
        <f t="shared" si="16"/>
        <v>1372.1735200000001</v>
      </c>
      <c r="X68" s="26">
        <f>VLOOKUP($F68,Munition!$B:$P,15,FALSE)</f>
        <v>146.62584685242678</v>
      </c>
      <c r="Y68" s="26">
        <f>VLOOKUP($F68,Munition!$B:$P,9,FALSE)</f>
        <v>1</v>
      </c>
      <c r="Z68" s="26">
        <f>VLOOKUP($F68,Munition!$B:$P,14,FALSE)</f>
        <v>3.7177960891755132E-6</v>
      </c>
      <c r="AA68" s="30">
        <f t="shared" si="17"/>
        <v>11.303151932498615</v>
      </c>
      <c r="AB68" s="30">
        <f t="shared" si="18"/>
        <v>10.182281933385839</v>
      </c>
      <c r="AC68" s="30">
        <f t="shared" si="19"/>
        <v>9.1725623074091445</v>
      </c>
      <c r="AD68" s="30">
        <f t="shared" si="20"/>
        <v>6.0404998939032204</v>
      </c>
      <c r="AE68" s="30">
        <f t="shared" si="21"/>
        <v>3.2280941799372109</v>
      </c>
      <c r="AF68" s="32" t="str">
        <f t="shared" si="15"/>
        <v>3D6</v>
      </c>
      <c r="AG68" s="33" t="str">
        <f t="shared" si="22"/>
        <v>1+2</v>
      </c>
      <c r="AH68" s="33" t="str">
        <f t="shared" si="23"/>
        <v>2</v>
      </c>
      <c r="AI68" s="33" t="str">
        <f t="shared" si="24"/>
        <v>2+1</v>
      </c>
      <c r="AJ68" s="33" t="str">
        <f t="shared" si="25"/>
        <v>-</v>
      </c>
      <c r="AK68">
        <v>1982</v>
      </c>
    </row>
    <row r="69" spans="1:37">
      <c r="A69" t="s">
        <v>575</v>
      </c>
      <c r="B69" t="s">
        <v>258</v>
      </c>
      <c r="C69" t="s">
        <v>681</v>
      </c>
      <c r="D69" t="s">
        <v>681</v>
      </c>
      <c r="F69" t="s">
        <v>10</v>
      </c>
      <c r="G69" t="s">
        <v>11</v>
      </c>
      <c r="H69">
        <v>2.6760000000000002</v>
      </c>
      <c r="I69">
        <v>14.5</v>
      </c>
      <c r="J69" s="9">
        <v>50</v>
      </c>
      <c r="K69" s="9">
        <v>100</v>
      </c>
      <c r="L69" s="9">
        <v>300</v>
      </c>
      <c r="M69" s="10">
        <v>600</v>
      </c>
      <c r="N69" s="10">
        <v>2</v>
      </c>
      <c r="O69" s="10">
        <v>3</v>
      </c>
      <c r="P69" s="19">
        <v>30</v>
      </c>
      <c r="Q69" s="22" t="s">
        <v>726</v>
      </c>
      <c r="R69">
        <v>3</v>
      </c>
      <c r="S69" s="26">
        <f>VLOOKUP($F69,Munition!$B:$P,10,FALSE)</f>
        <v>20</v>
      </c>
      <c r="T69" s="26">
        <f>VLOOKUP($F69,Munition!$B:$P,11,FALSE)</f>
        <v>878</v>
      </c>
      <c r="U69" s="28">
        <f t="shared" si="14"/>
        <v>810.17533532287962</v>
      </c>
      <c r="V69" s="26">
        <f>VLOOKUP($F69,Munition!$B:$P,5,FALSE)</f>
        <v>3.56</v>
      </c>
      <c r="W69" s="30">
        <f t="shared" si="16"/>
        <v>1168.3636516586619</v>
      </c>
      <c r="X69" s="26">
        <f>VLOOKUP($F69,Munition!$B:$P,15,FALSE)</f>
        <v>146.62584685242678</v>
      </c>
      <c r="Y69" s="26">
        <f>VLOOKUP($F69,Munition!$B:$P,9,FALSE)</f>
        <v>1</v>
      </c>
      <c r="Z69" s="26">
        <f>VLOOKUP($F69,Munition!$B:$P,14,FALSE)</f>
        <v>3.7177960891755132E-6</v>
      </c>
      <c r="AA69" s="30">
        <f t="shared" si="17"/>
        <v>9.6242870705643284</v>
      </c>
      <c r="AB69" s="30">
        <f t="shared" si="18"/>
        <v>8.6699006565209764</v>
      </c>
      <c r="AC69" s="30">
        <f t="shared" si="19"/>
        <v>7.8101553749201855</v>
      </c>
      <c r="AD69" s="30">
        <f t="shared" si="20"/>
        <v>5.1433003268307687</v>
      </c>
      <c r="AE69" s="30">
        <f t="shared" si="21"/>
        <v>2.7486231507874548</v>
      </c>
      <c r="AF69" s="32" t="str">
        <f t="shared" si="15"/>
        <v>2D6+2</v>
      </c>
      <c r="AG69" s="33" t="str">
        <f t="shared" si="22"/>
        <v>2</v>
      </c>
      <c r="AH69" s="33" t="str">
        <f t="shared" si="23"/>
        <v>2</v>
      </c>
      <c r="AI69" s="33" t="str">
        <f t="shared" si="24"/>
        <v>2+1</v>
      </c>
      <c r="AJ69" s="33" t="str">
        <f t="shared" si="25"/>
        <v>-</v>
      </c>
      <c r="AK69">
        <v>1982</v>
      </c>
    </row>
    <row r="70" spans="1:37">
      <c r="A70" t="s">
        <v>575</v>
      </c>
      <c r="B70" t="s">
        <v>259</v>
      </c>
      <c r="C70" t="s">
        <v>681</v>
      </c>
      <c r="D70" t="s">
        <v>681</v>
      </c>
      <c r="F70" t="s">
        <v>10</v>
      </c>
      <c r="G70" t="s">
        <v>11</v>
      </c>
      <c r="H70">
        <v>2.7</v>
      </c>
      <c r="I70">
        <v>20</v>
      </c>
      <c r="J70" s="9">
        <v>50</v>
      </c>
      <c r="K70" s="9">
        <v>100</v>
      </c>
      <c r="L70" s="9">
        <v>300</v>
      </c>
      <c r="M70" s="10">
        <v>600</v>
      </c>
      <c r="N70" s="10">
        <v>2</v>
      </c>
      <c r="O70" s="10">
        <v>3</v>
      </c>
      <c r="P70" s="19">
        <v>30</v>
      </c>
      <c r="Q70" s="22" t="s">
        <v>727</v>
      </c>
      <c r="R70">
        <v>3</v>
      </c>
      <c r="S70" s="26">
        <f>VLOOKUP($F70,Munition!$B:$P,10,FALSE)</f>
        <v>20</v>
      </c>
      <c r="T70" s="26">
        <f>VLOOKUP($F70,Munition!$B:$P,11,FALSE)</f>
        <v>878</v>
      </c>
      <c r="U70" s="28">
        <f t="shared" si="14"/>
        <v>878</v>
      </c>
      <c r="V70" s="26">
        <f>VLOOKUP($F70,Munition!$B:$P,5,FALSE)</f>
        <v>3.56</v>
      </c>
      <c r="W70" s="30">
        <f t="shared" si="16"/>
        <v>1372.1735200000001</v>
      </c>
      <c r="X70" s="26">
        <f>VLOOKUP($F70,Munition!$B:$P,15,FALSE)</f>
        <v>146.62584685242678</v>
      </c>
      <c r="Y70" s="26">
        <f>VLOOKUP($F70,Munition!$B:$P,9,FALSE)</f>
        <v>1</v>
      </c>
      <c r="Z70" s="26">
        <f>VLOOKUP($F70,Munition!$B:$P,14,FALSE)</f>
        <v>3.7177960891755132E-6</v>
      </c>
      <c r="AA70" s="30">
        <f t="shared" si="17"/>
        <v>11.303151932498615</v>
      </c>
      <c r="AB70" s="30">
        <f t="shared" si="18"/>
        <v>10.182281933385839</v>
      </c>
      <c r="AC70" s="30">
        <f t="shared" si="19"/>
        <v>9.1725623074091445</v>
      </c>
      <c r="AD70" s="30">
        <f t="shared" si="20"/>
        <v>6.0404998939032204</v>
      </c>
      <c r="AE70" s="30">
        <f t="shared" si="21"/>
        <v>3.2280941799372109</v>
      </c>
      <c r="AF70" s="32" t="str">
        <f t="shared" si="15"/>
        <v>3D6</v>
      </c>
      <c r="AG70" s="33" t="str">
        <f t="shared" si="22"/>
        <v>1+2</v>
      </c>
      <c r="AH70" s="33" t="str">
        <f t="shared" si="23"/>
        <v>2</v>
      </c>
      <c r="AI70" s="33" t="str">
        <f t="shared" si="24"/>
        <v>2+1</v>
      </c>
      <c r="AJ70" s="33" t="str">
        <f t="shared" si="25"/>
        <v>-</v>
      </c>
      <c r="AK70">
        <v>1997</v>
      </c>
    </row>
    <row r="71" spans="1:37">
      <c r="A71" t="s">
        <v>571</v>
      </c>
      <c r="B71" t="s">
        <v>260</v>
      </c>
      <c r="C71" t="s">
        <v>681</v>
      </c>
      <c r="D71" t="s">
        <v>681</v>
      </c>
      <c r="F71" t="s">
        <v>108</v>
      </c>
      <c r="G71" t="s">
        <v>103</v>
      </c>
      <c r="H71">
        <v>1.08</v>
      </c>
      <c r="I71">
        <v>5</v>
      </c>
      <c r="J71" s="9">
        <v>5</v>
      </c>
      <c r="K71" s="9">
        <v>10</v>
      </c>
      <c r="L71" s="9">
        <v>30</v>
      </c>
      <c r="M71" s="10">
        <v>60</v>
      </c>
      <c r="N71" s="10">
        <v>2</v>
      </c>
      <c r="O71" s="10"/>
      <c r="P71" s="18">
        <v>7</v>
      </c>
      <c r="Q71" s="22" t="s">
        <v>701</v>
      </c>
      <c r="R71">
        <v>1</v>
      </c>
      <c r="S71" s="26">
        <f>VLOOKUP($F71,Munition!$B:$P,10,FALSE)</f>
        <v>5</v>
      </c>
      <c r="T71" s="26">
        <f>VLOOKUP($F71,Munition!$B:$P,11,FALSE)</f>
        <v>285</v>
      </c>
      <c r="U71" s="28">
        <f t="shared" si="14"/>
        <v>285</v>
      </c>
      <c r="V71" s="26">
        <f>VLOOKUP($F71,Munition!$B:$P,5,FALSE)</f>
        <v>14.84</v>
      </c>
      <c r="W71" s="30">
        <f t="shared" si="16"/>
        <v>602.68949999999995</v>
      </c>
      <c r="X71" s="26">
        <f>VLOOKUP($F71,Munition!$B:$P,15,FALSE)</f>
        <v>144.62772633198708</v>
      </c>
      <c r="Y71" s="26">
        <f>VLOOKUP($F71,Munition!$B:$P,9,FALSE)</f>
        <v>1</v>
      </c>
      <c r="Z71" s="26">
        <f>VLOOKUP($F71,Munition!$B:$P,14,FALSE)</f>
        <v>2.8281402907565187E-5</v>
      </c>
      <c r="AA71" s="30">
        <f t="shared" si="17"/>
        <v>1.1747387071315649</v>
      </c>
      <c r="AB71" s="30">
        <f t="shared" si="18"/>
        <v>1.1525630445572304</v>
      </c>
      <c r="AC71" s="30">
        <f t="shared" si="19"/>
        <v>1.1308059942305604</v>
      </c>
      <c r="AD71" s="30">
        <f t="shared" si="20"/>
        <v>1.0478080923906747</v>
      </c>
      <c r="AE71" s="30">
        <f t="shared" si="21"/>
        <v>0.93459234110043232</v>
      </c>
      <c r="AF71" s="32" t="str">
        <f t="shared" si="15"/>
        <v>2D6</v>
      </c>
      <c r="AG71" s="33" t="str">
        <f t="shared" si="22"/>
        <v>-</v>
      </c>
      <c r="AH71" s="33" t="str">
        <f t="shared" si="23"/>
        <v>-</v>
      </c>
      <c r="AI71" s="33" t="str">
        <f t="shared" si="24"/>
        <v>-</v>
      </c>
      <c r="AJ71" s="33" t="str">
        <f t="shared" si="25"/>
        <v>-</v>
      </c>
      <c r="AK71">
        <v>1926</v>
      </c>
    </row>
    <row r="72" spans="1:37">
      <c r="A72" t="s">
        <v>577</v>
      </c>
      <c r="B72" t="s">
        <v>261</v>
      </c>
      <c r="C72" t="s">
        <v>681</v>
      </c>
      <c r="D72" t="s">
        <v>681</v>
      </c>
      <c r="F72" t="s">
        <v>108</v>
      </c>
      <c r="G72" t="s">
        <v>103</v>
      </c>
      <c r="H72">
        <v>3.47</v>
      </c>
      <c r="I72">
        <v>8</v>
      </c>
      <c r="J72" s="9">
        <v>8</v>
      </c>
      <c r="K72" s="9">
        <v>16</v>
      </c>
      <c r="L72" s="9">
        <v>48</v>
      </c>
      <c r="M72" s="10">
        <v>96</v>
      </c>
      <c r="N72" s="10"/>
      <c r="O72" s="10">
        <v>3</v>
      </c>
      <c r="P72" s="18">
        <v>30</v>
      </c>
      <c r="Q72" s="22">
        <v>35</v>
      </c>
      <c r="R72">
        <v>5</v>
      </c>
      <c r="S72" s="26">
        <f>VLOOKUP($F72,Munition!$B:$P,10,FALSE)</f>
        <v>5</v>
      </c>
      <c r="T72" s="26">
        <f>VLOOKUP($F72,Munition!$B:$P,11,FALSE)</f>
        <v>285</v>
      </c>
      <c r="U72" s="28">
        <f t="shared" si="14"/>
        <v>320.53455535849895</v>
      </c>
      <c r="V72" s="26">
        <f>VLOOKUP($F72,Munition!$B:$P,5,FALSE)</f>
        <v>14.84</v>
      </c>
      <c r="W72" s="30">
        <f t="shared" si="16"/>
        <v>762.34861674722003</v>
      </c>
      <c r="X72" s="26">
        <f>VLOOKUP($F72,Munition!$B:$P,15,FALSE)</f>
        <v>144.62772633198708</v>
      </c>
      <c r="Y72" s="26">
        <f>VLOOKUP($F72,Munition!$B:$P,9,FALSE)</f>
        <v>1</v>
      </c>
      <c r="Z72" s="26">
        <f>VLOOKUP($F72,Munition!$B:$P,14,FALSE)</f>
        <v>2.8281402907565187E-5</v>
      </c>
      <c r="AA72" s="30">
        <f t="shared" si="17"/>
        <v>1.4859399880388926</v>
      </c>
      <c r="AB72" s="30">
        <f t="shared" si="18"/>
        <v>1.4413144099974722</v>
      </c>
      <c r="AC72" s="30">
        <f t="shared" si="19"/>
        <v>1.398029022159937</v>
      </c>
      <c r="AD72" s="30">
        <f t="shared" si="20"/>
        <v>1.2375023184340781</v>
      </c>
      <c r="AE72" s="30">
        <f t="shared" si="21"/>
        <v>1.0306015050788415</v>
      </c>
      <c r="AF72" s="32" t="str">
        <f t="shared" si="15"/>
        <v>2D6</v>
      </c>
      <c r="AG72" s="33" t="str">
        <f t="shared" si="22"/>
        <v>-</v>
      </c>
      <c r="AH72" s="33" t="str">
        <f t="shared" si="23"/>
        <v>-</v>
      </c>
      <c r="AI72" s="33" t="str">
        <f t="shared" si="24"/>
        <v>-</v>
      </c>
      <c r="AJ72" s="33" t="str">
        <f t="shared" si="25"/>
        <v>-</v>
      </c>
      <c r="AK72">
        <v>1942</v>
      </c>
    </row>
    <row r="73" spans="1:37">
      <c r="A73" t="s">
        <v>575</v>
      </c>
      <c r="B73" t="s">
        <v>262</v>
      </c>
      <c r="C73" t="s">
        <v>681</v>
      </c>
      <c r="D73" t="s">
        <v>681</v>
      </c>
      <c r="F73" t="s">
        <v>10</v>
      </c>
      <c r="G73" t="s">
        <v>11</v>
      </c>
      <c r="H73">
        <v>2.94</v>
      </c>
      <c r="I73">
        <v>14.5</v>
      </c>
      <c r="J73" s="9">
        <v>50</v>
      </c>
      <c r="K73" s="9">
        <v>100</v>
      </c>
      <c r="L73" s="9">
        <v>300</v>
      </c>
      <c r="M73" s="10">
        <v>600</v>
      </c>
      <c r="N73" s="10">
        <v>2</v>
      </c>
      <c r="O73" s="10">
        <v>3</v>
      </c>
      <c r="P73" s="19">
        <v>30</v>
      </c>
      <c r="Q73" s="22" t="s">
        <v>728</v>
      </c>
      <c r="R73">
        <v>3</v>
      </c>
      <c r="S73" s="26">
        <f>VLOOKUP($F73,Munition!$B:$P,10,FALSE)</f>
        <v>20</v>
      </c>
      <c r="T73" s="26">
        <f>VLOOKUP($F73,Munition!$B:$P,11,FALSE)</f>
        <v>878</v>
      </c>
      <c r="U73" s="28">
        <f t="shared" si="14"/>
        <v>810.17533532287962</v>
      </c>
      <c r="V73" s="26">
        <f>VLOOKUP($F73,Munition!$B:$P,5,FALSE)</f>
        <v>3.56</v>
      </c>
      <c r="W73" s="30">
        <f t="shared" si="16"/>
        <v>1168.3636516586619</v>
      </c>
      <c r="X73" s="26">
        <f>VLOOKUP($F73,Munition!$B:$P,15,FALSE)</f>
        <v>146.62584685242678</v>
      </c>
      <c r="Y73" s="26">
        <f>VLOOKUP($F73,Munition!$B:$P,9,FALSE)</f>
        <v>1</v>
      </c>
      <c r="Z73" s="26">
        <f>VLOOKUP($F73,Munition!$B:$P,14,FALSE)</f>
        <v>3.7177960891755132E-6</v>
      </c>
      <c r="AA73" s="30">
        <f t="shared" si="17"/>
        <v>9.6242870705643284</v>
      </c>
      <c r="AB73" s="30">
        <f t="shared" si="18"/>
        <v>8.6699006565209764</v>
      </c>
      <c r="AC73" s="30">
        <f t="shared" si="19"/>
        <v>7.8101553749201855</v>
      </c>
      <c r="AD73" s="30">
        <f t="shared" si="20"/>
        <v>5.1433003268307687</v>
      </c>
      <c r="AE73" s="30">
        <f t="shared" si="21"/>
        <v>2.7486231507874548</v>
      </c>
      <c r="AF73" s="32" t="str">
        <f t="shared" si="15"/>
        <v>2D6+2</v>
      </c>
      <c r="AG73" s="33" t="str">
        <f t="shared" si="22"/>
        <v>2</v>
      </c>
      <c r="AH73" s="33" t="str">
        <f t="shared" si="23"/>
        <v>2</v>
      </c>
      <c r="AI73" s="33" t="str">
        <f t="shared" si="24"/>
        <v>2+1</v>
      </c>
      <c r="AJ73" s="33" t="str">
        <f t="shared" si="25"/>
        <v>-</v>
      </c>
      <c r="AK73">
        <v>1994</v>
      </c>
    </row>
    <row r="74" spans="1:37">
      <c r="A74" t="s">
        <v>575</v>
      </c>
      <c r="B74" t="s">
        <v>263</v>
      </c>
      <c r="C74" t="s">
        <v>681</v>
      </c>
      <c r="D74" t="s">
        <v>681</v>
      </c>
      <c r="F74" t="s">
        <v>10</v>
      </c>
      <c r="G74" t="s">
        <v>11</v>
      </c>
      <c r="H74">
        <v>2.6080000000000001</v>
      </c>
      <c r="I74">
        <v>14.5</v>
      </c>
      <c r="J74" s="9">
        <v>50</v>
      </c>
      <c r="K74" s="9">
        <v>100</v>
      </c>
      <c r="L74" s="9">
        <v>300</v>
      </c>
      <c r="M74" s="10">
        <v>600</v>
      </c>
      <c r="N74" s="10">
        <v>2</v>
      </c>
      <c r="O74" s="10">
        <v>10</v>
      </c>
      <c r="P74" s="19">
        <v>30</v>
      </c>
      <c r="Q74" s="22" t="s">
        <v>726</v>
      </c>
      <c r="R74">
        <v>3</v>
      </c>
      <c r="S74" s="26">
        <f>VLOOKUP($F74,Munition!$B:$P,10,FALSE)</f>
        <v>20</v>
      </c>
      <c r="T74" s="26">
        <f>VLOOKUP($F74,Munition!$B:$P,11,FALSE)</f>
        <v>878</v>
      </c>
      <c r="U74" s="28">
        <f t="shared" si="14"/>
        <v>810.17533532287962</v>
      </c>
      <c r="V74" s="26">
        <f>VLOOKUP($F74,Munition!$B:$P,5,FALSE)</f>
        <v>3.56</v>
      </c>
      <c r="W74" s="30">
        <f t="shared" si="16"/>
        <v>1168.3636516586619</v>
      </c>
      <c r="X74" s="26">
        <f>VLOOKUP($F74,Munition!$B:$P,15,FALSE)</f>
        <v>146.62584685242678</v>
      </c>
      <c r="Y74" s="26">
        <f>VLOOKUP($F74,Munition!$B:$P,9,FALSE)</f>
        <v>1</v>
      </c>
      <c r="Z74" s="26">
        <f>VLOOKUP($F74,Munition!$B:$P,14,FALSE)</f>
        <v>3.7177960891755132E-6</v>
      </c>
      <c r="AA74" s="30">
        <f t="shared" si="17"/>
        <v>9.6242870705643284</v>
      </c>
      <c r="AB74" s="30">
        <f t="shared" si="18"/>
        <v>8.6699006565209764</v>
      </c>
      <c r="AC74" s="30">
        <f t="shared" si="19"/>
        <v>7.8101553749201855</v>
      </c>
      <c r="AD74" s="30">
        <f t="shared" si="20"/>
        <v>5.1433003268307687</v>
      </c>
      <c r="AE74" s="30">
        <f t="shared" si="21"/>
        <v>2.7486231507874548</v>
      </c>
      <c r="AF74" s="32" t="str">
        <f t="shared" si="15"/>
        <v>2D6+2</v>
      </c>
      <c r="AG74" s="33" t="str">
        <f t="shared" si="22"/>
        <v>2</v>
      </c>
      <c r="AH74" s="33" t="str">
        <f t="shared" si="23"/>
        <v>2</v>
      </c>
      <c r="AI74" s="33" t="str">
        <f t="shared" si="24"/>
        <v>2+1</v>
      </c>
      <c r="AJ74" s="33" t="str">
        <f t="shared" si="25"/>
        <v>-</v>
      </c>
      <c r="AK74">
        <v>1994</v>
      </c>
    </row>
    <row r="75" spans="1:37">
      <c r="A75" t="s">
        <v>577</v>
      </c>
      <c r="B75" t="s">
        <v>264</v>
      </c>
      <c r="C75" t="s">
        <v>681</v>
      </c>
      <c r="D75" t="s">
        <v>681</v>
      </c>
      <c r="F75" t="s">
        <v>82</v>
      </c>
      <c r="G75" t="s">
        <v>79</v>
      </c>
      <c r="H75">
        <v>3.0619999999999998</v>
      </c>
      <c r="I75">
        <v>10.5</v>
      </c>
      <c r="J75" s="9">
        <v>10</v>
      </c>
      <c r="K75" s="9">
        <v>20</v>
      </c>
      <c r="L75" s="9">
        <v>60</v>
      </c>
      <c r="M75" s="10">
        <v>120</v>
      </c>
      <c r="N75" s="10">
        <v>1</v>
      </c>
      <c r="O75" s="10">
        <v>3</v>
      </c>
      <c r="P75" s="19">
        <v>30</v>
      </c>
      <c r="Q75" s="22" t="s">
        <v>729</v>
      </c>
      <c r="R75">
        <v>5</v>
      </c>
      <c r="S75" s="26">
        <f>VLOOKUP($F75,Munition!$B:$P,10,FALSE)</f>
        <v>4.5</v>
      </c>
      <c r="T75" s="26">
        <f>VLOOKUP($F75,Munition!$B:$P,11,FALSE)</f>
        <v>300</v>
      </c>
      <c r="U75" s="28">
        <f t="shared" si="14"/>
        <v>370.77927510673413</v>
      </c>
      <c r="V75" s="26">
        <f>VLOOKUP($F75,Munition!$B:$P,5,FALSE)</f>
        <v>8</v>
      </c>
      <c r="W75" s="30">
        <f t="shared" si="16"/>
        <v>549.90908339470093</v>
      </c>
      <c r="X75" s="26">
        <f>VLOOKUP($F75,Munition!$B:$P,15,FALSE)</f>
        <v>125.75205380100374</v>
      </c>
      <c r="Y75" s="26">
        <f>VLOOKUP($F75,Munition!$B:$P,9,FALSE)</f>
        <v>1</v>
      </c>
      <c r="Z75" s="26">
        <f>VLOOKUP($F75,Munition!$B:$P,14,FALSE)</f>
        <v>1.5586226552622361E-5</v>
      </c>
      <c r="AA75" s="30">
        <f t="shared" si="17"/>
        <v>1.728804916017777</v>
      </c>
      <c r="AB75" s="30">
        <f t="shared" si="18"/>
        <v>1.6627366070080003</v>
      </c>
      <c r="AC75" s="30">
        <f t="shared" si="19"/>
        <v>1.5991931759731577</v>
      </c>
      <c r="AD75" s="30">
        <f t="shared" si="20"/>
        <v>1.3683928807766579</v>
      </c>
      <c r="AE75" s="30">
        <f t="shared" si="21"/>
        <v>1.0831176258299036</v>
      </c>
      <c r="AF75" s="32" t="str">
        <f t="shared" si="15"/>
        <v>1D6+2</v>
      </c>
      <c r="AG75" s="33" t="str">
        <f t="shared" si="22"/>
        <v>-</v>
      </c>
      <c r="AH75" s="33" t="str">
        <f t="shared" si="23"/>
        <v>-</v>
      </c>
      <c r="AI75" s="33" t="str">
        <f t="shared" si="24"/>
        <v>-</v>
      </c>
      <c r="AJ75" s="33" t="str">
        <f t="shared" si="25"/>
        <v>-</v>
      </c>
      <c r="AK75">
        <v>1985</v>
      </c>
    </row>
    <row r="76" spans="1:37">
      <c r="A76" t="s">
        <v>577</v>
      </c>
      <c r="B76" t="s">
        <v>265</v>
      </c>
      <c r="C76" t="s">
        <v>681</v>
      </c>
      <c r="D76" t="s">
        <v>681</v>
      </c>
      <c r="F76" t="s">
        <v>182</v>
      </c>
      <c r="G76" t="s">
        <v>79</v>
      </c>
      <c r="H76">
        <v>2.6080000000000001</v>
      </c>
      <c r="I76">
        <v>10.5</v>
      </c>
      <c r="J76" s="9">
        <v>16</v>
      </c>
      <c r="K76" s="9">
        <v>32</v>
      </c>
      <c r="L76" s="9">
        <v>96</v>
      </c>
      <c r="M76" s="10">
        <v>192</v>
      </c>
      <c r="N76" s="10">
        <v>1</v>
      </c>
      <c r="O76" s="10">
        <v>5</v>
      </c>
      <c r="P76" s="19">
        <v>30</v>
      </c>
      <c r="Q76" s="22" t="s">
        <v>730</v>
      </c>
      <c r="R76">
        <v>10</v>
      </c>
      <c r="S76" s="26">
        <f>VLOOKUP($F76,Munition!$B:$P,10,FALSE)</f>
        <v>4.5</v>
      </c>
      <c r="T76" s="26">
        <f>VLOOKUP($F76,Munition!$B:$P,11,FALSE)</f>
        <v>450</v>
      </c>
      <c r="U76" s="28">
        <f t="shared" si="14"/>
        <v>556.16891266010123</v>
      </c>
      <c r="V76" s="26">
        <f>VLOOKUP($F76,Munition!$B:$P,5,FALSE)</f>
        <v>6.75</v>
      </c>
      <c r="W76" s="30">
        <f t="shared" si="16"/>
        <v>1043.9680255071275</v>
      </c>
      <c r="X76" s="26">
        <f>VLOOKUP($F76,Munition!$B:$P,15,FALSE)</f>
        <v>106.1032953945969</v>
      </c>
      <c r="Y76" s="26">
        <f>VLOOKUP($F76,Munition!$B:$P,9,FALSE)</f>
        <v>1</v>
      </c>
      <c r="Z76" s="26">
        <f>VLOOKUP($F76,Munition!$B:$P,14,FALSE)</f>
        <v>1.5586226552622361E-5</v>
      </c>
      <c r="AA76" s="30">
        <f t="shared" si="17"/>
        <v>3.2820280827524981</v>
      </c>
      <c r="AB76" s="30">
        <f t="shared" si="18"/>
        <v>3.0482610790614695</v>
      </c>
      <c r="AC76" s="30">
        <f t="shared" si="19"/>
        <v>2.8311444545374749</v>
      </c>
      <c r="AD76" s="30">
        <f t="shared" si="20"/>
        <v>2.1066942103829391</v>
      </c>
      <c r="AE76" s="30">
        <f t="shared" si="21"/>
        <v>1.3522615846537478</v>
      </c>
      <c r="AF76" s="32" t="str">
        <f t="shared" si="15"/>
        <v>2D6+2</v>
      </c>
      <c r="AG76" s="33" t="str">
        <f t="shared" si="22"/>
        <v>-</v>
      </c>
      <c r="AH76" s="33" t="str">
        <f t="shared" si="23"/>
        <v>-</v>
      </c>
      <c r="AI76" s="33" t="str">
        <f t="shared" si="24"/>
        <v>-</v>
      </c>
      <c r="AJ76" s="33" t="str">
        <f t="shared" si="25"/>
        <v>-</v>
      </c>
      <c r="AK76">
        <v>1985</v>
      </c>
    </row>
    <row r="77" spans="1:37">
      <c r="A77" t="s">
        <v>571</v>
      </c>
      <c r="B77" t="s">
        <v>266</v>
      </c>
      <c r="C77" t="s">
        <v>681</v>
      </c>
      <c r="D77" t="s">
        <v>681</v>
      </c>
      <c r="F77" t="s">
        <v>182</v>
      </c>
      <c r="G77" t="s">
        <v>79</v>
      </c>
      <c r="H77">
        <v>1.18</v>
      </c>
      <c r="I77">
        <v>4.7</v>
      </c>
      <c r="J77" s="9">
        <v>8</v>
      </c>
      <c r="K77" s="9">
        <v>16</v>
      </c>
      <c r="L77" s="9">
        <v>48</v>
      </c>
      <c r="M77" s="10">
        <v>96</v>
      </c>
      <c r="N77" s="10">
        <v>3</v>
      </c>
      <c r="O77" s="10"/>
      <c r="P77" s="18">
        <v>15</v>
      </c>
      <c r="Q77" s="22" t="s">
        <v>701</v>
      </c>
      <c r="R77">
        <v>1</v>
      </c>
      <c r="S77" s="26">
        <f>VLOOKUP($F77,Munition!$B:$P,10,FALSE)</f>
        <v>4.5</v>
      </c>
      <c r="T77" s="26">
        <f>VLOOKUP($F77,Munition!$B:$P,11,FALSE)</f>
        <v>450</v>
      </c>
      <c r="U77" s="28">
        <f t="shared" si="14"/>
        <v>454.91876327120707</v>
      </c>
      <c r="V77" s="26">
        <f>VLOOKUP($F77,Munition!$B:$P,5,FALSE)</f>
        <v>6.75</v>
      </c>
      <c r="W77" s="30">
        <f t="shared" si="16"/>
        <v>698.45989896969036</v>
      </c>
      <c r="X77" s="26">
        <f>VLOOKUP($F77,Munition!$B:$P,15,FALSE)</f>
        <v>106.1032953945969</v>
      </c>
      <c r="Y77" s="26">
        <f>VLOOKUP($F77,Munition!$B:$P,9,FALSE)</f>
        <v>1</v>
      </c>
      <c r="Z77" s="26">
        <f>VLOOKUP($F77,Munition!$B:$P,14,FALSE)</f>
        <v>1.5586226552622361E-5</v>
      </c>
      <c r="AA77" s="30">
        <f t="shared" si="17"/>
        <v>2.1958191698270029</v>
      </c>
      <c r="AB77" s="30">
        <f t="shared" si="18"/>
        <v>2.116174643654678</v>
      </c>
      <c r="AC77" s="30">
        <f t="shared" si="19"/>
        <v>2.0394189029690519</v>
      </c>
      <c r="AD77" s="30">
        <f t="shared" si="20"/>
        <v>1.7592443976827326</v>
      </c>
      <c r="AE77" s="30">
        <f t="shared" si="21"/>
        <v>1.4094698203322065</v>
      </c>
      <c r="AF77" s="32" t="str">
        <f t="shared" si="15"/>
        <v>2D6</v>
      </c>
      <c r="AG77" s="33" t="str">
        <f t="shared" si="22"/>
        <v>-</v>
      </c>
      <c r="AH77" s="33" t="str">
        <f t="shared" si="23"/>
        <v>-</v>
      </c>
      <c r="AI77" s="33" t="str">
        <f t="shared" si="24"/>
        <v>-</v>
      </c>
      <c r="AJ77" s="33" t="str">
        <f t="shared" si="25"/>
        <v>-</v>
      </c>
      <c r="AK77">
        <v>1975</v>
      </c>
    </row>
    <row r="78" spans="1:37">
      <c r="A78" t="s">
        <v>574</v>
      </c>
      <c r="B78" t="s">
        <v>267</v>
      </c>
      <c r="C78" t="s">
        <v>681</v>
      </c>
      <c r="D78" t="s">
        <v>681</v>
      </c>
      <c r="F78" t="s">
        <v>142</v>
      </c>
      <c r="G78" t="s">
        <v>143</v>
      </c>
      <c r="H78">
        <v>46.7</v>
      </c>
      <c r="I78">
        <v>42.5</v>
      </c>
      <c r="J78" s="9">
        <v>333</v>
      </c>
      <c r="K78" s="9">
        <v>666</v>
      </c>
      <c r="L78" s="9">
        <v>1998</v>
      </c>
      <c r="M78" s="10">
        <v>3996</v>
      </c>
      <c r="N78" s="10"/>
      <c r="O78" s="10">
        <v>5</v>
      </c>
      <c r="P78" s="18">
        <v>50</v>
      </c>
      <c r="Q78" s="22" t="s">
        <v>706</v>
      </c>
      <c r="R78">
        <v>10</v>
      </c>
      <c r="S78" s="26">
        <f>VLOOKUP($F78,Munition!$B:$P,10,FALSE)</f>
        <v>31</v>
      </c>
      <c r="T78" s="26">
        <f>VLOOKUP($F78,Munition!$B:$P,11,FALSE)</f>
        <v>859</v>
      </c>
      <c r="U78" s="28">
        <f t="shared" si="14"/>
        <v>929.50123873066195</v>
      </c>
      <c r="V78" s="26">
        <f>VLOOKUP($F78,Munition!$B:$P,5,FALSE)</f>
        <v>52</v>
      </c>
      <c r="W78" s="30">
        <f t="shared" si="16"/>
        <v>22463.28637284771</v>
      </c>
      <c r="X78" s="26">
        <f>VLOOKUP($F78,Munition!$B:$P,15,FALSE)</f>
        <v>410.49325020911692</v>
      </c>
      <c r="Y78" s="26">
        <f>VLOOKUP($F78,Munition!$B:$P,9,FALSE)</f>
        <v>1</v>
      </c>
      <c r="Z78" s="26">
        <f>VLOOKUP($F78,Munition!$B:$P,14,FALSE)</f>
        <v>2.7156353957881518E-5</v>
      </c>
      <c r="AA78" s="30">
        <f t="shared" si="17"/>
        <v>35.465490129109313</v>
      </c>
      <c r="AB78" s="30">
        <f t="shared" si="18"/>
        <v>25.046895530845632</v>
      </c>
      <c r="AC78" s="30">
        <f t="shared" si="19"/>
        <v>17.688941375102605</v>
      </c>
      <c r="AD78" s="30">
        <f t="shared" si="20"/>
        <v>4.4004145856192824</v>
      </c>
      <c r="AE78" s="30">
        <f t="shared" si="21"/>
        <v>0.54598564561885632</v>
      </c>
      <c r="AF78" s="32" t="str">
        <f t="shared" si="15"/>
        <v>12D6+1</v>
      </c>
      <c r="AG78" s="33" t="str">
        <f t="shared" si="22"/>
        <v>2+1</v>
      </c>
      <c r="AH78" s="33" t="str">
        <f t="shared" si="23"/>
        <v>3+1</v>
      </c>
      <c r="AI78" s="33" t="str">
        <f t="shared" si="24"/>
        <v>4+2</v>
      </c>
      <c r="AJ78" s="33" t="str">
        <f t="shared" si="25"/>
        <v>-</v>
      </c>
      <c r="AK78">
        <v>1938</v>
      </c>
    </row>
    <row r="79" spans="1:37">
      <c r="A79" t="s">
        <v>574</v>
      </c>
      <c r="B79" t="s">
        <v>268</v>
      </c>
      <c r="C79" t="s">
        <v>681</v>
      </c>
      <c r="D79" t="s">
        <v>681</v>
      </c>
      <c r="F79" t="s">
        <v>142</v>
      </c>
      <c r="G79" t="s">
        <v>143</v>
      </c>
      <c r="H79">
        <v>46.7</v>
      </c>
      <c r="I79">
        <v>42.5</v>
      </c>
      <c r="J79" s="9">
        <v>333</v>
      </c>
      <c r="K79" s="9">
        <v>666</v>
      </c>
      <c r="L79" s="9">
        <v>1998</v>
      </c>
      <c r="M79" s="10">
        <v>3996</v>
      </c>
      <c r="N79" s="10"/>
      <c r="O79" s="10">
        <v>5</v>
      </c>
      <c r="P79" s="18">
        <v>50</v>
      </c>
      <c r="Q79" s="22" t="s">
        <v>706</v>
      </c>
      <c r="R79">
        <v>10</v>
      </c>
      <c r="S79" s="26">
        <f>VLOOKUP($F79,Munition!$B:$P,10,FALSE)</f>
        <v>31</v>
      </c>
      <c r="T79" s="26">
        <f>VLOOKUP($F79,Munition!$B:$P,11,FALSE)</f>
        <v>859</v>
      </c>
      <c r="U79" s="28">
        <f t="shared" si="14"/>
        <v>929.50123873066195</v>
      </c>
      <c r="V79" s="26">
        <f>VLOOKUP($F79,Munition!$B:$P,5,FALSE)</f>
        <v>52</v>
      </c>
      <c r="W79" s="30">
        <f t="shared" si="16"/>
        <v>22463.28637284771</v>
      </c>
      <c r="X79" s="26">
        <f>VLOOKUP($F79,Munition!$B:$P,15,FALSE)</f>
        <v>410.49325020911692</v>
      </c>
      <c r="Y79" s="26">
        <f>VLOOKUP($F79,Munition!$B:$P,9,FALSE)</f>
        <v>1</v>
      </c>
      <c r="Z79" s="26">
        <f>VLOOKUP($F79,Munition!$B:$P,14,FALSE)</f>
        <v>2.7156353957881518E-5</v>
      </c>
      <c r="AA79" s="30">
        <f t="shared" si="17"/>
        <v>35.465490129109313</v>
      </c>
      <c r="AB79" s="30">
        <f t="shared" si="18"/>
        <v>25.046895530845632</v>
      </c>
      <c r="AC79" s="30">
        <f t="shared" si="19"/>
        <v>17.688941375102605</v>
      </c>
      <c r="AD79" s="30">
        <f t="shared" si="20"/>
        <v>4.4004145856192824</v>
      </c>
      <c r="AE79" s="30">
        <f t="shared" si="21"/>
        <v>0.54598564561885632</v>
      </c>
      <c r="AF79" s="32" t="str">
        <f t="shared" si="15"/>
        <v>12D6+1</v>
      </c>
      <c r="AG79" s="33" t="str">
        <f t="shared" si="22"/>
        <v>2+1</v>
      </c>
      <c r="AH79" s="33" t="str">
        <f t="shared" si="23"/>
        <v>3+1</v>
      </c>
      <c r="AI79" s="33" t="str">
        <f t="shared" si="24"/>
        <v>4+2</v>
      </c>
      <c r="AJ79" s="33" t="str">
        <f t="shared" si="25"/>
        <v>-</v>
      </c>
      <c r="AK79">
        <v>1938</v>
      </c>
    </row>
    <row r="80" spans="1:37">
      <c r="A80" t="s">
        <v>579</v>
      </c>
      <c r="B80" t="s">
        <v>269</v>
      </c>
      <c r="C80" t="s">
        <v>681</v>
      </c>
      <c r="D80" t="s">
        <v>681</v>
      </c>
      <c r="F80" t="s">
        <v>108</v>
      </c>
      <c r="G80" t="s">
        <v>103</v>
      </c>
      <c r="H80">
        <v>3.74</v>
      </c>
      <c r="I80">
        <v>8.5</v>
      </c>
      <c r="J80" s="9">
        <v>33</v>
      </c>
      <c r="K80" s="9">
        <v>66</v>
      </c>
      <c r="L80" s="9">
        <v>198</v>
      </c>
      <c r="M80" s="10">
        <v>396</v>
      </c>
      <c r="N80" s="10">
        <v>1</v>
      </c>
      <c r="O80" s="10"/>
      <c r="P80" s="18">
        <v>11</v>
      </c>
      <c r="Q80" s="22" t="s">
        <v>699</v>
      </c>
      <c r="R80">
        <v>1</v>
      </c>
      <c r="S80" s="26">
        <f>VLOOKUP($F80,Munition!$B:$P,10,FALSE)</f>
        <v>5</v>
      </c>
      <c r="T80" s="26">
        <f>VLOOKUP($F80,Munition!$B:$P,11,FALSE)</f>
        <v>285</v>
      </c>
      <c r="U80" s="28">
        <f t="shared" si="14"/>
        <v>325.42962844909658</v>
      </c>
      <c r="V80" s="26">
        <f>VLOOKUP($F80,Munition!$B:$P,5,FALSE)</f>
        <v>14.84</v>
      </c>
      <c r="W80" s="30">
        <f t="shared" si="16"/>
        <v>785.81096759807645</v>
      </c>
      <c r="X80" s="26">
        <f>VLOOKUP($F80,Munition!$B:$P,15,FALSE)</f>
        <v>144.62772633198708</v>
      </c>
      <c r="Y80" s="26">
        <f>VLOOKUP($F80,Munition!$B:$P,9,FALSE)</f>
        <v>1</v>
      </c>
      <c r="Z80" s="26">
        <f>VLOOKUP($F80,Munition!$B:$P,14,FALSE)</f>
        <v>2.8281402907565187E-5</v>
      </c>
      <c r="AA80" s="30">
        <f t="shared" si="17"/>
        <v>1.5316718810033501</v>
      </c>
      <c r="AB80" s="30">
        <f t="shared" si="18"/>
        <v>1.3506420165741717</v>
      </c>
      <c r="AC80" s="30">
        <f t="shared" si="19"/>
        <v>1.1910082567687716</v>
      </c>
      <c r="AD80" s="30">
        <f t="shared" si="20"/>
        <v>0.7201332072438692</v>
      </c>
      <c r="AE80" s="30">
        <f t="shared" si="21"/>
        <v>0.33857893626383512</v>
      </c>
      <c r="AF80" s="32" t="str">
        <f t="shared" si="15"/>
        <v>2D6+1</v>
      </c>
      <c r="AG80" s="33" t="str">
        <f t="shared" si="22"/>
        <v>-</v>
      </c>
      <c r="AH80" s="33" t="str">
        <f t="shared" si="23"/>
        <v>-</v>
      </c>
      <c r="AI80" s="33" t="str">
        <f t="shared" si="24"/>
        <v>-</v>
      </c>
      <c r="AJ80" s="33" t="str">
        <f t="shared" si="25"/>
        <v>-</v>
      </c>
      <c r="AK80">
        <v>1942</v>
      </c>
    </row>
    <row r="81" spans="1:37">
      <c r="A81" t="s">
        <v>571</v>
      </c>
      <c r="B81" t="s">
        <v>270</v>
      </c>
      <c r="C81" t="s">
        <v>681</v>
      </c>
      <c r="D81" t="s">
        <v>681</v>
      </c>
      <c r="F81" t="s">
        <v>182</v>
      </c>
      <c r="G81" t="s">
        <v>79</v>
      </c>
      <c r="H81">
        <v>0.61599999999999999</v>
      </c>
      <c r="I81">
        <v>3.5</v>
      </c>
      <c r="J81" s="9">
        <v>8</v>
      </c>
      <c r="K81" s="9">
        <v>16</v>
      </c>
      <c r="L81" s="9">
        <v>48</v>
      </c>
      <c r="M81" s="10">
        <v>96</v>
      </c>
      <c r="N81" s="10">
        <v>5</v>
      </c>
      <c r="O81" s="10"/>
      <c r="P81" s="18">
        <v>12</v>
      </c>
      <c r="Q81" s="22" t="s">
        <v>701</v>
      </c>
      <c r="R81">
        <v>1</v>
      </c>
      <c r="S81" s="26">
        <f>VLOOKUP($F81,Munition!$B:$P,10,FALSE)</f>
        <v>4.5</v>
      </c>
      <c r="T81" s="26">
        <f>VLOOKUP($F81,Munition!$B:$P,11,FALSE)</f>
        <v>450</v>
      </c>
      <c r="U81" s="28">
        <f t="shared" si="14"/>
        <v>422.59698708918859</v>
      </c>
      <c r="V81" s="26">
        <f>VLOOKUP($F81,Munition!$B:$P,5,FALSE)</f>
        <v>6.75</v>
      </c>
      <c r="W81" s="30">
        <f t="shared" si="16"/>
        <v>602.73522055190188</v>
      </c>
      <c r="X81" s="26">
        <f>VLOOKUP($F81,Munition!$B:$P,15,FALSE)</f>
        <v>106.1032953945969</v>
      </c>
      <c r="Y81" s="26">
        <f>VLOOKUP($F81,Munition!$B:$P,9,FALSE)</f>
        <v>1</v>
      </c>
      <c r="Z81" s="26">
        <f>VLOOKUP($F81,Munition!$B:$P,14,FALSE)</f>
        <v>1.5586226552622361E-5</v>
      </c>
      <c r="AA81" s="30">
        <f t="shared" si="17"/>
        <v>1.8948797970650653</v>
      </c>
      <c r="AB81" s="30">
        <f t="shared" si="18"/>
        <v>1.8261506386423114</v>
      </c>
      <c r="AC81" s="30">
        <f t="shared" si="19"/>
        <v>1.7599143545563978</v>
      </c>
      <c r="AD81" s="30">
        <f t="shared" si="20"/>
        <v>1.5181380657732133</v>
      </c>
      <c r="AE81" s="30">
        <f t="shared" si="21"/>
        <v>1.2163004694648154</v>
      </c>
      <c r="AF81" s="32" t="str">
        <f t="shared" si="15"/>
        <v>2D6</v>
      </c>
      <c r="AG81" s="33" t="str">
        <f t="shared" si="22"/>
        <v>-</v>
      </c>
      <c r="AH81" s="33" t="str">
        <f t="shared" si="23"/>
        <v>-</v>
      </c>
      <c r="AI81" s="33" t="str">
        <f t="shared" si="24"/>
        <v>-</v>
      </c>
      <c r="AJ81" s="33" t="str">
        <f t="shared" si="25"/>
        <v>-</v>
      </c>
      <c r="AK81">
        <v>1982</v>
      </c>
    </row>
    <row r="82" spans="1:37">
      <c r="A82" t="s">
        <v>571</v>
      </c>
      <c r="B82" t="s">
        <v>271</v>
      </c>
      <c r="C82" t="s">
        <v>681</v>
      </c>
      <c r="D82" t="s">
        <v>681</v>
      </c>
      <c r="F82" t="s">
        <v>108</v>
      </c>
      <c r="G82" t="s">
        <v>103</v>
      </c>
      <c r="H82">
        <v>1.1499999999999999</v>
      </c>
      <c r="I82">
        <v>5</v>
      </c>
      <c r="J82" s="9">
        <v>0</v>
      </c>
      <c r="K82" s="9">
        <v>0</v>
      </c>
      <c r="L82" s="9">
        <v>0</v>
      </c>
      <c r="M82" s="10">
        <v>0</v>
      </c>
      <c r="N82" s="10">
        <v>3</v>
      </c>
      <c r="O82" s="10"/>
      <c r="P82" s="18">
        <v>9</v>
      </c>
      <c r="Q82" s="22" t="s">
        <v>701</v>
      </c>
      <c r="R82">
        <v>1</v>
      </c>
      <c r="S82" s="26">
        <f>VLOOKUP($F82,Munition!$B:$P,10,FALSE)</f>
        <v>5</v>
      </c>
      <c r="T82" s="26">
        <f>VLOOKUP($F82,Munition!$B:$P,11,FALSE)</f>
        <v>285</v>
      </c>
      <c r="U82" s="28">
        <f t="shared" si="14"/>
        <v>285</v>
      </c>
      <c r="V82" s="26">
        <f>VLOOKUP($F82,Munition!$B:$P,5,FALSE)</f>
        <v>14.84</v>
      </c>
      <c r="W82" s="30">
        <f t="shared" si="16"/>
        <v>602.68949999999995</v>
      </c>
      <c r="X82" s="26">
        <f>VLOOKUP($F82,Munition!$B:$P,15,FALSE)</f>
        <v>144.62772633198708</v>
      </c>
      <c r="Y82" s="26">
        <f>VLOOKUP($F82,Munition!$B:$P,9,FALSE)</f>
        <v>1</v>
      </c>
      <c r="Z82" s="26">
        <f>VLOOKUP($F82,Munition!$B:$P,14,FALSE)</f>
        <v>2.8281402907565187E-5</v>
      </c>
      <c r="AA82" s="30">
        <f t="shared" si="17"/>
        <v>1.1747387071315649</v>
      </c>
      <c r="AB82" s="30">
        <f t="shared" si="18"/>
        <v>1.1747387071315649</v>
      </c>
      <c r="AC82" s="30">
        <f t="shared" si="19"/>
        <v>1.1747387071315649</v>
      </c>
      <c r="AD82" s="30">
        <f t="shared" si="20"/>
        <v>1.1747387071315649</v>
      </c>
      <c r="AE82" s="30">
        <f t="shared" si="21"/>
        <v>1.1747387071315649</v>
      </c>
      <c r="AF82" s="32" t="str">
        <f t="shared" si="15"/>
        <v>2D6</v>
      </c>
      <c r="AG82" s="33" t="str">
        <f t="shared" si="22"/>
        <v>-</v>
      </c>
      <c r="AH82" s="33" t="str">
        <f t="shared" si="23"/>
        <v>-</v>
      </c>
      <c r="AI82" s="33" t="str">
        <f t="shared" si="24"/>
        <v>-</v>
      </c>
      <c r="AJ82" s="33" t="str">
        <f t="shared" si="25"/>
        <v>-</v>
      </c>
      <c r="AK82">
        <v>1980</v>
      </c>
    </row>
    <row r="83" spans="1:37">
      <c r="A83" t="s">
        <v>572</v>
      </c>
      <c r="B83" t="s">
        <v>272</v>
      </c>
      <c r="C83" t="s">
        <v>681</v>
      </c>
      <c r="D83" t="s">
        <v>681</v>
      </c>
      <c r="F83" t="s">
        <v>51</v>
      </c>
      <c r="G83" t="s">
        <v>52</v>
      </c>
      <c r="H83">
        <v>7.2</v>
      </c>
      <c r="I83">
        <v>8.9</v>
      </c>
      <c r="J83" s="9">
        <v>100</v>
      </c>
      <c r="K83" s="9">
        <v>200</v>
      </c>
      <c r="L83" s="9">
        <v>600</v>
      </c>
      <c r="M83" s="10">
        <v>1200</v>
      </c>
      <c r="N83" s="10">
        <v>1</v>
      </c>
      <c r="O83" s="10"/>
      <c r="P83" s="18">
        <v>1</v>
      </c>
      <c r="Q83" s="22" t="s">
        <v>699</v>
      </c>
      <c r="R83">
        <v>1</v>
      </c>
      <c r="S83" s="26">
        <f>VLOOKUP($F83,Munition!$B:$P,10,FALSE)</f>
        <v>22</v>
      </c>
      <c r="T83" s="26">
        <f>VLOOKUP($F83,Munition!$B:$P,11,FALSE)</f>
        <v>832</v>
      </c>
      <c r="U83" s="28">
        <f t="shared" si="14"/>
        <v>663.53701961780291</v>
      </c>
      <c r="V83" s="26">
        <f>VLOOKUP($F83,Munition!$B:$P,5,FALSE)</f>
        <v>9.4499999999999993</v>
      </c>
      <c r="W83" s="30">
        <f t="shared" si="16"/>
        <v>2080.3295035054816</v>
      </c>
      <c r="X83" s="26">
        <f>VLOOKUP($F83,Munition!$B:$P,15,FALSE)</f>
        <v>207.22015034594844</v>
      </c>
      <c r="Y83" s="26">
        <f>VLOOKUP($F83,Munition!$B:$P,9,FALSE)</f>
        <v>1</v>
      </c>
      <c r="Z83" s="26">
        <f>VLOOKUP($F83,Munition!$B:$P,14,FALSE)</f>
        <v>6.9830624463123905E-6</v>
      </c>
      <c r="AA83" s="30">
        <f t="shared" si="17"/>
        <v>9.1235173012808062</v>
      </c>
      <c r="AB83" s="30">
        <f t="shared" si="18"/>
        <v>7.8700602443125254</v>
      </c>
      <c r="AC83" s="30">
        <f t="shared" si="19"/>
        <v>6.7888124945423582</v>
      </c>
      <c r="AD83" s="30">
        <f t="shared" si="20"/>
        <v>3.7588659779976865</v>
      </c>
      <c r="AE83" s="30">
        <f t="shared" si="21"/>
        <v>1.5486432451402257</v>
      </c>
      <c r="AF83" s="32" t="str">
        <f t="shared" si="15"/>
        <v>3D6+2</v>
      </c>
      <c r="AG83" s="33" t="str">
        <f t="shared" si="22"/>
        <v>2+2</v>
      </c>
      <c r="AH83" s="33" t="str">
        <f t="shared" si="23"/>
        <v>3+1</v>
      </c>
      <c r="AI83" s="33" t="str">
        <f t="shared" si="24"/>
        <v>-</v>
      </c>
      <c r="AJ83" s="33" t="str">
        <f t="shared" si="25"/>
        <v>-</v>
      </c>
      <c r="AK83">
        <v>1974</v>
      </c>
    </row>
    <row r="84" spans="1:37">
      <c r="A84" t="s">
        <v>575</v>
      </c>
      <c r="B84" t="s">
        <v>273</v>
      </c>
      <c r="C84" t="s">
        <v>681</v>
      </c>
      <c r="D84" t="s">
        <v>681</v>
      </c>
      <c r="F84" t="s">
        <v>10</v>
      </c>
      <c r="G84" t="s">
        <v>11</v>
      </c>
      <c r="H84">
        <v>3.3</v>
      </c>
      <c r="I84">
        <v>20</v>
      </c>
      <c r="J84" s="9">
        <v>50</v>
      </c>
      <c r="K84" s="9">
        <v>100</v>
      </c>
      <c r="L84" s="9">
        <v>300</v>
      </c>
      <c r="M84" s="10">
        <v>600</v>
      </c>
      <c r="N84" s="10">
        <v>2</v>
      </c>
      <c r="O84" s="10">
        <v>10</v>
      </c>
      <c r="P84" s="19">
        <v>30</v>
      </c>
      <c r="Q84" s="22" t="s">
        <v>725</v>
      </c>
      <c r="R84">
        <v>10</v>
      </c>
      <c r="S84" s="26">
        <f>VLOOKUP($F84,Munition!$B:$P,10,FALSE)</f>
        <v>20</v>
      </c>
      <c r="T84" s="26">
        <f>VLOOKUP($F84,Munition!$B:$P,11,FALSE)</f>
        <v>878</v>
      </c>
      <c r="U84" s="28">
        <f t="shared" si="14"/>
        <v>878</v>
      </c>
      <c r="V84" s="26">
        <f>VLOOKUP($F84,Munition!$B:$P,5,FALSE)</f>
        <v>3.56</v>
      </c>
      <c r="W84" s="30">
        <f t="shared" si="16"/>
        <v>1372.1735200000001</v>
      </c>
      <c r="X84" s="26">
        <f>VLOOKUP($F84,Munition!$B:$P,15,FALSE)</f>
        <v>146.62584685242678</v>
      </c>
      <c r="Y84" s="26">
        <f>VLOOKUP($F84,Munition!$B:$P,9,FALSE)</f>
        <v>1</v>
      </c>
      <c r="Z84" s="26">
        <f>VLOOKUP($F84,Munition!$B:$P,14,FALSE)</f>
        <v>3.7177960891755132E-6</v>
      </c>
      <c r="AA84" s="30">
        <f t="shared" si="17"/>
        <v>11.303151932498615</v>
      </c>
      <c r="AB84" s="30">
        <f t="shared" si="18"/>
        <v>10.182281933385839</v>
      </c>
      <c r="AC84" s="30">
        <f t="shared" si="19"/>
        <v>9.1725623074091445</v>
      </c>
      <c r="AD84" s="30">
        <f t="shared" si="20"/>
        <v>6.0404998939032204</v>
      </c>
      <c r="AE84" s="30">
        <f t="shared" si="21"/>
        <v>3.2280941799372109</v>
      </c>
      <c r="AF84" s="32" t="str">
        <f t="shared" si="15"/>
        <v>3D6</v>
      </c>
      <c r="AG84" s="33" t="str">
        <f t="shared" si="22"/>
        <v>1+2</v>
      </c>
      <c r="AH84" s="33" t="str">
        <f t="shared" si="23"/>
        <v>2</v>
      </c>
      <c r="AI84" s="33" t="str">
        <f t="shared" si="24"/>
        <v>2+1</v>
      </c>
      <c r="AJ84" s="33" t="str">
        <f t="shared" si="25"/>
        <v>-</v>
      </c>
      <c r="AK84">
        <v>1988</v>
      </c>
    </row>
    <row r="85" spans="1:37">
      <c r="A85" t="s">
        <v>581</v>
      </c>
      <c r="B85" t="s">
        <v>274</v>
      </c>
      <c r="C85" t="s">
        <v>681</v>
      </c>
      <c r="D85" t="s">
        <v>681</v>
      </c>
      <c r="F85" t="s">
        <v>147</v>
      </c>
      <c r="G85" t="s">
        <v>148</v>
      </c>
      <c r="H85">
        <v>16.329999999999998</v>
      </c>
      <c r="I85">
        <v>36</v>
      </c>
      <c r="J85" s="9">
        <v>38</v>
      </c>
      <c r="K85" s="9">
        <v>76</v>
      </c>
      <c r="L85" s="9">
        <v>228</v>
      </c>
      <c r="M85" s="10">
        <v>456</v>
      </c>
      <c r="N85" s="10">
        <v>1</v>
      </c>
      <c r="O85" s="10"/>
      <c r="P85" s="18">
        <v>5</v>
      </c>
      <c r="Q85" s="22" t="s">
        <v>701</v>
      </c>
      <c r="R85">
        <v>1</v>
      </c>
      <c r="S85" s="26">
        <f>VLOOKUP($F85,Munition!$B:$P,10,FALSE)</f>
        <v>36</v>
      </c>
      <c r="T85" s="26">
        <f>VLOOKUP($F85,Munition!$B:$P,11,FALSE)</f>
        <v>884</v>
      </c>
      <c r="U85" s="28">
        <f t="shared" si="14"/>
        <v>884</v>
      </c>
      <c r="V85" s="26">
        <f>VLOOKUP($F85,Munition!$B:$P,5,FALSE)</f>
        <v>47.6</v>
      </c>
      <c r="W85" s="30">
        <f t="shared" si="16"/>
        <v>18598.6528</v>
      </c>
      <c r="X85" s="26">
        <f>VLOOKUP($F85,Munition!$B:$P,15,FALSE)</f>
        <v>313.68046337867474</v>
      </c>
      <c r="Y85" s="26">
        <f>VLOOKUP($F85,Munition!$B:$P,9,FALSE)</f>
        <v>1.5</v>
      </c>
      <c r="Z85" s="26">
        <f>VLOOKUP($F85,Munition!$B:$P,14,FALSE)</f>
        <v>3.2530715780285746E-5</v>
      </c>
      <c r="AA85" s="30">
        <f t="shared" si="17"/>
        <v>36.769122028506835</v>
      </c>
      <c r="AB85" s="30">
        <f t="shared" si="18"/>
        <v>34.908090413097902</v>
      </c>
      <c r="AC85" s="30">
        <f t="shared" si="19"/>
        <v>33.141253015077844</v>
      </c>
      <c r="AD85" s="30">
        <f t="shared" si="20"/>
        <v>26.924041615528115</v>
      </c>
      <c r="AE85" s="30">
        <f t="shared" si="21"/>
        <v>19.715021108001352</v>
      </c>
      <c r="AF85" s="32" t="str">
        <f t="shared" si="15"/>
        <v>11D6+1</v>
      </c>
      <c r="AG85" s="33" t="str">
        <f t="shared" si="22"/>
        <v>2</v>
      </c>
      <c r="AH85" s="33" t="str">
        <f t="shared" si="23"/>
        <v>2</v>
      </c>
      <c r="AI85" s="33" t="str">
        <f t="shared" si="24"/>
        <v>2+1</v>
      </c>
      <c r="AJ85" s="33" t="str">
        <f t="shared" si="25"/>
        <v>2+2</v>
      </c>
      <c r="AK85">
        <v>1937</v>
      </c>
    </row>
    <row r="86" spans="1:37">
      <c r="A86" t="s">
        <v>581</v>
      </c>
      <c r="B86" t="s">
        <v>275</v>
      </c>
      <c r="C86" t="s">
        <v>681</v>
      </c>
      <c r="D86" t="s">
        <v>681</v>
      </c>
      <c r="F86" t="s">
        <v>147</v>
      </c>
      <c r="G86" t="s">
        <v>148</v>
      </c>
      <c r="H86">
        <v>16.329999999999998</v>
      </c>
      <c r="I86">
        <v>36</v>
      </c>
      <c r="J86" s="9">
        <v>20</v>
      </c>
      <c r="K86" s="9">
        <v>40</v>
      </c>
      <c r="L86" s="9">
        <v>120</v>
      </c>
      <c r="M86" s="10">
        <v>240</v>
      </c>
      <c r="N86" s="10">
        <v>1</v>
      </c>
      <c r="O86" s="10"/>
      <c r="P86" s="18">
        <v>5</v>
      </c>
      <c r="Q86" s="22" t="s">
        <v>701</v>
      </c>
      <c r="R86">
        <v>1</v>
      </c>
      <c r="S86" s="26">
        <f>VLOOKUP($F86,Munition!$B:$P,10,FALSE)</f>
        <v>36</v>
      </c>
      <c r="T86" s="26">
        <f>VLOOKUP($F86,Munition!$B:$P,11,FALSE)</f>
        <v>884</v>
      </c>
      <c r="U86" s="28">
        <f t="shared" si="14"/>
        <v>884</v>
      </c>
      <c r="V86" s="26">
        <f>VLOOKUP($F86,Munition!$B:$P,5,FALSE)</f>
        <v>47.6</v>
      </c>
      <c r="W86" s="30">
        <f t="shared" si="16"/>
        <v>18598.6528</v>
      </c>
      <c r="X86" s="26">
        <f>VLOOKUP($F86,Munition!$B:$P,15,FALSE)</f>
        <v>313.68046337867474</v>
      </c>
      <c r="Y86" s="26">
        <f>VLOOKUP($F86,Munition!$B:$P,9,FALSE)</f>
        <v>1.5</v>
      </c>
      <c r="Z86" s="26">
        <f>VLOOKUP($F86,Munition!$B:$P,14,FALSE)</f>
        <v>3.2530715780285746E-5</v>
      </c>
      <c r="AA86" s="30">
        <f t="shared" si="17"/>
        <v>36.769122028506835</v>
      </c>
      <c r="AB86" s="30">
        <f t="shared" si="18"/>
        <v>35.777588638477049</v>
      </c>
      <c r="AC86" s="30">
        <f t="shared" si="19"/>
        <v>34.812793402890591</v>
      </c>
      <c r="AD86" s="30">
        <f t="shared" si="20"/>
        <v>31.206861856835481</v>
      </c>
      <c r="AE86" s="30">
        <f t="shared" si="21"/>
        <v>26.486034292485417</v>
      </c>
      <c r="AF86" s="32" t="str">
        <f t="shared" si="15"/>
        <v>11D6+1</v>
      </c>
      <c r="AG86" s="33" t="str">
        <f t="shared" si="22"/>
        <v>2</v>
      </c>
      <c r="AH86" s="33" t="str">
        <f t="shared" si="23"/>
        <v>2</v>
      </c>
      <c r="AI86" s="33" t="str">
        <f t="shared" si="24"/>
        <v>2</v>
      </c>
      <c r="AJ86" s="33" t="str">
        <f t="shared" si="25"/>
        <v>2+1</v>
      </c>
      <c r="AK86">
        <v>1937</v>
      </c>
    </row>
    <row r="87" spans="1:37">
      <c r="A87" t="s">
        <v>577</v>
      </c>
      <c r="B87" t="s">
        <v>276</v>
      </c>
      <c r="C87" t="s">
        <v>681</v>
      </c>
      <c r="D87" t="s">
        <v>681</v>
      </c>
      <c r="E87" t="s">
        <v>783</v>
      </c>
      <c r="F87" t="s">
        <v>182</v>
      </c>
      <c r="G87" t="s">
        <v>79</v>
      </c>
      <c r="H87">
        <v>3.2</v>
      </c>
      <c r="I87">
        <v>7.7</v>
      </c>
      <c r="J87" s="9">
        <v>7</v>
      </c>
      <c r="K87" s="9">
        <v>14</v>
      </c>
      <c r="L87" s="9">
        <v>42</v>
      </c>
      <c r="M87" s="10">
        <v>84</v>
      </c>
      <c r="N87" s="10">
        <v>1</v>
      </c>
      <c r="O87" s="10">
        <v>3</v>
      </c>
      <c r="P87" s="18">
        <v>32</v>
      </c>
      <c r="Q87" s="22">
        <v>50</v>
      </c>
      <c r="R87">
        <v>5</v>
      </c>
      <c r="S87" s="26">
        <f>VLOOKUP($F87,Munition!$B:$P,10,FALSE)</f>
        <v>4.5</v>
      </c>
      <c r="T87" s="26">
        <f>VLOOKUP($F87,Munition!$B:$P,11,FALSE)</f>
        <v>450</v>
      </c>
      <c r="U87" s="28">
        <f t="shared" si="14"/>
        <v>514.67380713390298</v>
      </c>
      <c r="V87" s="26">
        <f>VLOOKUP($F87,Munition!$B:$P,5,FALSE)</f>
        <v>6.75</v>
      </c>
      <c r="W87" s="30">
        <f t="shared" si="16"/>
        <v>894.00080615525769</v>
      </c>
      <c r="X87" s="26">
        <f>VLOOKUP($F87,Munition!$B:$P,15,FALSE)</f>
        <v>106.1032953945969</v>
      </c>
      <c r="Y87" s="26">
        <f>VLOOKUP($F87,Munition!$B:$P,9,FALSE)</f>
        <v>1</v>
      </c>
      <c r="Z87" s="26">
        <f>VLOOKUP($F87,Munition!$B:$P,14,FALSE)</f>
        <v>1.5586226552622361E-5</v>
      </c>
      <c r="AA87" s="30">
        <f t="shared" si="17"/>
        <v>2.8105609368444164</v>
      </c>
      <c r="AB87" s="30">
        <f t="shared" si="18"/>
        <v>2.7211568344434189</v>
      </c>
      <c r="AC87" s="30">
        <f t="shared" si="19"/>
        <v>2.6345966815975959</v>
      </c>
      <c r="AD87" s="30">
        <f t="shared" si="20"/>
        <v>2.3150288615300436</v>
      </c>
      <c r="AE87" s="30">
        <f t="shared" si="21"/>
        <v>1.9068644125305321</v>
      </c>
      <c r="AF87" s="32" t="str">
        <f t="shared" si="15"/>
        <v>2D6+1</v>
      </c>
      <c r="AG87" s="33" t="str">
        <f t="shared" si="22"/>
        <v>-</v>
      </c>
      <c r="AH87" s="33" t="str">
        <f t="shared" si="23"/>
        <v>-</v>
      </c>
      <c r="AI87" s="33" t="str">
        <f t="shared" si="24"/>
        <v>-</v>
      </c>
      <c r="AJ87" s="33" t="str">
        <f t="shared" si="25"/>
        <v>-</v>
      </c>
      <c r="AK87">
        <v>1941</v>
      </c>
    </row>
    <row r="88" spans="1:37">
      <c r="A88" t="s">
        <v>577</v>
      </c>
      <c r="B88" t="s">
        <v>277</v>
      </c>
      <c r="C88" t="s">
        <v>681</v>
      </c>
      <c r="D88" t="s">
        <v>681</v>
      </c>
      <c r="F88" t="s">
        <v>182</v>
      </c>
      <c r="G88" t="s">
        <v>79</v>
      </c>
      <c r="H88">
        <v>3.2</v>
      </c>
      <c r="I88">
        <v>7.7</v>
      </c>
      <c r="J88" s="9">
        <v>8</v>
      </c>
      <c r="K88" s="9">
        <v>16</v>
      </c>
      <c r="L88" s="9">
        <v>48</v>
      </c>
      <c r="M88" s="10">
        <v>96</v>
      </c>
      <c r="N88" s="10">
        <v>1</v>
      </c>
      <c r="O88" s="10">
        <v>5</v>
      </c>
      <c r="P88" s="19">
        <v>32</v>
      </c>
      <c r="Q88" s="22" t="s">
        <v>695</v>
      </c>
      <c r="R88">
        <v>10</v>
      </c>
      <c r="S88" s="26">
        <f>VLOOKUP($F88,Munition!$B:$P,10,FALSE)</f>
        <v>4.5</v>
      </c>
      <c r="T88" s="26">
        <f>VLOOKUP($F88,Munition!$B:$P,11,FALSE)</f>
        <v>450</v>
      </c>
      <c r="U88" s="28">
        <f t="shared" si="14"/>
        <v>514.67380713390298</v>
      </c>
      <c r="V88" s="26">
        <f>VLOOKUP($F88,Munition!$B:$P,5,FALSE)</f>
        <v>6.75</v>
      </c>
      <c r="W88" s="30">
        <f t="shared" si="16"/>
        <v>894.00080615525769</v>
      </c>
      <c r="X88" s="26">
        <f>VLOOKUP($F88,Munition!$B:$P,15,FALSE)</f>
        <v>106.1032953945969</v>
      </c>
      <c r="Y88" s="26">
        <f>VLOOKUP($F88,Munition!$B:$P,9,FALSE)</f>
        <v>1</v>
      </c>
      <c r="Z88" s="26">
        <f>VLOOKUP($F88,Munition!$B:$P,14,FALSE)</f>
        <v>1.5586226552622361E-5</v>
      </c>
      <c r="AA88" s="30">
        <f t="shared" si="17"/>
        <v>2.8105609368444164</v>
      </c>
      <c r="AB88" s="30">
        <f t="shared" si="18"/>
        <v>2.7086191207015795</v>
      </c>
      <c r="AC88" s="30">
        <f t="shared" si="19"/>
        <v>2.6103748347358207</v>
      </c>
      <c r="AD88" s="30">
        <f t="shared" si="20"/>
        <v>2.2517626453179296</v>
      </c>
      <c r="AE88" s="30">
        <f t="shared" si="21"/>
        <v>1.804065140299743</v>
      </c>
      <c r="AF88" s="32" t="str">
        <f t="shared" si="15"/>
        <v>2D6+1</v>
      </c>
      <c r="AG88" s="33" t="str">
        <f t="shared" si="22"/>
        <v>-</v>
      </c>
      <c r="AH88" s="33" t="str">
        <f t="shared" si="23"/>
        <v>-</v>
      </c>
      <c r="AI88" s="33" t="str">
        <f t="shared" si="24"/>
        <v>-</v>
      </c>
      <c r="AJ88" s="33" t="str">
        <f t="shared" si="25"/>
        <v>-</v>
      </c>
      <c r="AK88">
        <v>1942</v>
      </c>
    </row>
    <row r="89" spans="1:37">
      <c r="A89" t="s">
        <v>577</v>
      </c>
      <c r="B89" t="s">
        <v>278</v>
      </c>
      <c r="C89" t="s">
        <v>681</v>
      </c>
      <c r="D89" t="s">
        <v>681</v>
      </c>
      <c r="F89" t="s">
        <v>182</v>
      </c>
      <c r="G89" t="s">
        <v>79</v>
      </c>
      <c r="H89">
        <v>4</v>
      </c>
      <c r="I89">
        <v>10</v>
      </c>
      <c r="J89" s="9">
        <v>25</v>
      </c>
      <c r="K89" s="9">
        <v>50</v>
      </c>
      <c r="L89" s="9">
        <v>150</v>
      </c>
      <c r="M89" s="10">
        <v>300</v>
      </c>
      <c r="N89" s="10">
        <v>1</v>
      </c>
      <c r="O89" s="10">
        <v>3</v>
      </c>
      <c r="P89" s="19">
        <v>32</v>
      </c>
      <c r="Q89" s="22" t="s">
        <v>731</v>
      </c>
      <c r="R89">
        <v>4</v>
      </c>
      <c r="S89" s="26">
        <f>VLOOKUP($F89,Munition!$B:$P,10,FALSE)</f>
        <v>4.5</v>
      </c>
      <c r="T89" s="26">
        <f>VLOOKUP($F89,Munition!$B:$P,11,FALSE)</f>
        <v>450</v>
      </c>
      <c r="U89" s="28">
        <f t="shared" si="14"/>
        <v>549.42622522270597</v>
      </c>
      <c r="V89" s="26">
        <f>VLOOKUP($F89,Munition!$B:$P,5,FALSE)</f>
        <v>6.75</v>
      </c>
      <c r="W89" s="30">
        <f t="shared" si="16"/>
        <v>1018.8084722483417</v>
      </c>
      <c r="X89" s="26">
        <f>VLOOKUP($F89,Munition!$B:$P,15,FALSE)</f>
        <v>106.1032953945969</v>
      </c>
      <c r="Y89" s="26">
        <f>VLOOKUP($F89,Munition!$B:$P,9,FALSE)</f>
        <v>1</v>
      </c>
      <c r="Z89" s="26">
        <f>VLOOKUP($F89,Munition!$B:$P,14,FALSE)</f>
        <v>1.5586226552622361E-5</v>
      </c>
      <c r="AA89" s="30">
        <f t="shared" si="17"/>
        <v>3.2029314453772968</v>
      </c>
      <c r="AB89" s="30">
        <f t="shared" si="18"/>
        <v>2.8536901239951362</v>
      </c>
      <c r="AC89" s="30">
        <f t="shared" si="19"/>
        <v>2.5425293868030603</v>
      </c>
      <c r="AD89" s="30">
        <f t="shared" si="20"/>
        <v>1.6021480931313334</v>
      </c>
      <c r="AE89" s="30">
        <f t="shared" si="21"/>
        <v>0.80141537716302746</v>
      </c>
      <c r="AF89" s="32" t="str">
        <f t="shared" si="15"/>
        <v>2D6+1</v>
      </c>
      <c r="AG89" s="33" t="str">
        <f t="shared" si="22"/>
        <v>-</v>
      </c>
      <c r="AH89" s="33" t="str">
        <f t="shared" si="23"/>
        <v>-</v>
      </c>
      <c r="AI89" s="33" t="str">
        <f t="shared" si="24"/>
        <v>-</v>
      </c>
      <c r="AJ89" s="33" t="str">
        <f t="shared" si="25"/>
        <v>-</v>
      </c>
      <c r="AK89">
        <v>1936</v>
      </c>
    </row>
    <row r="90" spans="1:37">
      <c r="A90" t="s">
        <v>577</v>
      </c>
      <c r="B90" t="s">
        <v>279</v>
      </c>
      <c r="C90" t="s">
        <v>681</v>
      </c>
      <c r="D90" t="s">
        <v>681</v>
      </c>
      <c r="F90" t="s">
        <v>82</v>
      </c>
      <c r="G90" t="s">
        <v>79</v>
      </c>
      <c r="H90">
        <v>4</v>
      </c>
      <c r="I90">
        <v>10</v>
      </c>
      <c r="J90" s="9">
        <v>16</v>
      </c>
      <c r="K90" s="9">
        <v>32</v>
      </c>
      <c r="L90" s="9">
        <v>96</v>
      </c>
      <c r="M90" s="10">
        <v>192</v>
      </c>
      <c r="N90" s="10">
        <v>1</v>
      </c>
      <c r="O90" s="10">
        <v>3</v>
      </c>
      <c r="P90" s="19">
        <v>32</v>
      </c>
      <c r="Q90" s="22" t="s">
        <v>731</v>
      </c>
      <c r="R90">
        <v>4</v>
      </c>
      <c r="S90" s="26">
        <f>VLOOKUP($F90,Munition!$B:$P,10,FALSE)</f>
        <v>4.5</v>
      </c>
      <c r="T90" s="26">
        <f>VLOOKUP($F90,Munition!$B:$P,11,FALSE)</f>
        <v>300</v>
      </c>
      <c r="U90" s="28">
        <f t="shared" si="14"/>
        <v>366.28415014847064</v>
      </c>
      <c r="V90" s="26">
        <f>VLOOKUP($F90,Munition!$B:$P,5,FALSE)</f>
        <v>8</v>
      </c>
      <c r="W90" s="30">
        <f t="shared" si="16"/>
        <v>536.6563145999495</v>
      </c>
      <c r="X90" s="26">
        <f>VLOOKUP($F90,Munition!$B:$P,15,FALSE)</f>
        <v>125.75205380100374</v>
      </c>
      <c r="Y90" s="26">
        <f>VLOOKUP($F90,Munition!$B:$P,9,FALSE)</f>
        <v>1</v>
      </c>
      <c r="Z90" s="26">
        <f>VLOOKUP($F90,Munition!$B:$P,14,FALSE)</f>
        <v>1.5586226552622361E-5</v>
      </c>
      <c r="AA90" s="30">
        <f t="shared" si="17"/>
        <v>1.6871408436555309</v>
      </c>
      <c r="AB90" s="30">
        <f t="shared" si="18"/>
        <v>1.5851679779809735</v>
      </c>
      <c r="AC90" s="30">
        <f t="shared" si="19"/>
        <v>1.4893584776075321</v>
      </c>
      <c r="AD90" s="30">
        <f t="shared" si="20"/>
        <v>1.1606333534372544</v>
      </c>
      <c r="AE90" s="30">
        <f t="shared" si="21"/>
        <v>0.79843350730120921</v>
      </c>
      <c r="AF90" s="32" t="str">
        <f t="shared" si="15"/>
        <v>1D6+2</v>
      </c>
      <c r="AG90" s="33" t="str">
        <f t="shared" si="22"/>
        <v>-</v>
      </c>
      <c r="AH90" s="33" t="str">
        <f t="shared" si="23"/>
        <v>-</v>
      </c>
      <c r="AI90" s="33" t="str">
        <f t="shared" si="24"/>
        <v>-</v>
      </c>
      <c r="AJ90" s="33" t="str">
        <f t="shared" si="25"/>
        <v>-</v>
      </c>
      <c r="AK90">
        <v>1936</v>
      </c>
    </row>
    <row r="91" spans="1:37">
      <c r="A91" t="s">
        <v>575</v>
      </c>
      <c r="B91" t="s">
        <v>280</v>
      </c>
      <c r="C91" t="s">
        <v>681</v>
      </c>
      <c r="D91" t="s">
        <v>681</v>
      </c>
      <c r="F91" t="s">
        <v>37</v>
      </c>
      <c r="G91" t="s">
        <v>38</v>
      </c>
      <c r="H91">
        <v>2.92</v>
      </c>
      <c r="I91">
        <v>12.6</v>
      </c>
      <c r="J91" s="9">
        <v>20</v>
      </c>
      <c r="K91" s="9">
        <v>40</v>
      </c>
      <c r="L91" s="9">
        <v>120</v>
      </c>
      <c r="M91" s="10">
        <v>240</v>
      </c>
      <c r="N91" s="10">
        <v>2</v>
      </c>
      <c r="O91" s="10">
        <v>5</v>
      </c>
      <c r="P91" s="19">
        <v>30</v>
      </c>
      <c r="Q91" s="22" t="s">
        <v>695</v>
      </c>
      <c r="R91">
        <v>10</v>
      </c>
      <c r="S91" s="26">
        <f>VLOOKUP($F91,Munition!$B:$P,10,FALSE)</f>
        <v>16</v>
      </c>
      <c r="T91" s="26">
        <f>VLOOKUP($F91,Munition!$B:$P,11,FALSE)</f>
        <v>725</v>
      </c>
      <c r="U91" s="28">
        <f t="shared" si="14"/>
        <v>682.96845856800758</v>
      </c>
      <c r="V91" s="26">
        <f>VLOOKUP($F91,Munition!$B:$P,5,FALSE)</f>
        <v>7.9</v>
      </c>
      <c r="W91" s="30">
        <f t="shared" si="16"/>
        <v>1842.4613658251033</v>
      </c>
      <c r="X91" s="26">
        <f>VLOOKUP($F91,Munition!$B:$P,15,FALSE)</f>
        <v>173.23166007756538</v>
      </c>
      <c r="Y91" s="26">
        <f>VLOOKUP($F91,Munition!$B:$P,9,FALSE)</f>
        <v>1</v>
      </c>
      <c r="Z91" s="26">
        <f>VLOOKUP($F91,Munition!$B:$P,14,FALSE)</f>
        <v>7.8210299398698787E-6</v>
      </c>
      <c r="AA91" s="30">
        <f t="shared" si="17"/>
        <v>8.0803200260926857</v>
      </c>
      <c r="AB91" s="30">
        <f t="shared" si="18"/>
        <v>7.7665909842901613</v>
      </c>
      <c r="AC91" s="30">
        <f t="shared" si="19"/>
        <v>7.4650428847464232</v>
      </c>
      <c r="AD91" s="30">
        <f t="shared" si="20"/>
        <v>6.3714722757681992</v>
      </c>
      <c r="AE91" s="30">
        <f t="shared" si="21"/>
        <v>5.024016230767189</v>
      </c>
      <c r="AF91" s="32" t="str">
        <f t="shared" si="15"/>
        <v>3D6+1</v>
      </c>
      <c r="AG91" s="33" t="str">
        <f t="shared" si="22"/>
        <v>3</v>
      </c>
      <c r="AH91" s="33" t="str">
        <f t="shared" si="23"/>
        <v>3</v>
      </c>
      <c r="AI91" s="33" t="str">
        <f t="shared" si="24"/>
        <v>3+1</v>
      </c>
      <c r="AJ91" s="33" t="str">
        <f t="shared" si="25"/>
        <v>-</v>
      </c>
      <c r="AK91">
        <v>1965</v>
      </c>
    </row>
    <row r="92" spans="1:37">
      <c r="A92" t="s">
        <v>575</v>
      </c>
      <c r="B92" t="s">
        <v>281</v>
      </c>
      <c r="C92" t="s">
        <v>681</v>
      </c>
      <c r="D92" t="s">
        <v>681</v>
      </c>
      <c r="F92" t="s">
        <v>10</v>
      </c>
      <c r="G92" t="s">
        <v>11</v>
      </c>
      <c r="H92">
        <v>3.6</v>
      </c>
      <c r="I92">
        <v>3.7</v>
      </c>
      <c r="J92" s="9">
        <v>33</v>
      </c>
      <c r="K92" s="9">
        <v>66</v>
      </c>
      <c r="L92" s="9">
        <v>198</v>
      </c>
      <c r="M92" s="10">
        <v>396</v>
      </c>
      <c r="N92" s="10">
        <v>2</v>
      </c>
      <c r="O92" s="10">
        <v>3</v>
      </c>
      <c r="P92" s="19">
        <v>30</v>
      </c>
      <c r="Q92" s="22" t="s">
        <v>719</v>
      </c>
      <c r="R92">
        <v>3</v>
      </c>
      <c r="S92" s="26">
        <f>VLOOKUP($F92,Munition!$B:$P,10,FALSE)</f>
        <v>20</v>
      </c>
      <c r="T92" s="26">
        <f>VLOOKUP($F92,Munition!$B:$P,11,FALSE)</f>
        <v>878</v>
      </c>
      <c r="U92" s="28">
        <f t="shared" si="14"/>
        <v>575.82093185116537</v>
      </c>
      <c r="V92" s="26">
        <f>VLOOKUP($F92,Munition!$B:$P,5,FALSE)</f>
        <v>3.56</v>
      </c>
      <c r="W92" s="30">
        <f t="shared" si="16"/>
        <v>590.19414709314105</v>
      </c>
      <c r="X92" s="26">
        <f>VLOOKUP($F92,Munition!$B:$P,15,FALSE)</f>
        <v>146.62584685242678</v>
      </c>
      <c r="Y92" s="26">
        <f>VLOOKUP($F92,Munition!$B:$P,9,FALSE)</f>
        <v>1</v>
      </c>
      <c r="Z92" s="26">
        <f>VLOOKUP($F92,Munition!$B:$P,14,FALSE)</f>
        <v>3.7177960891755132E-6</v>
      </c>
      <c r="AA92" s="30">
        <f t="shared" si="17"/>
        <v>4.8616694733077264</v>
      </c>
      <c r="AB92" s="30">
        <f t="shared" si="18"/>
        <v>4.5378641909465278</v>
      </c>
      <c r="AC92" s="30">
        <f t="shared" si="19"/>
        <v>4.2356255456141687</v>
      </c>
      <c r="AD92" s="30">
        <f t="shared" si="20"/>
        <v>3.215006222890711</v>
      </c>
      <c r="AE92" s="30">
        <f t="shared" si="21"/>
        <v>2.1260731668361492</v>
      </c>
      <c r="AF92" s="32" t="str">
        <f t="shared" si="15"/>
        <v>2D6</v>
      </c>
      <c r="AG92" s="33" t="str">
        <f t="shared" si="22"/>
        <v>-</v>
      </c>
      <c r="AH92" s="33" t="str">
        <f t="shared" si="23"/>
        <v>-</v>
      </c>
      <c r="AI92" s="33" t="str">
        <f t="shared" si="24"/>
        <v>-</v>
      </c>
      <c r="AJ92" s="33" t="str">
        <f t="shared" si="25"/>
        <v>-</v>
      </c>
      <c r="AK92">
        <v>2001</v>
      </c>
    </row>
    <row r="93" spans="1:37">
      <c r="A93" t="s">
        <v>577</v>
      </c>
      <c r="B93" t="s">
        <v>282</v>
      </c>
      <c r="C93" t="s">
        <v>681</v>
      </c>
      <c r="D93" t="s">
        <v>681</v>
      </c>
      <c r="F93" t="s">
        <v>123</v>
      </c>
      <c r="G93" t="s">
        <v>124</v>
      </c>
      <c r="H93">
        <v>2.84</v>
      </c>
      <c r="I93">
        <v>10.4</v>
      </c>
      <c r="J93" s="9">
        <v>8</v>
      </c>
      <c r="K93" s="9">
        <v>16</v>
      </c>
      <c r="L93" s="9">
        <v>48</v>
      </c>
      <c r="M93" s="10">
        <v>96</v>
      </c>
      <c r="N93" s="10">
        <v>1</v>
      </c>
      <c r="O93" s="10">
        <v>2</v>
      </c>
      <c r="P93" s="19">
        <v>50</v>
      </c>
      <c r="Q93" s="22" t="s">
        <v>732</v>
      </c>
      <c r="R93">
        <v>3</v>
      </c>
      <c r="S93" s="26">
        <f>VLOOKUP($F93,Munition!$B:$P,10,FALSE)</f>
        <v>10</v>
      </c>
      <c r="T93" s="26">
        <f>VLOOKUP($F93,Munition!$B:$P,11,FALSE)</f>
        <v>715</v>
      </c>
      <c r="U93" s="28">
        <f t="shared" si="14"/>
        <v>722.04518568251274</v>
      </c>
      <c r="V93" s="26">
        <f>VLOOKUP($F93,Munition!$B:$P,5,FALSE)</f>
        <v>2.1</v>
      </c>
      <c r="W93" s="30">
        <f t="shared" si="16"/>
        <v>547.41671267565903</v>
      </c>
      <c r="X93" s="26">
        <f>VLOOKUP($F93,Munition!$B:$P,15,FALSE)</f>
        <v>82.29618479359317</v>
      </c>
      <c r="Y93" s="26">
        <f>VLOOKUP($F93,Munition!$B:$P,9,FALSE)</f>
        <v>1</v>
      </c>
      <c r="Z93" s="26">
        <f>VLOOKUP($F93,Munition!$B:$P,14,FALSE)</f>
        <v>3.9073804065949114E-6</v>
      </c>
      <c r="AA93" s="30">
        <f t="shared" si="17"/>
        <v>4.2905054233768878</v>
      </c>
      <c r="AB93" s="30">
        <f t="shared" si="18"/>
        <v>4.1646574316138789</v>
      </c>
      <c r="AC93" s="30">
        <f t="shared" si="19"/>
        <v>4.0425007804897817</v>
      </c>
      <c r="AD93" s="30">
        <f t="shared" si="20"/>
        <v>3.5886691950095257</v>
      </c>
      <c r="AE93" s="30">
        <f t="shared" si="21"/>
        <v>3.0016385764346891</v>
      </c>
      <c r="AF93" s="32" t="str">
        <f t="shared" si="15"/>
        <v>1D6+2</v>
      </c>
      <c r="AG93" s="33" t="str">
        <f t="shared" si="22"/>
        <v>-</v>
      </c>
      <c r="AH93" s="33" t="str">
        <f t="shared" si="23"/>
        <v>-</v>
      </c>
      <c r="AI93" s="33" t="str">
        <f t="shared" si="24"/>
        <v>-</v>
      </c>
      <c r="AJ93" s="33" t="str">
        <f t="shared" si="25"/>
        <v>-</v>
      </c>
      <c r="AK93">
        <v>1990</v>
      </c>
    </row>
    <row r="94" spans="1:37">
      <c r="A94" t="s">
        <v>575</v>
      </c>
      <c r="B94" t="s">
        <v>283</v>
      </c>
      <c r="C94" t="s">
        <v>681</v>
      </c>
      <c r="D94" t="s">
        <v>681</v>
      </c>
      <c r="F94" t="s">
        <v>10</v>
      </c>
      <c r="G94" t="s">
        <v>11</v>
      </c>
      <c r="H94">
        <v>3.8</v>
      </c>
      <c r="I94">
        <v>17.7</v>
      </c>
      <c r="J94" s="9">
        <v>41</v>
      </c>
      <c r="K94" s="9">
        <v>82</v>
      </c>
      <c r="L94" s="9">
        <v>246</v>
      </c>
      <c r="M94" s="10">
        <v>492</v>
      </c>
      <c r="N94" s="10">
        <v>2</v>
      </c>
      <c r="O94" s="10">
        <v>3</v>
      </c>
      <c r="P94" s="19">
        <v>30</v>
      </c>
      <c r="Q94" s="22" t="s">
        <v>733</v>
      </c>
      <c r="R94">
        <v>3</v>
      </c>
      <c r="S94" s="26">
        <f>VLOOKUP($F94,Munition!$B:$P,10,FALSE)</f>
        <v>20</v>
      </c>
      <c r="T94" s="26">
        <f>VLOOKUP($F94,Munition!$B:$P,11,FALSE)</f>
        <v>878</v>
      </c>
      <c r="U94" s="28">
        <f t="shared" si="14"/>
        <v>851.58956977117407</v>
      </c>
      <c r="V94" s="26">
        <f>VLOOKUP($F94,Munition!$B:$P,5,FALSE)</f>
        <v>3.56</v>
      </c>
      <c r="W94" s="30">
        <f t="shared" si="16"/>
        <v>1290.864535710635</v>
      </c>
      <c r="X94" s="26">
        <f>VLOOKUP($F94,Munition!$B:$P,15,FALSE)</f>
        <v>146.62584685242678</v>
      </c>
      <c r="Y94" s="26">
        <f>VLOOKUP($F94,Munition!$B:$P,9,FALSE)</f>
        <v>1</v>
      </c>
      <c r="Z94" s="26">
        <f>VLOOKUP($F94,Munition!$B:$P,14,FALSE)</f>
        <v>3.7177960891755132E-6</v>
      </c>
      <c r="AA94" s="30">
        <f t="shared" si="17"/>
        <v>10.633376725861604</v>
      </c>
      <c r="AB94" s="30">
        <f t="shared" si="18"/>
        <v>9.7606907637607705</v>
      </c>
      <c r="AC94" s="30">
        <f t="shared" si="19"/>
        <v>8.9596265271082256</v>
      </c>
      <c r="AD94" s="30">
        <f t="shared" si="20"/>
        <v>6.3610281799140047</v>
      </c>
      <c r="AE94" s="30">
        <f t="shared" si="21"/>
        <v>3.8052521366284489</v>
      </c>
      <c r="AF94" s="32" t="str">
        <f t="shared" si="15"/>
        <v>2D6+2</v>
      </c>
      <c r="AG94" s="33" t="str">
        <f t="shared" si="22"/>
        <v>1+2</v>
      </c>
      <c r="AH94" s="33" t="str">
        <f t="shared" si="23"/>
        <v>2</v>
      </c>
      <c r="AI94" s="33" t="str">
        <f t="shared" si="24"/>
        <v>2+1</v>
      </c>
      <c r="AJ94" s="33" t="str">
        <f t="shared" si="25"/>
        <v>-</v>
      </c>
      <c r="AK94">
        <v>1979</v>
      </c>
    </row>
    <row r="95" spans="1:37">
      <c r="A95" t="s">
        <v>575</v>
      </c>
      <c r="B95" t="s">
        <v>284</v>
      </c>
      <c r="C95" t="s">
        <v>681</v>
      </c>
      <c r="D95" t="s">
        <v>681</v>
      </c>
      <c r="F95" t="s">
        <v>10</v>
      </c>
      <c r="G95" t="s">
        <v>11</v>
      </c>
      <c r="H95">
        <v>3.7</v>
      </c>
      <c r="I95">
        <v>14.5</v>
      </c>
      <c r="J95" s="9">
        <v>38</v>
      </c>
      <c r="K95" s="9">
        <v>76</v>
      </c>
      <c r="L95" s="9">
        <v>228</v>
      </c>
      <c r="M95" s="10">
        <v>456</v>
      </c>
      <c r="N95" s="10">
        <v>2</v>
      </c>
      <c r="O95" s="10">
        <v>3</v>
      </c>
      <c r="P95" s="19">
        <v>30</v>
      </c>
      <c r="Q95" s="22" t="s">
        <v>733</v>
      </c>
      <c r="R95">
        <v>3</v>
      </c>
      <c r="S95" s="26">
        <f>VLOOKUP($F95,Munition!$B:$P,10,FALSE)</f>
        <v>20</v>
      </c>
      <c r="T95" s="26">
        <f>VLOOKUP($F95,Munition!$B:$P,11,FALSE)</f>
        <v>878</v>
      </c>
      <c r="U95" s="28">
        <f t="shared" si="14"/>
        <v>810.17533532287962</v>
      </c>
      <c r="V95" s="26">
        <f>VLOOKUP($F95,Munition!$B:$P,5,FALSE)</f>
        <v>3.56</v>
      </c>
      <c r="W95" s="30">
        <f t="shared" si="16"/>
        <v>1168.3636516586619</v>
      </c>
      <c r="X95" s="26">
        <f>VLOOKUP($F95,Munition!$B:$P,15,FALSE)</f>
        <v>146.62584685242678</v>
      </c>
      <c r="Y95" s="26">
        <f>VLOOKUP($F95,Munition!$B:$P,9,FALSE)</f>
        <v>1</v>
      </c>
      <c r="Z95" s="26">
        <f>VLOOKUP($F95,Munition!$B:$P,14,FALSE)</f>
        <v>3.7177960891755132E-6</v>
      </c>
      <c r="AA95" s="30">
        <f t="shared" si="17"/>
        <v>9.6242870705643284</v>
      </c>
      <c r="AB95" s="30">
        <f t="shared" si="18"/>
        <v>8.889947342539207</v>
      </c>
      <c r="AC95" s="30">
        <f t="shared" si="19"/>
        <v>8.2116382412194486</v>
      </c>
      <c r="AD95" s="30">
        <f t="shared" si="20"/>
        <v>5.9779501415682823</v>
      </c>
      <c r="AE95" s="30">
        <f t="shared" si="21"/>
        <v>3.7130945526732759</v>
      </c>
      <c r="AF95" s="32" t="str">
        <f t="shared" si="15"/>
        <v>2D6+2</v>
      </c>
      <c r="AG95" s="33" t="str">
        <f t="shared" si="22"/>
        <v>2</v>
      </c>
      <c r="AH95" s="33" t="str">
        <f t="shared" si="23"/>
        <v>2</v>
      </c>
      <c r="AI95" s="33" t="str">
        <f t="shared" si="24"/>
        <v>2+1</v>
      </c>
      <c r="AJ95" s="33" t="str">
        <f t="shared" si="25"/>
        <v>-</v>
      </c>
      <c r="AK95">
        <v>1979</v>
      </c>
    </row>
    <row r="96" spans="1:37">
      <c r="A96" t="s">
        <v>575</v>
      </c>
      <c r="B96" t="s">
        <v>285</v>
      </c>
      <c r="C96" t="s">
        <v>681</v>
      </c>
      <c r="D96" t="s">
        <v>681</v>
      </c>
      <c r="F96" t="s">
        <v>51</v>
      </c>
      <c r="G96" t="s">
        <v>52</v>
      </c>
      <c r="H96">
        <v>4.3099999999999996</v>
      </c>
      <c r="I96">
        <v>21</v>
      </c>
      <c r="J96" s="9">
        <v>66</v>
      </c>
      <c r="K96" s="9">
        <v>132</v>
      </c>
      <c r="L96" s="9">
        <v>396</v>
      </c>
      <c r="M96" s="10">
        <v>792</v>
      </c>
      <c r="N96" s="10">
        <v>2</v>
      </c>
      <c r="O96" s="10">
        <v>5</v>
      </c>
      <c r="P96" s="19">
        <v>30</v>
      </c>
      <c r="Q96" s="22" t="s">
        <v>734</v>
      </c>
      <c r="R96">
        <v>5</v>
      </c>
      <c r="S96" s="26">
        <f>VLOOKUP($F96,Munition!$B:$P,10,FALSE)</f>
        <v>22</v>
      </c>
      <c r="T96" s="26">
        <f>VLOOKUP($F96,Munition!$B:$P,11,FALSE)</f>
        <v>832</v>
      </c>
      <c r="U96" s="28">
        <f t="shared" si="14"/>
        <v>822.37988616077826</v>
      </c>
      <c r="V96" s="26">
        <f>VLOOKUP($F96,Munition!$B:$P,5,FALSE)</f>
        <v>9.4499999999999993</v>
      </c>
      <c r="W96" s="30">
        <f t="shared" si="16"/>
        <v>3195.5584995895742</v>
      </c>
      <c r="X96" s="26">
        <f>VLOOKUP($F96,Munition!$B:$P,15,FALSE)</f>
        <v>207.22015034594844</v>
      </c>
      <c r="Y96" s="26">
        <f>VLOOKUP($F96,Munition!$B:$P,9,FALSE)</f>
        <v>1</v>
      </c>
      <c r="Z96" s="26">
        <f>VLOOKUP($F96,Munition!$B:$P,14,FALSE)</f>
        <v>6.9830624463123905E-6</v>
      </c>
      <c r="AA96" s="30">
        <f t="shared" si="17"/>
        <v>14.014478576174072</v>
      </c>
      <c r="AB96" s="30">
        <f t="shared" si="18"/>
        <v>12.712042715787611</v>
      </c>
      <c r="AC96" s="30">
        <f t="shared" si="19"/>
        <v>11.530648759400675</v>
      </c>
      <c r="AD96" s="30">
        <f t="shared" si="20"/>
        <v>7.8056188588098436</v>
      </c>
      <c r="AE96" s="30">
        <f t="shared" si="21"/>
        <v>4.3474814591097717</v>
      </c>
      <c r="AF96" s="32" t="str">
        <f t="shared" si="15"/>
        <v>4D6+2</v>
      </c>
      <c r="AG96" s="33" t="str">
        <f t="shared" si="22"/>
        <v>2+1</v>
      </c>
      <c r="AH96" s="33" t="str">
        <f t="shared" si="23"/>
        <v>2+1</v>
      </c>
      <c r="AI96" s="33" t="str">
        <f t="shared" si="24"/>
        <v>2+2</v>
      </c>
      <c r="AJ96" s="33" t="str">
        <f t="shared" si="25"/>
        <v>4</v>
      </c>
      <c r="AK96">
        <v>1954</v>
      </c>
    </row>
    <row r="97" spans="1:37">
      <c r="A97" t="s">
        <v>574</v>
      </c>
      <c r="B97" t="s">
        <v>286</v>
      </c>
      <c r="C97" t="s">
        <v>681</v>
      </c>
      <c r="D97" t="s">
        <v>681</v>
      </c>
      <c r="F97" t="s">
        <v>10</v>
      </c>
      <c r="G97" t="s">
        <v>11</v>
      </c>
      <c r="H97">
        <v>7.5</v>
      </c>
      <c r="I97">
        <v>18.3</v>
      </c>
      <c r="J97" s="9">
        <v>58</v>
      </c>
      <c r="K97" s="9">
        <v>116</v>
      </c>
      <c r="L97" s="9">
        <v>348</v>
      </c>
      <c r="M97" s="10">
        <v>696</v>
      </c>
      <c r="N97" s="10"/>
      <c r="O97" s="10">
        <v>5</v>
      </c>
      <c r="P97" s="19">
        <v>100</v>
      </c>
      <c r="Q97" s="22" t="s">
        <v>735</v>
      </c>
      <c r="R97">
        <v>9</v>
      </c>
      <c r="S97" s="26">
        <f>VLOOKUP($F97,Munition!$B:$P,10,FALSE)</f>
        <v>20</v>
      </c>
      <c r="T97" s="26">
        <f>VLOOKUP($F97,Munition!$B:$P,11,FALSE)</f>
        <v>878</v>
      </c>
      <c r="U97" s="28">
        <f t="shared" si="14"/>
        <v>858.71646360935529</v>
      </c>
      <c r="V97" s="26">
        <f>VLOOKUP($F97,Munition!$B:$P,5,FALSE)</f>
        <v>3.56</v>
      </c>
      <c r="W97" s="30">
        <f t="shared" si="16"/>
        <v>1312.5612574752879</v>
      </c>
      <c r="X97" s="26">
        <f>VLOOKUP($F97,Munition!$B:$P,15,FALSE)</f>
        <v>146.62584685242678</v>
      </c>
      <c r="Y97" s="26">
        <f>VLOOKUP($F97,Munition!$B:$P,9,FALSE)</f>
        <v>1</v>
      </c>
      <c r="Z97" s="26">
        <f>VLOOKUP($F97,Munition!$B:$P,14,FALSE)</f>
        <v>3.7177960891755132E-6</v>
      </c>
      <c r="AA97" s="30">
        <f t="shared" si="17"/>
        <v>10.812101456348328</v>
      </c>
      <c r="AB97" s="30">
        <f t="shared" si="18"/>
        <v>9.5785319750568814</v>
      </c>
      <c r="AC97" s="30">
        <f t="shared" si="19"/>
        <v>8.4857023556060938</v>
      </c>
      <c r="AD97" s="30">
        <f t="shared" si="20"/>
        <v>5.2268875704814022</v>
      </c>
      <c r="AE97" s="30">
        <f t="shared" si="21"/>
        <v>2.5268310498891795</v>
      </c>
      <c r="AF97" s="32" t="str">
        <f t="shared" si="15"/>
        <v>3D6</v>
      </c>
      <c r="AG97" s="33" t="str">
        <f t="shared" si="22"/>
        <v>1+2</v>
      </c>
      <c r="AH97" s="33" t="str">
        <f t="shared" si="23"/>
        <v>2</v>
      </c>
      <c r="AI97" s="33" t="str">
        <f t="shared" si="24"/>
        <v>2+1</v>
      </c>
      <c r="AJ97" s="33" t="str">
        <f t="shared" si="25"/>
        <v>-</v>
      </c>
      <c r="AK97">
        <v>1984</v>
      </c>
    </row>
    <row r="98" spans="1:37">
      <c r="A98" t="s">
        <v>574</v>
      </c>
      <c r="B98" t="s">
        <v>287</v>
      </c>
      <c r="C98" t="s">
        <v>681</v>
      </c>
      <c r="D98" t="s">
        <v>681</v>
      </c>
      <c r="F98" t="s">
        <v>10</v>
      </c>
      <c r="G98" t="s">
        <v>11</v>
      </c>
      <c r="H98">
        <v>6.75</v>
      </c>
      <c r="I98">
        <v>14.5</v>
      </c>
      <c r="J98" s="9">
        <v>50</v>
      </c>
      <c r="K98" s="9">
        <v>100</v>
      </c>
      <c r="L98" s="9">
        <v>300</v>
      </c>
      <c r="M98" s="10">
        <v>600</v>
      </c>
      <c r="N98" s="10"/>
      <c r="O98" s="10">
        <v>5</v>
      </c>
      <c r="P98" s="19">
        <v>100</v>
      </c>
      <c r="Q98" s="22" t="s">
        <v>736</v>
      </c>
      <c r="R98">
        <v>9</v>
      </c>
      <c r="S98" s="26">
        <f>VLOOKUP($F98,Munition!$B:$P,10,FALSE)</f>
        <v>20</v>
      </c>
      <c r="T98" s="26">
        <f>VLOOKUP($F98,Munition!$B:$P,11,FALSE)</f>
        <v>878</v>
      </c>
      <c r="U98" s="28">
        <f t="shared" si="14"/>
        <v>810.17533532287962</v>
      </c>
      <c r="V98" s="26">
        <f>VLOOKUP($F98,Munition!$B:$P,5,FALSE)</f>
        <v>3.56</v>
      </c>
      <c r="W98" s="30">
        <f t="shared" si="16"/>
        <v>1168.3636516586619</v>
      </c>
      <c r="X98" s="26">
        <f>VLOOKUP($F98,Munition!$B:$P,15,FALSE)</f>
        <v>146.62584685242678</v>
      </c>
      <c r="Y98" s="26">
        <f>VLOOKUP($F98,Munition!$B:$P,9,FALSE)</f>
        <v>1</v>
      </c>
      <c r="Z98" s="26">
        <f>VLOOKUP($F98,Munition!$B:$P,14,FALSE)</f>
        <v>3.7177960891755132E-6</v>
      </c>
      <c r="AA98" s="30">
        <f t="shared" si="17"/>
        <v>9.6242870705643284</v>
      </c>
      <c r="AB98" s="30">
        <f t="shared" si="18"/>
        <v>8.6699006565209764</v>
      </c>
      <c r="AC98" s="30">
        <f t="shared" si="19"/>
        <v>7.8101553749201855</v>
      </c>
      <c r="AD98" s="30">
        <f t="shared" si="20"/>
        <v>5.1433003268307687</v>
      </c>
      <c r="AE98" s="30">
        <f t="shared" si="21"/>
        <v>2.7486231507874548</v>
      </c>
      <c r="AF98" s="32" t="str">
        <f t="shared" si="15"/>
        <v>2D6+2</v>
      </c>
      <c r="AG98" s="33" t="str">
        <f t="shared" si="22"/>
        <v>2</v>
      </c>
      <c r="AH98" s="33" t="str">
        <f t="shared" si="23"/>
        <v>2</v>
      </c>
      <c r="AI98" s="33" t="str">
        <f t="shared" si="24"/>
        <v>2+1</v>
      </c>
      <c r="AJ98" s="33" t="str">
        <f t="shared" si="25"/>
        <v>-</v>
      </c>
      <c r="AK98">
        <v>1984</v>
      </c>
    </row>
    <row r="99" spans="1:37">
      <c r="A99" t="s">
        <v>573</v>
      </c>
      <c r="B99" t="s">
        <v>288</v>
      </c>
      <c r="C99" t="s">
        <v>681</v>
      </c>
      <c r="D99" t="s">
        <v>681</v>
      </c>
      <c r="F99" t="s">
        <v>57</v>
      </c>
      <c r="G99" t="s">
        <v>58</v>
      </c>
      <c r="H99">
        <v>4.3099999999999996</v>
      </c>
      <c r="I99">
        <v>23</v>
      </c>
      <c r="J99" s="9">
        <v>50</v>
      </c>
      <c r="K99" s="9">
        <v>100</v>
      </c>
      <c r="L99" s="9">
        <v>300</v>
      </c>
      <c r="M99" s="10">
        <v>600</v>
      </c>
      <c r="N99" s="10">
        <v>2</v>
      </c>
      <c r="O99" s="10"/>
      <c r="P99" s="18">
        <v>20</v>
      </c>
      <c r="Q99" s="22" t="s">
        <v>701</v>
      </c>
      <c r="R99">
        <v>1</v>
      </c>
      <c r="S99" s="26">
        <f>VLOOKUP($F99,Munition!$B:$P,10,FALSE)</f>
        <v>24</v>
      </c>
      <c r="T99" s="26">
        <f>VLOOKUP($F99,Munition!$B:$P,11,FALSE)</f>
        <v>810</v>
      </c>
      <c r="U99" s="28">
        <f t="shared" si="14"/>
        <v>801.42736495919405</v>
      </c>
      <c r="V99" s="26">
        <f>VLOOKUP($F99,Munition!$B:$P,5,FALSE)</f>
        <v>8</v>
      </c>
      <c r="W99" s="30">
        <f t="shared" si="16"/>
        <v>2569.143285221749</v>
      </c>
      <c r="X99" s="26">
        <f>VLOOKUP($F99,Munition!$B:$P,15,FALSE)</f>
        <v>175.42446590133201</v>
      </c>
      <c r="Y99" s="26">
        <f>VLOOKUP($F99,Munition!$B:$P,9,FALSE)</f>
        <v>1</v>
      </c>
      <c r="Z99" s="26">
        <f>VLOOKUP($F99,Munition!$B:$P,14,FALSE)</f>
        <v>6.9830624463123905E-6</v>
      </c>
      <c r="AA99" s="30">
        <f t="shared" si="17"/>
        <v>11.26726471585047</v>
      </c>
      <c r="AB99" s="30">
        <f t="shared" si="18"/>
        <v>10.325466434920632</v>
      </c>
      <c r="AC99" s="30">
        <f t="shared" si="19"/>
        <v>9.4623903660210669</v>
      </c>
      <c r="AD99" s="30">
        <f t="shared" si="20"/>
        <v>6.6736831920587196</v>
      </c>
      <c r="AE99" s="30">
        <f t="shared" si="21"/>
        <v>3.9528713020572059</v>
      </c>
      <c r="AF99" s="32" t="str">
        <f t="shared" si="15"/>
        <v>4D6</v>
      </c>
      <c r="AG99" s="33" t="str">
        <f t="shared" si="22"/>
        <v>2+1</v>
      </c>
      <c r="AH99" s="33" t="str">
        <f t="shared" si="23"/>
        <v>2+2</v>
      </c>
      <c r="AI99" s="33" t="str">
        <f t="shared" si="24"/>
        <v>3</v>
      </c>
      <c r="AJ99" s="33" t="str">
        <f t="shared" si="25"/>
        <v>-</v>
      </c>
      <c r="AK99">
        <v>1949</v>
      </c>
    </row>
    <row r="100" spans="1:37">
      <c r="A100" t="s">
        <v>576</v>
      </c>
      <c r="B100" t="s">
        <v>289</v>
      </c>
      <c r="C100" t="s">
        <v>681</v>
      </c>
      <c r="D100" t="s">
        <v>681</v>
      </c>
      <c r="F100" t="s">
        <v>154</v>
      </c>
      <c r="G100" t="s">
        <v>155</v>
      </c>
      <c r="H100">
        <v>2.7</v>
      </c>
      <c r="I100">
        <v>20</v>
      </c>
      <c r="J100" s="9">
        <v>8</v>
      </c>
      <c r="K100" s="9">
        <v>16</v>
      </c>
      <c r="L100" s="9">
        <v>48</v>
      </c>
      <c r="M100" s="10">
        <v>96</v>
      </c>
      <c r="N100" s="10">
        <v>3</v>
      </c>
      <c r="O100" s="10"/>
      <c r="P100" s="18">
        <v>3</v>
      </c>
      <c r="Q100" s="22" t="s">
        <v>702</v>
      </c>
      <c r="R100">
        <v>1</v>
      </c>
      <c r="S100" s="26">
        <f>VLOOKUP($F100,Munition!$B:$P,10,FALSE)</f>
        <v>20</v>
      </c>
      <c r="T100" s="26">
        <f>VLOOKUP($F100,Munition!$B:$P,11,FALSE)</f>
        <v>408</v>
      </c>
      <c r="U100" s="28">
        <f t="shared" si="14"/>
        <v>408</v>
      </c>
      <c r="V100" s="26">
        <f>VLOOKUP($F100,Munition!$B:$P,5,FALSE)</f>
        <v>38</v>
      </c>
      <c r="W100" s="30">
        <f t="shared" si="16"/>
        <v>3162.8159999999998</v>
      </c>
      <c r="X100" s="26">
        <f>VLOOKUP($F100,Munition!$B:$P,15,FALSE)</f>
        <v>141.36772154838914</v>
      </c>
      <c r="Y100" s="26">
        <f>VLOOKUP($F100,Munition!$B:$P,9,FALSE)</f>
        <v>1</v>
      </c>
      <c r="Z100" s="26">
        <f>VLOOKUP($F100,Munition!$B:$P,14,FALSE)</f>
        <v>9.8784926622870443E-5</v>
      </c>
      <c r="AA100" s="30">
        <f t="shared" si="17"/>
        <v>2.3532636399831048</v>
      </c>
      <c r="AB100" s="30">
        <f t="shared" si="18"/>
        <v>2.2573904868989088</v>
      </c>
      <c r="AC100" s="30">
        <f t="shared" si="19"/>
        <v>2.1654232546499879</v>
      </c>
      <c r="AD100" s="30">
        <f t="shared" si="20"/>
        <v>1.8335266212232062</v>
      </c>
      <c r="AE100" s="30">
        <f t="shared" si="21"/>
        <v>1.4285776627893347</v>
      </c>
      <c r="AF100" s="32" t="str">
        <f t="shared" si="15"/>
        <v>4D6+2</v>
      </c>
      <c r="AG100" s="33" t="str">
        <f t="shared" si="22"/>
        <v>-</v>
      </c>
      <c r="AH100" s="33" t="str">
        <f t="shared" si="23"/>
        <v>-</v>
      </c>
      <c r="AI100" s="33" t="str">
        <f t="shared" si="24"/>
        <v>-</v>
      </c>
      <c r="AJ100" s="33" t="str">
        <f t="shared" si="25"/>
        <v>-</v>
      </c>
      <c r="AK100">
        <v>1980</v>
      </c>
    </row>
    <row r="101" spans="1:37">
      <c r="A101" t="s">
        <v>576</v>
      </c>
      <c r="B101" t="s">
        <v>290</v>
      </c>
      <c r="C101" t="s">
        <v>681</v>
      </c>
      <c r="D101" t="s">
        <v>681</v>
      </c>
      <c r="F101" t="s">
        <v>154</v>
      </c>
      <c r="G101" t="s">
        <v>155</v>
      </c>
      <c r="H101">
        <v>4.12</v>
      </c>
      <c r="I101">
        <v>18</v>
      </c>
      <c r="J101" s="9">
        <v>8</v>
      </c>
      <c r="K101" s="9">
        <v>16</v>
      </c>
      <c r="L101" s="9">
        <v>48</v>
      </c>
      <c r="M101" s="10">
        <v>96</v>
      </c>
      <c r="N101" s="10">
        <v>2</v>
      </c>
      <c r="O101" s="10"/>
      <c r="P101" s="18">
        <v>8</v>
      </c>
      <c r="Q101" s="22" t="s">
        <v>702</v>
      </c>
      <c r="R101">
        <v>1</v>
      </c>
      <c r="S101" s="26">
        <f>VLOOKUP($F101,Munition!$B:$P,10,FALSE)</f>
        <v>20</v>
      </c>
      <c r="T101" s="26">
        <f>VLOOKUP($F101,Munition!$B:$P,11,FALSE)</f>
        <v>408</v>
      </c>
      <c r="U101" s="28">
        <f t="shared" si="14"/>
        <v>397.39352854152105</v>
      </c>
      <c r="V101" s="26">
        <f>VLOOKUP($F101,Munition!$B:$P,5,FALSE)</f>
        <v>38</v>
      </c>
      <c r="W101" s="30">
        <f t="shared" si="16"/>
        <v>3000.5107140069335</v>
      </c>
      <c r="X101" s="26">
        <f>VLOOKUP($F101,Munition!$B:$P,15,FALSE)</f>
        <v>141.36772154838914</v>
      </c>
      <c r="Y101" s="26">
        <f>VLOOKUP($F101,Munition!$B:$P,9,FALSE)</f>
        <v>1</v>
      </c>
      <c r="Z101" s="26">
        <f>VLOOKUP($F101,Munition!$B:$P,14,FALSE)</f>
        <v>9.8784926622870443E-5</v>
      </c>
      <c r="AA101" s="30">
        <f t="shared" si="17"/>
        <v>2.2325019111615285</v>
      </c>
      <c r="AB101" s="30">
        <f t="shared" si="18"/>
        <v>2.1415486520991118</v>
      </c>
      <c r="AC101" s="30">
        <f t="shared" si="19"/>
        <v>2.0543008748966276</v>
      </c>
      <c r="AD101" s="30">
        <f t="shared" si="20"/>
        <v>1.7394360820854464</v>
      </c>
      <c r="AE101" s="30">
        <f t="shared" si="21"/>
        <v>1.3552677686562806</v>
      </c>
      <c r="AF101" s="32" t="str">
        <f t="shared" si="15"/>
        <v>4D6+1</v>
      </c>
      <c r="AG101" s="33" t="str">
        <f t="shared" si="22"/>
        <v>-</v>
      </c>
      <c r="AH101" s="33" t="str">
        <f t="shared" si="23"/>
        <v>-</v>
      </c>
      <c r="AI101" s="33" t="str">
        <f t="shared" si="24"/>
        <v>-</v>
      </c>
      <c r="AJ101" s="33" t="str">
        <f t="shared" si="25"/>
        <v>-</v>
      </c>
      <c r="AK101">
        <v>1979</v>
      </c>
    </row>
    <row r="102" spans="1:37">
      <c r="A102" t="s">
        <v>576</v>
      </c>
      <c r="B102" t="s">
        <v>291</v>
      </c>
      <c r="C102" t="s">
        <v>681</v>
      </c>
      <c r="D102" t="s">
        <v>681</v>
      </c>
      <c r="F102" t="s">
        <v>154</v>
      </c>
      <c r="G102" t="s">
        <v>155</v>
      </c>
      <c r="H102">
        <v>3.8</v>
      </c>
      <c r="I102">
        <v>18.5</v>
      </c>
      <c r="J102" s="9">
        <v>8</v>
      </c>
      <c r="K102" s="9">
        <v>16</v>
      </c>
      <c r="L102" s="9">
        <v>48</v>
      </c>
      <c r="M102" s="10">
        <v>96</v>
      </c>
      <c r="N102" s="10">
        <v>2</v>
      </c>
      <c r="O102" s="10"/>
      <c r="P102" s="18">
        <v>10</v>
      </c>
      <c r="Q102" s="22" t="s">
        <v>703</v>
      </c>
      <c r="R102">
        <v>1</v>
      </c>
      <c r="S102" s="26">
        <f>VLOOKUP($F102,Munition!$B:$P,10,FALSE)</f>
        <v>20</v>
      </c>
      <c r="T102" s="26">
        <f>VLOOKUP($F102,Munition!$B:$P,11,FALSE)</f>
        <v>408</v>
      </c>
      <c r="U102" s="28">
        <f t="shared" si="14"/>
        <v>400.12491627253473</v>
      </c>
      <c r="V102" s="26">
        <f>VLOOKUP($F102,Munition!$B:$P,5,FALSE)</f>
        <v>38</v>
      </c>
      <c r="W102" s="30">
        <f t="shared" si="16"/>
        <v>3041.8990238199558</v>
      </c>
      <c r="X102" s="26">
        <f>VLOOKUP($F102,Munition!$B:$P,15,FALSE)</f>
        <v>141.36772154838914</v>
      </c>
      <c r="Y102" s="26">
        <f>VLOOKUP($F102,Munition!$B:$P,9,FALSE)</f>
        <v>1</v>
      </c>
      <c r="Z102" s="26">
        <f>VLOOKUP($F102,Munition!$B:$P,14,FALSE)</f>
        <v>9.8784926622870443E-5</v>
      </c>
      <c r="AA102" s="30">
        <f t="shared" si="17"/>
        <v>2.2632964956720856</v>
      </c>
      <c r="AB102" s="30">
        <f t="shared" si="18"/>
        <v>2.1710886496331891</v>
      </c>
      <c r="AC102" s="30">
        <f t="shared" si="19"/>
        <v>2.0826373979633432</v>
      </c>
      <c r="AD102" s="30">
        <f t="shared" si="20"/>
        <v>1.763429437326349</v>
      </c>
      <c r="AE102" s="30">
        <f t="shared" si="21"/>
        <v>1.3739620002838837</v>
      </c>
      <c r="AF102" s="32" t="str">
        <f t="shared" si="15"/>
        <v>4D6+1</v>
      </c>
      <c r="AG102" s="33" t="str">
        <f t="shared" si="22"/>
        <v>-</v>
      </c>
      <c r="AH102" s="33" t="str">
        <f t="shared" si="23"/>
        <v>-</v>
      </c>
      <c r="AI102" s="33" t="str">
        <f t="shared" si="24"/>
        <v>-</v>
      </c>
      <c r="AJ102" s="33" t="str">
        <f t="shared" si="25"/>
        <v>-</v>
      </c>
      <c r="AK102">
        <v>1989</v>
      </c>
    </row>
    <row r="103" spans="1:37">
      <c r="A103" t="s">
        <v>576</v>
      </c>
      <c r="B103" t="s">
        <v>292</v>
      </c>
      <c r="C103" t="s">
        <v>681</v>
      </c>
      <c r="D103" t="s">
        <v>681</v>
      </c>
      <c r="F103" t="s">
        <v>154</v>
      </c>
      <c r="G103" t="s">
        <v>155</v>
      </c>
      <c r="H103">
        <v>3.8</v>
      </c>
      <c r="I103">
        <v>18</v>
      </c>
      <c r="J103" s="9">
        <v>8</v>
      </c>
      <c r="K103" s="9">
        <v>16</v>
      </c>
      <c r="L103" s="9">
        <v>48</v>
      </c>
      <c r="M103" s="10">
        <v>96</v>
      </c>
      <c r="N103" s="10">
        <v>2</v>
      </c>
      <c r="O103" s="10"/>
      <c r="P103" s="18">
        <v>10</v>
      </c>
      <c r="Q103" s="22" t="s">
        <v>703</v>
      </c>
      <c r="R103">
        <v>1</v>
      </c>
      <c r="S103" s="26">
        <f>VLOOKUP($F103,Munition!$B:$P,10,FALSE)</f>
        <v>20</v>
      </c>
      <c r="T103" s="26">
        <f>VLOOKUP($F103,Munition!$B:$P,11,FALSE)</f>
        <v>408</v>
      </c>
      <c r="U103" s="28">
        <f t="shared" si="14"/>
        <v>397.39352854152105</v>
      </c>
      <c r="V103" s="26">
        <f>VLOOKUP($F103,Munition!$B:$P,5,FALSE)</f>
        <v>38</v>
      </c>
      <c r="W103" s="30">
        <f t="shared" si="16"/>
        <v>3000.5107140069335</v>
      </c>
      <c r="X103" s="26">
        <f>VLOOKUP($F103,Munition!$B:$P,15,FALSE)</f>
        <v>141.36772154838914</v>
      </c>
      <c r="Y103" s="26">
        <f>VLOOKUP($F103,Munition!$B:$P,9,FALSE)</f>
        <v>1</v>
      </c>
      <c r="Z103" s="26">
        <f>VLOOKUP($F103,Munition!$B:$P,14,FALSE)</f>
        <v>9.8784926622870443E-5</v>
      </c>
      <c r="AA103" s="30">
        <f t="shared" si="17"/>
        <v>2.2325019111615285</v>
      </c>
      <c r="AB103" s="30">
        <f t="shared" si="18"/>
        <v>2.1415486520991118</v>
      </c>
      <c r="AC103" s="30">
        <f t="shared" si="19"/>
        <v>2.0543008748966276</v>
      </c>
      <c r="AD103" s="30">
        <f t="shared" si="20"/>
        <v>1.7394360820854464</v>
      </c>
      <c r="AE103" s="30">
        <f t="shared" si="21"/>
        <v>1.3552677686562806</v>
      </c>
      <c r="AF103" s="32" t="str">
        <f t="shared" si="15"/>
        <v>4D6+1</v>
      </c>
      <c r="AG103" s="33" t="str">
        <f t="shared" si="22"/>
        <v>-</v>
      </c>
      <c r="AH103" s="33" t="str">
        <f t="shared" si="23"/>
        <v>-</v>
      </c>
      <c r="AI103" s="33" t="str">
        <f t="shared" si="24"/>
        <v>-</v>
      </c>
      <c r="AJ103" s="33" t="str">
        <f t="shared" si="25"/>
        <v>-</v>
      </c>
      <c r="AK103">
        <v>1989</v>
      </c>
    </row>
    <row r="104" spans="1:37">
      <c r="A104" t="s">
        <v>576</v>
      </c>
      <c r="B104" t="s">
        <v>293</v>
      </c>
      <c r="C104" t="s">
        <v>681</v>
      </c>
      <c r="D104" t="s">
        <v>681</v>
      </c>
      <c r="F104" t="s">
        <v>154</v>
      </c>
      <c r="G104" t="s">
        <v>155</v>
      </c>
      <c r="H104">
        <v>3.8</v>
      </c>
      <c r="I104">
        <v>20</v>
      </c>
      <c r="J104" s="9">
        <v>8</v>
      </c>
      <c r="K104" s="9">
        <v>16</v>
      </c>
      <c r="L104" s="9">
        <v>48</v>
      </c>
      <c r="M104" s="10">
        <v>96</v>
      </c>
      <c r="N104" s="10">
        <v>2</v>
      </c>
      <c r="O104" s="10"/>
      <c r="P104" s="18">
        <v>10</v>
      </c>
      <c r="Q104" s="22" t="s">
        <v>703</v>
      </c>
      <c r="R104">
        <v>1</v>
      </c>
      <c r="S104" s="26">
        <f>VLOOKUP($F104,Munition!$B:$P,10,FALSE)</f>
        <v>20</v>
      </c>
      <c r="T104" s="26">
        <f>VLOOKUP($F104,Munition!$B:$P,11,FALSE)</f>
        <v>408</v>
      </c>
      <c r="U104" s="28">
        <f t="shared" si="14"/>
        <v>408</v>
      </c>
      <c r="V104" s="26">
        <f>VLOOKUP($F104,Munition!$B:$P,5,FALSE)</f>
        <v>38</v>
      </c>
      <c r="W104" s="30">
        <f t="shared" si="16"/>
        <v>3162.8159999999998</v>
      </c>
      <c r="X104" s="26">
        <f>VLOOKUP($F104,Munition!$B:$P,15,FALSE)</f>
        <v>141.36772154838914</v>
      </c>
      <c r="Y104" s="26">
        <f>VLOOKUP($F104,Munition!$B:$P,9,FALSE)</f>
        <v>1</v>
      </c>
      <c r="Z104" s="26">
        <f>VLOOKUP($F104,Munition!$B:$P,14,FALSE)</f>
        <v>9.8784926622870443E-5</v>
      </c>
      <c r="AA104" s="30">
        <f t="shared" si="17"/>
        <v>2.3532636399831048</v>
      </c>
      <c r="AB104" s="30">
        <f t="shared" si="18"/>
        <v>2.2573904868989088</v>
      </c>
      <c r="AC104" s="30">
        <f t="shared" si="19"/>
        <v>2.1654232546499879</v>
      </c>
      <c r="AD104" s="30">
        <f t="shared" si="20"/>
        <v>1.8335266212232062</v>
      </c>
      <c r="AE104" s="30">
        <f t="shared" si="21"/>
        <v>1.4285776627893347</v>
      </c>
      <c r="AF104" s="32" t="str">
        <f t="shared" si="15"/>
        <v>4D6+2</v>
      </c>
      <c r="AG104" s="33" t="str">
        <f t="shared" si="22"/>
        <v>-</v>
      </c>
      <c r="AH104" s="33" t="str">
        <f t="shared" si="23"/>
        <v>-</v>
      </c>
      <c r="AI104" s="33" t="str">
        <f t="shared" si="24"/>
        <v>-</v>
      </c>
      <c r="AJ104" s="33" t="str">
        <f t="shared" si="25"/>
        <v>-</v>
      </c>
      <c r="AK104">
        <v>1989</v>
      </c>
    </row>
    <row r="105" spans="1:37">
      <c r="A105" t="s">
        <v>574</v>
      </c>
      <c r="B105" t="s">
        <v>294</v>
      </c>
      <c r="C105" t="s">
        <v>681</v>
      </c>
      <c r="D105" t="s">
        <v>681</v>
      </c>
      <c r="F105" t="s">
        <v>51</v>
      </c>
      <c r="G105" t="s">
        <v>52</v>
      </c>
      <c r="H105">
        <v>9.1479999999999997</v>
      </c>
      <c r="I105">
        <v>17.7</v>
      </c>
      <c r="J105" s="9">
        <v>133</v>
      </c>
      <c r="K105" s="9">
        <v>266</v>
      </c>
      <c r="L105" s="9">
        <v>798</v>
      </c>
      <c r="M105" s="10">
        <v>1596</v>
      </c>
      <c r="N105" s="10">
        <v>1</v>
      </c>
      <c r="O105" s="10">
        <v>5</v>
      </c>
      <c r="P105" s="19">
        <v>50</v>
      </c>
      <c r="Q105" s="22" t="s">
        <v>737</v>
      </c>
      <c r="R105">
        <v>10</v>
      </c>
      <c r="S105" s="26">
        <f>VLOOKUP($F105,Munition!$B:$P,10,FALSE)</f>
        <v>22</v>
      </c>
      <c r="T105" s="26">
        <f>VLOOKUP($F105,Munition!$B:$P,11,FALSE)</f>
        <v>832</v>
      </c>
      <c r="U105" s="28">
        <f t="shared" si="14"/>
        <v>787.97233973020764</v>
      </c>
      <c r="V105" s="26">
        <f>VLOOKUP($F105,Munition!$B:$P,5,FALSE)</f>
        <v>9.4499999999999993</v>
      </c>
      <c r="W105" s="30">
        <f t="shared" si="16"/>
        <v>2933.7544286500174</v>
      </c>
      <c r="X105" s="26">
        <f>VLOOKUP($F105,Munition!$B:$P,15,FALSE)</f>
        <v>207.22015034594844</v>
      </c>
      <c r="Y105" s="26">
        <f>VLOOKUP($F105,Munition!$B:$P,9,FALSE)</f>
        <v>1</v>
      </c>
      <c r="Z105" s="26">
        <f>VLOOKUP($F105,Munition!$B:$P,14,FALSE)</f>
        <v>6.9830624463123905E-6</v>
      </c>
      <c r="AA105" s="30">
        <f t="shared" si="17"/>
        <v>12.866307593289916</v>
      </c>
      <c r="AB105" s="30">
        <f t="shared" si="18"/>
        <v>10.570338287770236</v>
      </c>
      <c r="AC105" s="30">
        <f t="shared" si="19"/>
        <v>8.6840805497431379</v>
      </c>
      <c r="AD105" s="30">
        <f t="shared" si="20"/>
        <v>3.9560672873696436</v>
      </c>
      <c r="AE105" s="30">
        <f t="shared" si="21"/>
        <v>1.2163915924377788</v>
      </c>
      <c r="AF105" s="32" t="str">
        <f t="shared" si="15"/>
        <v>4D6+1</v>
      </c>
      <c r="AG105" s="33" t="str">
        <f t="shared" si="22"/>
        <v>2+1</v>
      </c>
      <c r="AH105" s="33" t="str">
        <f t="shared" si="23"/>
        <v>2+2</v>
      </c>
      <c r="AI105" s="33" t="str">
        <f t="shared" si="24"/>
        <v>3+1</v>
      </c>
      <c r="AJ105" s="33" t="str">
        <f t="shared" si="25"/>
        <v>-</v>
      </c>
      <c r="AK105">
        <v>1998</v>
      </c>
    </row>
    <row r="106" spans="1:37">
      <c r="A106" t="s">
        <v>572</v>
      </c>
      <c r="B106" t="s">
        <v>295</v>
      </c>
      <c r="C106" t="s">
        <v>681</v>
      </c>
      <c r="D106" t="s">
        <v>681</v>
      </c>
      <c r="F106" t="s">
        <v>51</v>
      </c>
      <c r="G106" t="s">
        <v>52</v>
      </c>
      <c r="H106">
        <v>5.0999999999999996</v>
      </c>
      <c r="I106">
        <v>18</v>
      </c>
      <c r="J106" s="9">
        <v>100</v>
      </c>
      <c r="K106" s="9">
        <v>200</v>
      </c>
      <c r="L106" s="9">
        <v>600</v>
      </c>
      <c r="M106" s="10">
        <v>1200</v>
      </c>
      <c r="N106" s="10">
        <v>2</v>
      </c>
      <c r="O106" s="10"/>
      <c r="P106" s="18">
        <v>10</v>
      </c>
      <c r="Q106" s="22" t="s">
        <v>701</v>
      </c>
      <c r="R106">
        <v>1</v>
      </c>
      <c r="S106" s="26">
        <f>VLOOKUP($F106,Munition!$B:$P,10,FALSE)</f>
        <v>22</v>
      </c>
      <c r="T106" s="26">
        <f>VLOOKUP($F106,Munition!$B:$P,11,FALSE)</f>
        <v>832</v>
      </c>
      <c r="U106" s="28">
        <f t="shared" si="14"/>
        <v>791.29019137544833</v>
      </c>
      <c r="V106" s="26">
        <f>VLOOKUP($F106,Munition!$B:$P,5,FALSE)</f>
        <v>9.4499999999999993</v>
      </c>
      <c r="W106" s="30">
        <f t="shared" si="16"/>
        <v>2958.5122889190447</v>
      </c>
      <c r="X106" s="26">
        <f>VLOOKUP($F106,Munition!$B:$P,15,FALSE)</f>
        <v>207.22015034594844</v>
      </c>
      <c r="Y106" s="26">
        <f>VLOOKUP($F106,Munition!$B:$P,9,FALSE)</f>
        <v>1</v>
      </c>
      <c r="Z106" s="26">
        <f>VLOOKUP($F106,Munition!$B:$P,14,FALSE)</f>
        <v>6.9830624463123905E-6</v>
      </c>
      <c r="AA106" s="30">
        <f t="shared" si="17"/>
        <v>12.974885953653766</v>
      </c>
      <c r="AB106" s="30">
        <f t="shared" si="18"/>
        <v>11.192299060363961</v>
      </c>
      <c r="AC106" s="30">
        <f t="shared" si="19"/>
        <v>9.6546172894373878</v>
      </c>
      <c r="AD106" s="30">
        <f t="shared" si="20"/>
        <v>5.3456200902630497</v>
      </c>
      <c r="AE106" s="30">
        <f t="shared" si="21"/>
        <v>2.2023819131432867</v>
      </c>
      <c r="AF106" s="32" t="str">
        <f t="shared" si="15"/>
        <v>4D6+1</v>
      </c>
      <c r="AG106" s="33" t="str">
        <f t="shared" si="22"/>
        <v>2+1</v>
      </c>
      <c r="AH106" s="33" t="str">
        <f t="shared" si="23"/>
        <v>2+2</v>
      </c>
      <c r="AI106" s="33" t="str">
        <f t="shared" si="24"/>
        <v>3</v>
      </c>
      <c r="AJ106" s="33" t="str">
        <f t="shared" si="25"/>
        <v>-</v>
      </c>
      <c r="AK106">
        <v>1995</v>
      </c>
    </row>
    <row r="107" spans="1:37">
      <c r="A107" t="s">
        <v>575</v>
      </c>
      <c r="B107" t="s">
        <v>296</v>
      </c>
      <c r="C107" t="s">
        <v>681</v>
      </c>
      <c r="D107" t="s">
        <v>681</v>
      </c>
      <c r="F107" t="s">
        <v>10</v>
      </c>
      <c r="G107" t="s">
        <v>11</v>
      </c>
      <c r="H107">
        <v>2.95</v>
      </c>
      <c r="I107">
        <v>13</v>
      </c>
      <c r="J107" s="9">
        <v>50</v>
      </c>
      <c r="K107" s="9">
        <v>100</v>
      </c>
      <c r="L107" s="9">
        <v>300</v>
      </c>
      <c r="M107" s="10">
        <v>600</v>
      </c>
      <c r="N107" s="10">
        <v>2</v>
      </c>
      <c r="O107" s="10">
        <v>3</v>
      </c>
      <c r="P107" s="19">
        <v>35</v>
      </c>
      <c r="Q107" s="22" t="s">
        <v>719</v>
      </c>
      <c r="R107">
        <v>3</v>
      </c>
      <c r="S107" s="26">
        <f>VLOOKUP($F107,Munition!$B:$P,10,FALSE)</f>
        <v>20</v>
      </c>
      <c r="T107" s="26">
        <f>VLOOKUP($F107,Munition!$B:$P,11,FALSE)</f>
        <v>878</v>
      </c>
      <c r="U107" s="28">
        <f t="shared" si="14"/>
        <v>788.35686729040287</v>
      </c>
      <c r="V107" s="26">
        <f>VLOOKUP($F107,Munition!$B:$P,5,FALSE)</f>
        <v>3.56</v>
      </c>
      <c r="W107" s="30">
        <f t="shared" si="16"/>
        <v>1106.2816593630096</v>
      </c>
      <c r="X107" s="26">
        <f>VLOOKUP($F107,Munition!$B:$P,15,FALSE)</f>
        <v>146.62584685242678</v>
      </c>
      <c r="Y107" s="26">
        <f>VLOOKUP($F107,Munition!$B:$P,9,FALSE)</f>
        <v>1</v>
      </c>
      <c r="Z107" s="26">
        <f>VLOOKUP($F107,Munition!$B:$P,14,FALSE)</f>
        <v>3.7177960891755132E-6</v>
      </c>
      <c r="AA107" s="30">
        <f t="shared" si="17"/>
        <v>9.1128924247982699</v>
      </c>
      <c r="AB107" s="30">
        <f t="shared" si="18"/>
        <v>8.2092181412800311</v>
      </c>
      <c r="AC107" s="30">
        <f t="shared" si="19"/>
        <v>7.3951561534660604</v>
      </c>
      <c r="AD107" s="30">
        <f t="shared" si="20"/>
        <v>4.8700067073217808</v>
      </c>
      <c r="AE107" s="30">
        <f t="shared" si="21"/>
        <v>2.6025727314436229</v>
      </c>
      <c r="AF107" s="32" t="str">
        <f t="shared" si="15"/>
        <v>2D6+2</v>
      </c>
      <c r="AG107" s="33" t="str">
        <f t="shared" si="22"/>
        <v>2</v>
      </c>
      <c r="AH107" s="33" t="str">
        <f t="shared" si="23"/>
        <v>2+1</v>
      </c>
      <c r="AI107" s="33" t="str">
        <f t="shared" si="24"/>
        <v>2+1</v>
      </c>
      <c r="AJ107" s="33" t="str">
        <f t="shared" si="25"/>
        <v>-</v>
      </c>
      <c r="AK107">
        <v>2006</v>
      </c>
    </row>
    <row r="108" spans="1:37">
      <c r="A108" t="s">
        <v>574</v>
      </c>
      <c r="B108" t="s">
        <v>297</v>
      </c>
      <c r="C108" t="s">
        <v>681</v>
      </c>
      <c r="D108" t="s">
        <v>681</v>
      </c>
      <c r="F108" t="s">
        <v>51</v>
      </c>
      <c r="G108" t="s">
        <v>52</v>
      </c>
      <c r="H108">
        <v>4</v>
      </c>
      <c r="I108">
        <v>7.5</v>
      </c>
      <c r="J108" s="9">
        <v>75</v>
      </c>
      <c r="K108" s="9">
        <v>150</v>
      </c>
      <c r="L108" s="9">
        <v>450</v>
      </c>
      <c r="M108" s="10">
        <v>900</v>
      </c>
      <c r="N108" s="10">
        <v>2</v>
      </c>
      <c r="O108" s="10">
        <v>5</v>
      </c>
      <c r="P108" s="19">
        <v>35</v>
      </c>
      <c r="Q108" s="22" t="s">
        <v>734</v>
      </c>
      <c r="R108">
        <v>5</v>
      </c>
      <c r="S108" s="26">
        <f>VLOOKUP($F108,Munition!$B:$P,10,FALSE)</f>
        <v>22</v>
      </c>
      <c r="T108" s="26">
        <f>VLOOKUP($F108,Munition!$B:$P,11,FALSE)</f>
        <v>832</v>
      </c>
      <c r="U108" s="28">
        <f t="shared" si="14"/>
        <v>635.74502738318722</v>
      </c>
      <c r="V108" s="26">
        <f>VLOOKUP($F108,Munition!$B:$P,5,FALSE)</f>
        <v>9.4499999999999993</v>
      </c>
      <c r="W108" s="30">
        <f t="shared" si="16"/>
        <v>1909.7114707555738</v>
      </c>
      <c r="X108" s="26">
        <f>VLOOKUP($F108,Munition!$B:$P,15,FALSE)</f>
        <v>207.22015034594844</v>
      </c>
      <c r="Y108" s="26">
        <f>VLOOKUP($F108,Munition!$B:$P,9,FALSE)</f>
        <v>1</v>
      </c>
      <c r="Z108" s="26">
        <f>VLOOKUP($F108,Munition!$B:$P,14,FALSE)</f>
        <v>6.9830624463123905E-6</v>
      </c>
      <c r="AA108" s="30">
        <f t="shared" si="17"/>
        <v>8.3752528695735933</v>
      </c>
      <c r="AB108" s="30">
        <f t="shared" si="18"/>
        <v>7.4965207250912549</v>
      </c>
      <c r="AC108" s="30">
        <f t="shared" si="19"/>
        <v>6.7099852215666766</v>
      </c>
      <c r="AD108" s="30">
        <f t="shared" si="20"/>
        <v>4.3069401255780759</v>
      </c>
      <c r="AE108" s="30">
        <f t="shared" si="21"/>
        <v>2.2148266487217012</v>
      </c>
      <c r="AF108" s="32" t="str">
        <f t="shared" si="15"/>
        <v>3D6+1</v>
      </c>
      <c r="AG108" s="33" t="str">
        <f t="shared" si="22"/>
        <v>3</v>
      </c>
      <c r="AH108" s="33" t="str">
        <f t="shared" si="23"/>
        <v>3+1</v>
      </c>
      <c r="AI108" s="33" t="str">
        <f t="shared" si="24"/>
        <v>-</v>
      </c>
      <c r="AJ108" s="33" t="str">
        <f t="shared" si="25"/>
        <v>-</v>
      </c>
      <c r="AK108">
        <v>1972</v>
      </c>
    </row>
    <row r="109" spans="1:37">
      <c r="A109" t="s">
        <v>572</v>
      </c>
      <c r="B109" t="s">
        <v>298</v>
      </c>
      <c r="C109" t="s">
        <v>681</v>
      </c>
      <c r="D109" t="s">
        <v>681</v>
      </c>
      <c r="F109" t="s">
        <v>51</v>
      </c>
      <c r="G109" t="s">
        <v>52</v>
      </c>
      <c r="H109">
        <v>6.4</v>
      </c>
      <c r="I109">
        <v>16</v>
      </c>
      <c r="J109" s="9">
        <v>100</v>
      </c>
      <c r="K109" s="9">
        <v>200</v>
      </c>
      <c r="L109" s="9">
        <v>600</v>
      </c>
      <c r="M109" s="10">
        <v>1200</v>
      </c>
      <c r="N109" s="10">
        <v>1</v>
      </c>
      <c r="O109" s="10"/>
      <c r="P109" s="18">
        <v>20</v>
      </c>
      <c r="Q109" s="22" t="s">
        <v>701</v>
      </c>
      <c r="R109">
        <v>1</v>
      </c>
      <c r="S109" s="26">
        <f>VLOOKUP($F109,Munition!$B:$P,10,FALSE)</f>
        <v>22</v>
      </c>
      <c r="T109" s="26">
        <f>VLOOKUP($F109,Munition!$B:$P,11,FALSE)</f>
        <v>832</v>
      </c>
      <c r="U109" s="28">
        <f t="shared" si="14"/>
        <v>768.32975389098669</v>
      </c>
      <c r="V109" s="26">
        <f>VLOOKUP($F109,Munition!$B:$P,5,FALSE)</f>
        <v>9.4499999999999993</v>
      </c>
      <c r="W109" s="30">
        <f t="shared" si="16"/>
        <v>2789.3121356245206</v>
      </c>
      <c r="X109" s="26">
        <f>VLOOKUP($F109,Munition!$B:$P,15,FALSE)</f>
        <v>207.22015034594844</v>
      </c>
      <c r="Y109" s="26">
        <f>VLOOKUP($F109,Munition!$B:$P,9,FALSE)</f>
        <v>1</v>
      </c>
      <c r="Z109" s="26">
        <f>VLOOKUP($F109,Munition!$B:$P,14,FALSE)</f>
        <v>6.9830624463123905E-6</v>
      </c>
      <c r="AA109" s="30">
        <f t="shared" si="17"/>
        <v>12.232839790600881</v>
      </c>
      <c r="AB109" s="30">
        <f t="shared" si="18"/>
        <v>10.552200750201569</v>
      </c>
      <c r="AC109" s="30">
        <f t="shared" si="19"/>
        <v>9.1024604734960803</v>
      </c>
      <c r="AD109" s="30">
        <f t="shared" si="20"/>
        <v>5.0398989539627275</v>
      </c>
      <c r="AE109" s="30">
        <f t="shared" si="21"/>
        <v>2.0764255807282925</v>
      </c>
      <c r="AF109" s="32" t="str">
        <f t="shared" si="15"/>
        <v>4D6+1</v>
      </c>
      <c r="AG109" s="33" t="str">
        <f t="shared" si="22"/>
        <v>2+1</v>
      </c>
      <c r="AH109" s="33" t="str">
        <f t="shared" si="23"/>
        <v>2+2</v>
      </c>
      <c r="AI109" s="33" t="str">
        <f t="shared" si="24"/>
        <v>3+1</v>
      </c>
      <c r="AJ109" s="33" t="str">
        <f t="shared" si="25"/>
        <v>-</v>
      </c>
      <c r="AK109">
        <v>1985</v>
      </c>
    </row>
    <row r="110" spans="1:37">
      <c r="A110" t="s">
        <v>575</v>
      </c>
      <c r="B110" t="s">
        <v>299</v>
      </c>
      <c r="C110" t="s">
        <v>681</v>
      </c>
      <c r="D110" t="s">
        <v>681</v>
      </c>
      <c r="F110" t="s">
        <v>10</v>
      </c>
      <c r="G110" t="s">
        <v>11</v>
      </c>
      <c r="H110">
        <v>2.95</v>
      </c>
      <c r="I110">
        <v>20</v>
      </c>
      <c r="J110" s="9">
        <v>50</v>
      </c>
      <c r="K110" s="9">
        <v>100</v>
      </c>
      <c r="L110" s="9">
        <v>300</v>
      </c>
      <c r="M110" s="10">
        <v>600</v>
      </c>
      <c r="N110" s="10">
        <v>2</v>
      </c>
      <c r="O110" s="10">
        <v>5</v>
      </c>
      <c r="P110" s="19">
        <v>35</v>
      </c>
      <c r="Q110" s="22" t="s">
        <v>734</v>
      </c>
      <c r="R110">
        <v>5</v>
      </c>
      <c r="S110" s="26">
        <f>VLOOKUP($F110,Munition!$B:$P,10,FALSE)</f>
        <v>20</v>
      </c>
      <c r="T110" s="26">
        <f>VLOOKUP($F110,Munition!$B:$P,11,FALSE)</f>
        <v>878</v>
      </c>
      <c r="U110" s="28">
        <f t="shared" si="14"/>
        <v>878</v>
      </c>
      <c r="V110" s="26">
        <f>VLOOKUP($F110,Munition!$B:$P,5,FALSE)</f>
        <v>3.56</v>
      </c>
      <c r="W110" s="30">
        <f t="shared" si="16"/>
        <v>1372.1735200000001</v>
      </c>
      <c r="X110" s="26">
        <f>VLOOKUP($F110,Munition!$B:$P,15,FALSE)</f>
        <v>146.62584685242678</v>
      </c>
      <c r="Y110" s="26">
        <f>VLOOKUP($F110,Munition!$B:$P,9,FALSE)</f>
        <v>1</v>
      </c>
      <c r="Z110" s="26">
        <f>VLOOKUP($F110,Munition!$B:$P,14,FALSE)</f>
        <v>3.7177960891755132E-6</v>
      </c>
      <c r="AA110" s="30">
        <f t="shared" si="17"/>
        <v>11.303151932498615</v>
      </c>
      <c r="AB110" s="30">
        <f t="shared" si="18"/>
        <v>10.182281933385839</v>
      </c>
      <c r="AC110" s="30">
        <f t="shared" si="19"/>
        <v>9.1725623074091445</v>
      </c>
      <c r="AD110" s="30">
        <f t="shared" si="20"/>
        <v>6.0404998939032204</v>
      </c>
      <c r="AE110" s="30">
        <f t="shared" si="21"/>
        <v>3.2280941799372109</v>
      </c>
      <c r="AF110" s="32" t="str">
        <f t="shared" si="15"/>
        <v>3D6</v>
      </c>
      <c r="AG110" s="33" t="str">
        <f t="shared" si="22"/>
        <v>1+2</v>
      </c>
      <c r="AH110" s="33" t="str">
        <f t="shared" si="23"/>
        <v>2</v>
      </c>
      <c r="AI110" s="33" t="str">
        <f t="shared" si="24"/>
        <v>2+1</v>
      </c>
      <c r="AJ110" s="33" t="str">
        <f t="shared" si="25"/>
        <v>-</v>
      </c>
      <c r="AK110">
        <v>1974</v>
      </c>
    </row>
    <row r="111" spans="1:37">
      <c r="A111" t="s">
        <v>575</v>
      </c>
      <c r="B111" t="s">
        <v>300</v>
      </c>
      <c r="C111" t="s">
        <v>681</v>
      </c>
      <c r="D111" t="s">
        <v>681</v>
      </c>
      <c r="F111" t="s">
        <v>10</v>
      </c>
      <c r="G111" t="s">
        <v>11</v>
      </c>
      <c r="H111">
        <v>3.75</v>
      </c>
      <c r="I111">
        <v>22</v>
      </c>
      <c r="J111" s="9">
        <v>50</v>
      </c>
      <c r="K111" s="9">
        <v>100</v>
      </c>
      <c r="L111" s="9">
        <v>300</v>
      </c>
      <c r="M111" s="10">
        <v>600</v>
      </c>
      <c r="N111" s="10">
        <v>2</v>
      </c>
      <c r="O111" s="10">
        <v>5</v>
      </c>
      <c r="P111" s="19">
        <v>35</v>
      </c>
      <c r="Q111" s="22" t="s">
        <v>734</v>
      </c>
      <c r="R111">
        <v>5</v>
      </c>
      <c r="S111" s="26">
        <f>VLOOKUP($F111,Munition!$B:$P,10,FALSE)</f>
        <v>20</v>
      </c>
      <c r="T111" s="26">
        <f>VLOOKUP($F111,Munition!$B:$P,11,FALSE)</f>
        <v>878</v>
      </c>
      <c r="U111" s="28">
        <f t="shared" si="14"/>
        <v>899.17181901614276</v>
      </c>
      <c r="V111" s="26">
        <f>VLOOKUP($F111,Munition!$B:$P,5,FALSE)</f>
        <v>3.56</v>
      </c>
      <c r="W111" s="30">
        <f t="shared" si="16"/>
        <v>1439.1477290007822</v>
      </c>
      <c r="X111" s="26">
        <f>VLOOKUP($F111,Munition!$B:$P,15,FALSE)</f>
        <v>146.62584685242678</v>
      </c>
      <c r="Y111" s="26">
        <f>VLOOKUP($F111,Munition!$B:$P,9,FALSE)</f>
        <v>1</v>
      </c>
      <c r="Z111" s="26">
        <f>VLOOKUP($F111,Munition!$B:$P,14,FALSE)</f>
        <v>3.7177960891755132E-6</v>
      </c>
      <c r="AA111" s="30">
        <f t="shared" si="17"/>
        <v>11.854845759016094</v>
      </c>
      <c r="AB111" s="30">
        <f t="shared" si="18"/>
        <v>10.679267386298143</v>
      </c>
      <c r="AC111" s="30">
        <f t="shared" si="19"/>
        <v>9.6202645084027303</v>
      </c>
      <c r="AD111" s="30">
        <f t="shared" si="20"/>
        <v>6.3353297360965577</v>
      </c>
      <c r="AE111" s="30">
        <f t="shared" si="21"/>
        <v>3.3856537386447152</v>
      </c>
      <c r="AF111" s="32" t="str">
        <f t="shared" si="15"/>
        <v>3D6</v>
      </c>
      <c r="AG111" s="33" t="str">
        <f t="shared" si="22"/>
        <v>1+2</v>
      </c>
      <c r="AH111" s="33" t="str">
        <f t="shared" si="23"/>
        <v>2</v>
      </c>
      <c r="AI111" s="33" t="str">
        <f t="shared" si="24"/>
        <v>2</v>
      </c>
      <c r="AJ111" s="33" t="str">
        <f t="shared" si="25"/>
        <v>-</v>
      </c>
      <c r="AK111">
        <v>1971</v>
      </c>
    </row>
    <row r="112" spans="1:37">
      <c r="A112" t="s">
        <v>574</v>
      </c>
      <c r="B112" t="s">
        <v>301</v>
      </c>
      <c r="C112" t="s">
        <v>681</v>
      </c>
      <c r="D112" t="s">
        <v>681</v>
      </c>
      <c r="F112" t="s">
        <v>10</v>
      </c>
      <c r="G112" t="s">
        <v>11</v>
      </c>
      <c r="H112">
        <v>12.3</v>
      </c>
      <c r="I112">
        <v>21</v>
      </c>
      <c r="J112" s="9">
        <v>75</v>
      </c>
      <c r="K112" s="9">
        <v>150</v>
      </c>
      <c r="L112" s="9">
        <v>450</v>
      </c>
      <c r="M112" s="10">
        <v>900</v>
      </c>
      <c r="N112" s="10"/>
      <c r="O112" s="10">
        <v>50</v>
      </c>
      <c r="P112" s="18">
        <v>1000</v>
      </c>
      <c r="Q112" s="22">
        <v>100</v>
      </c>
      <c r="R112">
        <v>100</v>
      </c>
      <c r="S112" s="26">
        <f>VLOOKUP($F112,Munition!$B:$P,10,FALSE)</f>
        <v>20</v>
      </c>
      <c r="T112" s="26">
        <f>VLOOKUP($F112,Munition!$B:$P,11,FALSE)</f>
        <v>878</v>
      </c>
      <c r="U112" s="28">
        <f t="shared" si="14"/>
        <v>888.77502182869659</v>
      </c>
      <c r="V112" s="26">
        <f>VLOOKUP($F112,Munition!$B:$P,5,FALSE)</f>
        <v>3.56</v>
      </c>
      <c r="W112" s="30">
        <f t="shared" si="16"/>
        <v>1406.0594501793482</v>
      </c>
      <c r="X112" s="26">
        <f>VLOOKUP($F112,Munition!$B:$P,15,FALSE)</f>
        <v>146.62584685242678</v>
      </c>
      <c r="Y112" s="26">
        <f>VLOOKUP($F112,Munition!$B:$P,9,FALSE)</f>
        <v>1</v>
      </c>
      <c r="Z112" s="26">
        <f>VLOOKUP($F112,Munition!$B:$P,14,FALSE)</f>
        <v>3.7177960891755132E-6</v>
      </c>
      <c r="AA112" s="30">
        <f t="shared" si="17"/>
        <v>11.582284135247443</v>
      </c>
      <c r="AB112" s="30">
        <f t="shared" si="18"/>
        <v>9.9029034246965928</v>
      </c>
      <c r="AC112" s="30">
        <f t="shared" si="19"/>
        <v>8.4670255964820011</v>
      </c>
      <c r="AD112" s="30">
        <f t="shared" si="20"/>
        <v>4.5248500172924349</v>
      </c>
      <c r="AE112" s="30">
        <f t="shared" si="21"/>
        <v>1.7677227945637801</v>
      </c>
      <c r="AF112" s="32" t="str">
        <f t="shared" si="15"/>
        <v>3D6</v>
      </c>
      <c r="AG112" s="33" t="str">
        <f t="shared" si="22"/>
        <v>1+2</v>
      </c>
      <c r="AH112" s="33" t="str">
        <f t="shared" si="23"/>
        <v>2</v>
      </c>
      <c r="AI112" s="33" t="str">
        <f t="shared" si="24"/>
        <v>2+1</v>
      </c>
      <c r="AJ112" s="33" t="str">
        <f t="shared" si="25"/>
        <v>-</v>
      </c>
      <c r="AK112">
        <v>1975</v>
      </c>
    </row>
    <row r="113" spans="1:37">
      <c r="A113" t="s">
        <v>574</v>
      </c>
      <c r="B113" t="s">
        <v>302</v>
      </c>
      <c r="C113" t="s">
        <v>681</v>
      </c>
      <c r="D113" t="s">
        <v>681</v>
      </c>
      <c r="F113" t="s">
        <v>10</v>
      </c>
      <c r="G113" t="s">
        <v>11</v>
      </c>
      <c r="H113">
        <v>38.6</v>
      </c>
      <c r="I113">
        <v>21</v>
      </c>
      <c r="J113" s="9">
        <v>75</v>
      </c>
      <c r="K113" s="9">
        <v>150</v>
      </c>
      <c r="L113" s="9">
        <v>450</v>
      </c>
      <c r="M113" s="10">
        <v>900</v>
      </c>
      <c r="N113" s="10"/>
      <c r="O113" s="10">
        <v>50</v>
      </c>
      <c r="P113" s="18">
        <v>1000</v>
      </c>
      <c r="Q113" s="22">
        <v>100</v>
      </c>
      <c r="R113">
        <v>100</v>
      </c>
      <c r="S113" s="26">
        <f>VLOOKUP($F113,Munition!$B:$P,10,FALSE)</f>
        <v>20</v>
      </c>
      <c r="T113" s="26">
        <f>VLOOKUP($F113,Munition!$B:$P,11,FALSE)</f>
        <v>878</v>
      </c>
      <c r="U113" s="28">
        <f t="shared" si="14"/>
        <v>888.77502182869659</v>
      </c>
      <c r="V113" s="26">
        <f>VLOOKUP($F113,Munition!$B:$P,5,FALSE)</f>
        <v>3.56</v>
      </c>
      <c r="W113" s="30">
        <f t="shared" si="16"/>
        <v>1406.0594501793482</v>
      </c>
      <c r="X113" s="26">
        <f>VLOOKUP($F113,Munition!$B:$P,15,FALSE)</f>
        <v>146.62584685242678</v>
      </c>
      <c r="Y113" s="26">
        <f>VLOOKUP($F113,Munition!$B:$P,9,FALSE)</f>
        <v>1</v>
      </c>
      <c r="Z113" s="26">
        <f>VLOOKUP($F113,Munition!$B:$P,14,FALSE)</f>
        <v>3.7177960891755132E-6</v>
      </c>
      <c r="AA113" s="30">
        <f t="shared" si="17"/>
        <v>11.582284135247443</v>
      </c>
      <c r="AB113" s="30">
        <f t="shared" si="18"/>
        <v>9.9029034246965928</v>
      </c>
      <c r="AC113" s="30">
        <f t="shared" si="19"/>
        <v>8.4670255964820011</v>
      </c>
      <c r="AD113" s="30">
        <f t="shared" si="20"/>
        <v>4.5248500172924349</v>
      </c>
      <c r="AE113" s="30">
        <f t="shared" si="21"/>
        <v>1.7677227945637801</v>
      </c>
      <c r="AF113" s="32" t="str">
        <f t="shared" si="15"/>
        <v>3D6</v>
      </c>
      <c r="AG113" s="33" t="str">
        <f t="shared" si="22"/>
        <v>1+2</v>
      </c>
      <c r="AH113" s="33" t="str">
        <f t="shared" si="23"/>
        <v>2</v>
      </c>
      <c r="AI113" s="33" t="str">
        <f t="shared" si="24"/>
        <v>2+1</v>
      </c>
      <c r="AJ113" s="33" t="str">
        <f t="shared" si="25"/>
        <v>-</v>
      </c>
      <c r="AK113">
        <v>1975</v>
      </c>
    </row>
    <row r="114" spans="1:37">
      <c r="A114" t="s">
        <v>571</v>
      </c>
      <c r="B114" t="s">
        <v>303</v>
      </c>
      <c r="C114" t="s">
        <v>681</v>
      </c>
      <c r="D114" t="s">
        <v>681</v>
      </c>
      <c r="F114" t="s">
        <v>182</v>
      </c>
      <c r="G114" t="s">
        <v>79</v>
      </c>
      <c r="H114">
        <v>0.625</v>
      </c>
      <c r="I114">
        <v>4.5</v>
      </c>
      <c r="J114" s="9">
        <v>8</v>
      </c>
      <c r="K114" s="9">
        <v>16</v>
      </c>
      <c r="L114" s="9">
        <v>48</v>
      </c>
      <c r="M114" s="10">
        <v>96</v>
      </c>
      <c r="N114" s="10">
        <v>4</v>
      </c>
      <c r="O114" s="10"/>
      <c r="P114" s="18">
        <v>17</v>
      </c>
      <c r="Q114" s="22" t="s">
        <v>701</v>
      </c>
      <c r="R114">
        <v>1</v>
      </c>
      <c r="S114" s="26">
        <f>VLOOKUP($F114,Munition!$B:$P,10,FALSE)</f>
        <v>4.5</v>
      </c>
      <c r="T114" s="26">
        <f>VLOOKUP($F114,Munition!$B:$P,11,FALSE)</f>
        <v>450</v>
      </c>
      <c r="U114" s="28">
        <f t="shared" si="14"/>
        <v>450</v>
      </c>
      <c r="V114" s="26">
        <f>VLOOKUP($F114,Munition!$B:$P,5,FALSE)</f>
        <v>6.75</v>
      </c>
      <c r="W114" s="30">
        <f t="shared" si="16"/>
        <v>683.4375</v>
      </c>
      <c r="X114" s="26">
        <f>VLOOKUP($F114,Munition!$B:$P,15,FALSE)</f>
        <v>106.1032953945969</v>
      </c>
      <c r="Y114" s="26">
        <f>VLOOKUP($F114,Munition!$B:$P,9,FALSE)</f>
        <v>1</v>
      </c>
      <c r="Z114" s="26">
        <f>VLOOKUP($F114,Munition!$B:$P,14,FALSE)</f>
        <v>1.5586226552622361E-5</v>
      </c>
      <c r="AA114" s="30">
        <f t="shared" si="17"/>
        <v>2.1485917317405869</v>
      </c>
      <c r="AB114" s="30">
        <f t="shared" si="18"/>
        <v>2.0706601913097158</v>
      </c>
      <c r="AC114" s="30">
        <f t="shared" si="19"/>
        <v>1.9955553046838499</v>
      </c>
      <c r="AD114" s="30">
        <f t="shared" si="20"/>
        <v>1.7214067619556606</v>
      </c>
      <c r="AE114" s="30">
        <f t="shared" si="21"/>
        <v>1.3791550978864342</v>
      </c>
      <c r="AF114" s="32" t="str">
        <f t="shared" si="15"/>
        <v>2D6</v>
      </c>
      <c r="AG114" s="33" t="str">
        <f t="shared" si="22"/>
        <v>-</v>
      </c>
      <c r="AH114" s="33" t="str">
        <f t="shared" si="23"/>
        <v>-</v>
      </c>
      <c r="AI114" s="33" t="str">
        <f t="shared" si="24"/>
        <v>-</v>
      </c>
      <c r="AJ114" s="33" t="str">
        <f t="shared" si="25"/>
        <v>-</v>
      </c>
      <c r="AK114">
        <v>1982</v>
      </c>
    </row>
    <row r="115" spans="1:37">
      <c r="A115" t="s">
        <v>571</v>
      </c>
      <c r="B115" t="s">
        <v>304</v>
      </c>
      <c r="C115" t="s">
        <v>681</v>
      </c>
      <c r="D115" t="s">
        <v>681</v>
      </c>
      <c r="F115" t="s">
        <v>108</v>
      </c>
      <c r="G115" t="s">
        <v>103</v>
      </c>
      <c r="H115">
        <v>0.745</v>
      </c>
      <c r="I115">
        <v>4.5999999999999996</v>
      </c>
      <c r="J115" s="9">
        <v>8</v>
      </c>
      <c r="K115" s="9">
        <v>16</v>
      </c>
      <c r="L115" s="9">
        <v>48</v>
      </c>
      <c r="M115" s="10">
        <v>96</v>
      </c>
      <c r="N115" s="10">
        <v>3</v>
      </c>
      <c r="O115" s="10"/>
      <c r="P115" s="18">
        <v>13</v>
      </c>
      <c r="Q115" s="22" t="s">
        <v>701</v>
      </c>
      <c r="R115">
        <v>1</v>
      </c>
      <c r="S115" s="26">
        <f>VLOOKUP($F115,Munition!$B:$P,10,FALSE)</f>
        <v>5</v>
      </c>
      <c r="T115" s="26">
        <f>VLOOKUP($F115,Munition!$B:$P,11,FALSE)</f>
        <v>285</v>
      </c>
      <c r="U115" s="28">
        <f t="shared" si="14"/>
        <v>279.12055298063439</v>
      </c>
      <c r="V115" s="26">
        <f>VLOOKUP($F115,Munition!$B:$P,5,FALSE)</f>
        <v>14.84</v>
      </c>
      <c r="W115" s="30">
        <f t="shared" si="16"/>
        <v>578.07946057391621</v>
      </c>
      <c r="X115" s="26">
        <f>VLOOKUP($F115,Munition!$B:$P,15,FALSE)</f>
        <v>144.62772633198708</v>
      </c>
      <c r="Y115" s="26">
        <f>VLOOKUP($F115,Munition!$B:$P,9,FALSE)</f>
        <v>1</v>
      </c>
      <c r="Z115" s="26">
        <f>VLOOKUP($F115,Munition!$B:$P,14,FALSE)</f>
        <v>2.8281402907565187E-5</v>
      </c>
      <c r="AA115" s="30">
        <f t="shared" si="17"/>
        <v>1.1267697846634377</v>
      </c>
      <c r="AB115" s="30">
        <f t="shared" si="18"/>
        <v>1.0929307646727484</v>
      </c>
      <c r="AC115" s="30">
        <f t="shared" si="19"/>
        <v>1.0601079942207989</v>
      </c>
      <c r="AD115" s="30">
        <f t="shared" si="20"/>
        <v>0.93838259424106329</v>
      </c>
      <c r="AE115" s="30">
        <f t="shared" si="21"/>
        <v>0.78149228454649167</v>
      </c>
      <c r="AF115" s="32" t="str">
        <f t="shared" si="15"/>
        <v>2D6</v>
      </c>
      <c r="AG115" s="33" t="str">
        <f t="shared" si="22"/>
        <v>-</v>
      </c>
      <c r="AH115" s="33" t="str">
        <f t="shared" si="23"/>
        <v>-</v>
      </c>
      <c r="AI115" s="33" t="str">
        <f t="shared" si="24"/>
        <v>-</v>
      </c>
      <c r="AJ115" s="33" t="str">
        <f t="shared" si="25"/>
        <v>-</v>
      </c>
      <c r="AK115">
        <v>1990</v>
      </c>
    </row>
    <row r="116" spans="1:37">
      <c r="A116" t="s">
        <v>571</v>
      </c>
      <c r="B116" t="s">
        <v>305</v>
      </c>
      <c r="C116" t="s">
        <v>681</v>
      </c>
      <c r="D116" t="s">
        <v>681</v>
      </c>
      <c r="F116" t="s">
        <v>106</v>
      </c>
      <c r="G116" t="s">
        <v>208</v>
      </c>
      <c r="H116">
        <v>0.65</v>
      </c>
      <c r="I116">
        <v>4.5</v>
      </c>
      <c r="J116" s="9">
        <v>10</v>
      </c>
      <c r="K116" s="9">
        <v>20</v>
      </c>
      <c r="L116" s="9">
        <v>60</v>
      </c>
      <c r="M116" s="10">
        <v>120</v>
      </c>
      <c r="N116" s="10">
        <v>3</v>
      </c>
      <c r="O116" s="10"/>
      <c r="P116" s="18">
        <v>15</v>
      </c>
      <c r="Q116" s="22" t="s">
        <v>701</v>
      </c>
      <c r="R116">
        <v>1</v>
      </c>
      <c r="S116" s="26">
        <f>VLOOKUP($F116,Munition!$B:$P,10,FALSE)</f>
        <v>4.2</v>
      </c>
      <c r="T116" s="26">
        <f>VLOOKUP($F116,Munition!$B:$P,11,FALSE)</f>
        <v>340</v>
      </c>
      <c r="U116" s="28">
        <f t="shared" si="14"/>
        <v>345.91526128513641</v>
      </c>
      <c r="V116" s="26">
        <f>VLOOKUP($F116,Munition!$B:$P,5,FALSE)</f>
        <v>11.7</v>
      </c>
      <c r="W116" s="30">
        <f t="shared" si="16"/>
        <v>699.99560274129044</v>
      </c>
      <c r="X116" s="26">
        <f>VLOOKUP($F116,Munition!$B:$P,15,FALSE)</f>
        <v>148.96902673401402</v>
      </c>
      <c r="Y116" s="26">
        <f>VLOOKUP($F116,Munition!$B:$P,9,FALSE)</f>
        <v>1</v>
      </c>
      <c r="Z116" s="26">
        <f>VLOOKUP($F116,Munition!$B:$P,14,FALSE)</f>
        <v>1.9242255003237486E-5</v>
      </c>
      <c r="AA116" s="30">
        <f t="shared" si="17"/>
        <v>1.7825241651018728</v>
      </c>
      <c r="AB116" s="30">
        <f t="shared" si="18"/>
        <v>1.7248458539794023</v>
      </c>
      <c r="AC116" s="30">
        <f t="shared" si="19"/>
        <v>1.6690338780455769</v>
      </c>
      <c r="AD116" s="30">
        <f t="shared" si="20"/>
        <v>1.4632704553726592</v>
      </c>
      <c r="AE116" s="30">
        <f t="shared" si="21"/>
        <v>1.201195735511468</v>
      </c>
      <c r="AF116" s="32" t="str">
        <f t="shared" si="15"/>
        <v>2D6</v>
      </c>
      <c r="AG116" s="33" t="str">
        <f t="shared" si="22"/>
        <v>-</v>
      </c>
      <c r="AH116" s="33" t="str">
        <f t="shared" si="23"/>
        <v>-</v>
      </c>
      <c r="AI116" s="33" t="str">
        <f t="shared" si="24"/>
        <v>-</v>
      </c>
      <c r="AJ116" s="33" t="str">
        <f t="shared" si="25"/>
        <v>-</v>
      </c>
      <c r="AK116">
        <v>1990</v>
      </c>
    </row>
    <row r="117" spans="1:37">
      <c r="A117" t="s">
        <v>577</v>
      </c>
      <c r="B117" t="s">
        <v>306</v>
      </c>
      <c r="C117" t="s">
        <v>681</v>
      </c>
      <c r="D117" t="s">
        <v>681</v>
      </c>
      <c r="F117" t="s">
        <v>108</v>
      </c>
      <c r="G117" t="s">
        <v>103</v>
      </c>
      <c r="H117">
        <v>3.7</v>
      </c>
      <c r="I117">
        <v>8</v>
      </c>
      <c r="J117" s="9">
        <v>15</v>
      </c>
      <c r="K117" s="9">
        <v>30</v>
      </c>
      <c r="L117" s="9">
        <v>90</v>
      </c>
      <c r="M117" s="10">
        <v>180</v>
      </c>
      <c r="N117" s="10">
        <v>1</v>
      </c>
      <c r="O117" s="10">
        <v>3</v>
      </c>
      <c r="P117" s="19">
        <v>30</v>
      </c>
      <c r="Q117" s="22" t="s">
        <v>695</v>
      </c>
      <c r="R117">
        <v>10</v>
      </c>
      <c r="S117" s="26">
        <f>VLOOKUP($F117,Munition!$B:$P,10,FALSE)</f>
        <v>5</v>
      </c>
      <c r="T117" s="26">
        <f>VLOOKUP($F117,Munition!$B:$P,11,FALSE)</f>
        <v>285</v>
      </c>
      <c r="U117" s="28">
        <f t="shared" si="14"/>
        <v>320.53455535849895</v>
      </c>
      <c r="V117" s="26">
        <f>VLOOKUP($F117,Munition!$B:$P,5,FALSE)</f>
        <v>14.84</v>
      </c>
      <c r="W117" s="30">
        <f t="shared" si="16"/>
        <v>762.34861674722003</v>
      </c>
      <c r="X117" s="26">
        <f>VLOOKUP($F117,Munition!$B:$P,15,FALSE)</f>
        <v>144.62772633198708</v>
      </c>
      <c r="Y117" s="26">
        <f>VLOOKUP($F117,Munition!$B:$P,9,FALSE)</f>
        <v>1</v>
      </c>
      <c r="Z117" s="26">
        <f>VLOOKUP($F117,Munition!$B:$P,14,FALSE)</f>
        <v>2.8281402907565187E-5</v>
      </c>
      <c r="AA117" s="30">
        <f t="shared" si="17"/>
        <v>1.4859399880388926</v>
      </c>
      <c r="AB117" s="30">
        <f t="shared" si="18"/>
        <v>1.4033677914371627</v>
      </c>
      <c r="AC117" s="30">
        <f t="shared" si="19"/>
        <v>1.3253840490842701</v>
      </c>
      <c r="AD117" s="30">
        <f t="shared" si="20"/>
        <v>1.0544419569824481</v>
      </c>
      <c r="AE117" s="30">
        <f t="shared" si="21"/>
        <v>0.74824545378334217</v>
      </c>
      <c r="AF117" s="32" t="str">
        <f t="shared" si="15"/>
        <v>2D6</v>
      </c>
      <c r="AG117" s="33" t="str">
        <f t="shared" si="22"/>
        <v>-</v>
      </c>
      <c r="AH117" s="33" t="str">
        <f t="shared" si="23"/>
        <v>-</v>
      </c>
      <c r="AI117" s="33" t="str">
        <f t="shared" si="24"/>
        <v>-</v>
      </c>
      <c r="AJ117" s="33" t="str">
        <f t="shared" si="25"/>
        <v>-</v>
      </c>
      <c r="AK117">
        <v>1944</v>
      </c>
    </row>
    <row r="118" spans="1:37">
      <c r="A118" t="s">
        <v>571</v>
      </c>
      <c r="B118" t="s">
        <v>307</v>
      </c>
      <c r="C118" t="s">
        <v>681</v>
      </c>
      <c r="D118" t="s">
        <v>681</v>
      </c>
      <c r="F118" t="s">
        <v>182</v>
      </c>
      <c r="G118" t="s">
        <v>79</v>
      </c>
      <c r="H118">
        <v>0.92700000000000005</v>
      </c>
      <c r="I118">
        <v>4.7</v>
      </c>
      <c r="J118" s="9">
        <v>6</v>
      </c>
      <c r="K118" s="9">
        <v>12</v>
      </c>
      <c r="L118" s="9">
        <v>36</v>
      </c>
      <c r="M118" s="10">
        <v>72</v>
      </c>
      <c r="N118" s="10">
        <v>3</v>
      </c>
      <c r="O118" s="10"/>
      <c r="P118" s="18">
        <v>17</v>
      </c>
      <c r="Q118" s="22" t="s">
        <v>701</v>
      </c>
      <c r="R118">
        <v>1</v>
      </c>
      <c r="S118" s="26">
        <f>VLOOKUP($F118,Munition!$B:$P,10,FALSE)</f>
        <v>4.5</v>
      </c>
      <c r="T118" s="26">
        <f>VLOOKUP($F118,Munition!$B:$P,11,FALSE)</f>
        <v>450</v>
      </c>
      <c r="U118" s="28">
        <f t="shared" si="14"/>
        <v>454.91876327120707</v>
      </c>
      <c r="V118" s="26">
        <f>VLOOKUP($F118,Munition!$B:$P,5,FALSE)</f>
        <v>6.75</v>
      </c>
      <c r="W118" s="30">
        <f t="shared" si="16"/>
        <v>698.45989896969036</v>
      </c>
      <c r="X118" s="26">
        <f>VLOOKUP($F118,Munition!$B:$P,15,FALSE)</f>
        <v>106.1032953945969</v>
      </c>
      <c r="Y118" s="26">
        <f>VLOOKUP($F118,Munition!$B:$P,9,FALSE)</f>
        <v>1</v>
      </c>
      <c r="Z118" s="26">
        <f>VLOOKUP($F118,Munition!$B:$P,14,FALSE)</f>
        <v>1.5586226552622361E-5</v>
      </c>
      <c r="AA118" s="30">
        <f t="shared" si="17"/>
        <v>2.1958191698270029</v>
      </c>
      <c r="AB118" s="30">
        <f t="shared" si="18"/>
        <v>2.1358107730983487</v>
      </c>
      <c r="AC118" s="30">
        <f t="shared" si="19"/>
        <v>2.0774423145428482</v>
      </c>
      <c r="AD118" s="30">
        <f t="shared" si="20"/>
        <v>1.8594896935526091</v>
      </c>
      <c r="AE118" s="30">
        <f t="shared" si="21"/>
        <v>1.574675168129072</v>
      </c>
      <c r="AF118" s="32" t="str">
        <f t="shared" si="15"/>
        <v>2D6</v>
      </c>
      <c r="AG118" s="33" t="str">
        <f t="shared" si="22"/>
        <v>-</v>
      </c>
      <c r="AH118" s="33" t="str">
        <f t="shared" si="23"/>
        <v>-</v>
      </c>
      <c r="AI118" s="33" t="str">
        <f t="shared" si="24"/>
        <v>-</v>
      </c>
      <c r="AJ118" s="33" t="str">
        <f t="shared" si="25"/>
        <v>-</v>
      </c>
      <c r="AK118">
        <v>1935</v>
      </c>
    </row>
    <row r="119" spans="1:37">
      <c r="A119" t="s">
        <v>576</v>
      </c>
      <c r="B119" t="s">
        <v>308</v>
      </c>
      <c r="C119" t="s">
        <v>681</v>
      </c>
      <c r="D119" t="s">
        <v>681</v>
      </c>
      <c r="F119" t="s">
        <v>161</v>
      </c>
      <c r="G119" t="s">
        <v>162</v>
      </c>
      <c r="H119">
        <v>3.2</v>
      </c>
      <c r="I119">
        <v>20</v>
      </c>
      <c r="J119" s="9">
        <v>6</v>
      </c>
      <c r="K119" s="9">
        <v>12</v>
      </c>
      <c r="L119" s="9">
        <v>36</v>
      </c>
      <c r="M119" s="10">
        <v>72</v>
      </c>
      <c r="N119" s="10">
        <v>2</v>
      </c>
      <c r="O119" s="10"/>
      <c r="P119" s="18">
        <v>7</v>
      </c>
      <c r="Q119" s="22" t="s">
        <v>701</v>
      </c>
      <c r="R119">
        <v>1</v>
      </c>
      <c r="S119" s="26">
        <f>VLOOKUP($F119,Munition!$B:$P,10,FALSE)</f>
        <v>20</v>
      </c>
      <c r="T119" s="26">
        <f>VLOOKUP($F119,Munition!$B:$P,11,FALSE)</f>
        <v>380</v>
      </c>
      <c r="U119" s="28">
        <f t="shared" si="14"/>
        <v>380</v>
      </c>
      <c r="V119" s="26">
        <f>VLOOKUP($F119,Munition!$B:$P,5,FALSE)</f>
        <v>32</v>
      </c>
      <c r="W119" s="30">
        <f t="shared" si="16"/>
        <v>2310.4</v>
      </c>
      <c r="X119" s="26">
        <f>VLOOKUP($F119,Munition!$B:$P,15,FALSE)</f>
        <v>144.35822502666241</v>
      </c>
      <c r="Y119" s="26">
        <f>VLOOKUP($F119,Munition!$B:$P,9,FALSE)</f>
        <v>1</v>
      </c>
      <c r="Z119" s="26">
        <f>VLOOKUP($F119,Munition!$B:$P,14,FALSE)</f>
        <v>8.1464010781706207E-5</v>
      </c>
      <c r="AA119" s="30">
        <f t="shared" si="17"/>
        <v>2.0845327693850053</v>
      </c>
      <c r="AB119" s="30">
        <f t="shared" si="18"/>
        <v>2.0218152261027482</v>
      </c>
      <c r="AC119" s="30">
        <f t="shared" si="19"/>
        <v>1.9609846717386474</v>
      </c>
      <c r="AD119" s="30">
        <f t="shared" si="20"/>
        <v>1.7354221786932125</v>
      </c>
      <c r="AE119" s="30">
        <f t="shared" si="21"/>
        <v>1.4447794645074485</v>
      </c>
      <c r="AF119" s="32" t="str">
        <f t="shared" si="15"/>
        <v>4D6</v>
      </c>
      <c r="AG119" s="33" t="str">
        <f t="shared" si="22"/>
        <v>-</v>
      </c>
      <c r="AH119" s="33" t="str">
        <f t="shared" si="23"/>
        <v>-</v>
      </c>
      <c r="AI119" s="33" t="str">
        <f t="shared" si="24"/>
        <v>-</v>
      </c>
      <c r="AJ119" s="33" t="str">
        <f t="shared" si="25"/>
        <v>-</v>
      </c>
      <c r="AK119">
        <v>1985</v>
      </c>
    </row>
    <row r="120" spans="1:37">
      <c r="A120" t="s">
        <v>574</v>
      </c>
      <c r="B120" t="s">
        <v>309</v>
      </c>
      <c r="C120" t="s">
        <v>681</v>
      </c>
      <c r="D120" t="s">
        <v>681</v>
      </c>
      <c r="F120" t="s">
        <v>51</v>
      </c>
      <c r="G120" t="s">
        <v>52</v>
      </c>
      <c r="H120">
        <v>8.3000000000000007</v>
      </c>
      <c r="I120">
        <v>17.7</v>
      </c>
      <c r="J120" s="9">
        <v>100</v>
      </c>
      <c r="K120" s="9">
        <v>200</v>
      </c>
      <c r="L120" s="9">
        <v>600</v>
      </c>
      <c r="M120" s="10">
        <v>1200</v>
      </c>
      <c r="N120" s="10"/>
      <c r="O120" s="10">
        <v>8</v>
      </c>
      <c r="P120" s="18">
        <v>50</v>
      </c>
      <c r="Q120" s="22">
        <v>65</v>
      </c>
      <c r="R120">
        <v>10</v>
      </c>
      <c r="S120" s="26">
        <f>VLOOKUP($F120,Munition!$B:$P,10,FALSE)</f>
        <v>22</v>
      </c>
      <c r="T120" s="26">
        <f>VLOOKUP($F120,Munition!$B:$P,11,FALSE)</f>
        <v>832</v>
      </c>
      <c r="U120" s="28">
        <f t="shared" si="14"/>
        <v>787.97233973020764</v>
      </c>
      <c r="V120" s="26">
        <f>VLOOKUP($F120,Munition!$B:$P,5,FALSE)</f>
        <v>9.4499999999999993</v>
      </c>
      <c r="W120" s="30">
        <f t="shared" si="16"/>
        <v>2933.7544286500174</v>
      </c>
      <c r="X120" s="26">
        <f>VLOOKUP($F120,Munition!$B:$P,15,FALSE)</f>
        <v>207.22015034594844</v>
      </c>
      <c r="Y120" s="26">
        <f>VLOOKUP($F120,Munition!$B:$P,9,FALSE)</f>
        <v>1</v>
      </c>
      <c r="Z120" s="26">
        <f>VLOOKUP($F120,Munition!$B:$P,14,FALSE)</f>
        <v>6.9830624463123905E-6</v>
      </c>
      <c r="AA120" s="30">
        <f t="shared" si="17"/>
        <v>12.866307593289916</v>
      </c>
      <c r="AB120" s="30">
        <f t="shared" si="18"/>
        <v>11.098638007386924</v>
      </c>
      <c r="AC120" s="30">
        <f t="shared" si="19"/>
        <v>9.5738240925667544</v>
      </c>
      <c r="AD120" s="30">
        <f t="shared" si="20"/>
        <v>5.3008860813012708</v>
      </c>
      <c r="AE120" s="30">
        <f t="shared" si="21"/>
        <v>2.1839516149596827</v>
      </c>
      <c r="AF120" s="32" t="str">
        <f t="shared" si="15"/>
        <v>4D6+1</v>
      </c>
      <c r="AG120" s="33" t="str">
        <f t="shared" si="22"/>
        <v>2+1</v>
      </c>
      <c r="AH120" s="33" t="str">
        <f t="shared" si="23"/>
        <v>2+2</v>
      </c>
      <c r="AI120" s="33" t="str">
        <f t="shared" si="24"/>
        <v>3</v>
      </c>
      <c r="AJ120" s="33" t="str">
        <f t="shared" si="25"/>
        <v>-</v>
      </c>
      <c r="AK120">
        <v>1970</v>
      </c>
    </row>
    <row r="121" spans="1:37">
      <c r="A121" t="s">
        <v>574</v>
      </c>
      <c r="B121" t="s">
        <v>310</v>
      </c>
      <c r="C121" t="s">
        <v>681</v>
      </c>
      <c r="D121" t="s">
        <v>681</v>
      </c>
      <c r="F121" t="s">
        <v>10</v>
      </c>
      <c r="G121" t="s">
        <v>11</v>
      </c>
      <c r="H121">
        <v>7.3</v>
      </c>
      <c r="I121">
        <v>17.7</v>
      </c>
      <c r="J121" s="9">
        <v>66</v>
      </c>
      <c r="K121" s="9">
        <v>132</v>
      </c>
      <c r="L121" s="9">
        <v>396</v>
      </c>
      <c r="M121" s="10">
        <v>792</v>
      </c>
      <c r="N121" s="10">
        <v>1</v>
      </c>
      <c r="O121" s="10">
        <v>5</v>
      </c>
      <c r="P121" s="19">
        <v>100</v>
      </c>
      <c r="Q121" s="22" t="s">
        <v>737</v>
      </c>
      <c r="R121">
        <v>10</v>
      </c>
      <c r="S121" s="26">
        <f>VLOOKUP($F121,Munition!$B:$P,10,FALSE)</f>
        <v>20</v>
      </c>
      <c r="T121" s="26">
        <f>VLOOKUP($F121,Munition!$B:$P,11,FALSE)</f>
        <v>878</v>
      </c>
      <c r="U121" s="28">
        <f t="shared" si="14"/>
        <v>851.58956977117407</v>
      </c>
      <c r="V121" s="26">
        <f>VLOOKUP($F121,Munition!$B:$P,5,FALSE)</f>
        <v>3.56</v>
      </c>
      <c r="W121" s="30">
        <f t="shared" si="16"/>
        <v>1290.864535710635</v>
      </c>
      <c r="X121" s="26">
        <f>VLOOKUP($F121,Munition!$B:$P,15,FALSE)</f>
        <v>146.62584685242678</v>
      </c>
      <c r="Y121" s="26">
        <f>VLOOKUP($F121,Munition!$B:$P,9,FALSE)</f>
        <v>1</v>
      </c>
      <c r="Z121" s="26">
        <f>VLOOKUP($F121,Munition!$B:$P,14,FALSE)</f>
        <v>3.7177960891755132E-6</v>
      </c>
      <c r="AA121" s="30">
        <f t="shared" si="17"/>
        <v>10.633376725861604</v>
      </c>
      <c r="AB121" s="30">
        <f t="shared" si="18"/>
        <v>9.2641020422055664</v>
      </c>
      <c r="AC121" s="30">
        <f t="shared" si="19"/>
        <v>8.0711507605730191</v>
      </c>
      <c r="AD121" s="30">
        <f t="shared" si="20"/>
        <v>4.6501180415156993</v>
      </c>
      <c r="AE121" s="30">
        <f t="shared" si="21"/>
        <v>2.0335588926741126</v>
      </c>
      <c r="AF121" s="32" t="str">
        <f t="shared" si="15"/>
        <v>2D6+2</v>
      </c>
      <c r="AG121" s="33" t="str">
        <f t="shared" si="22"/>
        <v>1+2</v>
      </c>
      <c r="AH121" s="33" t="str">
        <f t="shared" si="23"/>
        <v>2</v>
      </c>
      <c r="AI121" s="33" t="str">
        <f t="shared" si="24"/>
        <v>2+1</v>
      </c>
      <c r="AJ121" s="33" t="str">
        <f t="shared" si="25"/>
        <v>-</v>
      </c>
      <c r="AK121">
        <v>1974</v>
      </c>
    </row>
    <row r="122" spans="1:37">
      <c r="A122" t="s">
        <v>575</v>
      </c>
      <c r="B122" t="s">
        <v>311</v>
      </c>
      <c r="C122" t="s">
        <v>681</v>
      </c>
      <c r="D122" t="s">
        <v>681</v>
      </c>
      <c r="F122" t="s">
        <v>10</v>
      </c>
      <c r="G122" t="s">
        <v>11</v>
      </c>
      <c r="H122">
        <v>3.6509999999999998</v>
      </c>
      <c r="I122">
        <v>15.4</v>
      </c>
      <c r="J122" s="9">
        <v>50</v>
      </c>
      <c r="K122" s="9">
        <v>100</v>
      </c>
      <c r="L122" s="9">
        <v>300</v>
      </c>
      <c r="M122" s="10">
        <v>600</v>
      </c>
      <c r="N122" s="10">
        <v>2</v>
      </c>
      <c r="O122" s="10">
        <v>3</v>
      </c>
      <c r="P122" s="19">
        <v>30</v>
      </c>
      <c r="Q122" s="22" t="s">
        <v>723</v>
      </c>
      <c r="R122">
        <v>10</v>
      </c>
      <c r="S122" s="26">
        <f>VLOOKUP($F122,Munition!$B:$P,10,FALSE)</f>
        <v>20</v>
      </c>
      <c r="T122" s="26">
        <f>VLOOKUP($F122,Munition!$B:$P,11,FALSE)</f>
        <v>878</v>
      </c>
      <c r="U122" s="28">
        <f t="shared" si="14"/>
        <v>822.46456743195859</v>
      </c>
      <c r="V122" s="26">
        <f>VLOOKUP($F122,Munition!$B:$P,5,FALSE)</f>
        <v>3.56</v>
      </c>
      <c r="W122" s="30">
        <f t="shared" si="16"/>
        <v>1204.077377132249</v>
      </c>
      <c r="X122" s="26">
        <f>VLOOKUP($F122,Munition!$B:$P,15,FALSE)</f>
        <v>146.62584685242678</v>
      </c>
      <c r="Y122" s="26">
        <f>VLOOKUP($F122,Munition!$B:$P,9,FALSE)</f>
        <v>1</v>
      </c>
      <c r="Z122" s="26">
        <f>VLOOKUP($F122,Munition!$B:$P,14,FALSE)</f>
        <v>3.7177960891755132E-6</v>
      </c>
      <c r="AA122" s="30">
        <f t="shared" si="17"/>
        <v>9.9184755672957774</v>
      </c>
      <c r="AB122" s="30">
        <f t="shared" si="18"/>
        <v>8.9349161347846913</v>
      </c>
      <c r="AC122" s="30">
        <f t="shared" si="19"/>
        <v>8.0488907588650545</v>
      </c>
      <c r="AD122" s="30">
        <f t="shared" si="20"/>
        <v>5.3005171451046644</v>
      </c>
      <c r="AE122" s="30">
        <f t="shared" si="21"/>
        <v>2.8326411468096793</v>
      </c>
      <c r="AF122" s="32" t="str">
        <f t="shared" si="15"/>
        <v>2D6+2</v>
      </c>
      <c r="AG122" s="33" t="str">
        <f t="shared" si="22"/>
        <v>2</v>
      </c>
      <c r="AH122" s="33" t="str">
        <f t="shared" si="23"/>
        <v>2</v>
      </c>
      <c r="AI122" s="33" t="str">
        <f t="shared" si="24"/>
        <v>2+1</v>
      </c>
      <c r="AJ122" s="33" t="str">
        <f t="shared" si="25"/>
        <v>-</v>
      </c>
      <c r="AK122">
        <v>1968</v>
      </c>
    </row>
    <row r="123" spans="1:37">
      <c r="A123" t="s">
        <v>575</v>
      </c>
      <c r="B123" t="s">
        <v>312</v>
      </c>
      <c r="C123" t="s">
        <v>681</v>
      </c>
      <c r="D123" t="s">
        <v>681</v>
      </c>
      <c r="F123" t="s">
        <v>10</v>
      </c>
      <c r="G123" t="s">
        <v>11</v>
      </c>
      <c r="H123">
        <v>3.9689999999999999</v>
      </c>
      <c r="I123">
        <v>15.4</v>
      </c>
      <c r="J123" s="9">
        <v>50</v>
      </c>
      <c r="K123" s="9">
        <v>100</v>
      </c>
      <c r="L123" s="9">
        <v>300</v>
      </c>
      <c r="M123" s="10">
        <v>600</v>
      </c>
      <c r="N123" s="10">
        <v>2</v>
      </c>
      <c r="O123" s="10">
        <v>3</v>
      </c>
      <c r="P123" s="19">
        <v>30</v>
      </c>
      <c r="Q123" s="22" t="s">
        <v>723</v>
      </c>
      <c r="R123">
        <v>10</v>
      </c>
      <c r="S123" s="26">
        <f>VLOOKUP($F123,Munition!$B:$P,10,FALSE)</f>
        <v>20</v>
      </c>
      <c r="T123" s="26">
        <f>VLOOKUP($F123,Munition!$B:$P,11,FALSE)</f>
        <v>878</v>
      </c>
      <c r="U123" s="28">
        <f t="shared" si="14"/>
        <v>822.46456743195859</v>
      </c>
      <c r="V123" s="26">
        <f>VLOOKUP($F123,Munition!$B:$P,5,FALSE)</f>
        <v>3.56</v>
      </c>
      <c r="W123" s="30">
        <f t="shared" si="16"/>
        <v>1204.077377132249</v>
      </c>
      <c r="X123" s="26">
        <f>VLOOKUP($F123,Munition!$B:$P,15,FALSE)</f>
        <v>146.62584685242678</v>
      </c>
      <c r="Y123" s="26">
        <f>VLOOKUP($F123,Munition!$B:$P,9,FALSE)</f>
        <v>1</v>
      </c>
      <c r="Z123" s="26">
        <f>VLOOKUP($F123,Munition!$B:$P,14,FALSE)</f>
        <v>3.7177960891755132E-6</v>
      </c>
      <c r="AA123" s="30">
        <f t="shared" si="17"/>
        <v>9.9184755672957774</v>
      </c>
      <c r="AB123" s="30">
        <f t="shared" si="18"/>
        <v>8.9349161347846913</v>
      </c>
      <c r="AC123" s="30">
        <f t="shared" si="19"/>
        <v>8.0488907588650545</v>
      </c>
      <c r="AD123" s="30">
        <f t="shared" si="20"/>
        <v>5.3005171451046644</v>
      </c>
      <c r="AE123" s="30">
        <f t="shared" si="21"/>
        <v>2.8326411468096793</v>
      </c>
      <c r="AF123" s="32" t="str">
        <f t="shared" si="15"/>
        <v>2D6+2</v>
      </c>
      <c r="AG123" s="33" t="str">
        <f t="shared" si="22"/>
        <v>2</v>
      </c>
      <c r="AH123" s="33" t="str">
        <f t="shared" si="23"/>
        <v>2</v>
      </c>
      <c r="AI123" s="33" t="str">
        <f t="shared" si="24"/>
        <v>2+1</v>
      </c>
      <c r="AJ123" s="33" t="str">
        <f t="shared" si="25"/>
        <v>-</v>
      </c>
      <c r="AK123">
        <v>1968</v>
      </c>
    </row>
    <row r="124" spans="1:37">
      <c r="A124" t="s">
        <v>575</v>
      </c>
      <c r="B124" t="s">
        <v>313</v>
      </c>
      <c r="C124" t="s">
        <v>681</v>
      </c>
      <c r="D124" t="s">
        <v>681</v>
      </c>
      <c r="F124" t="s">
        <v>10</v>
      </c>
      <c r="G124" t="s">
        <v>11</v>
      </c>
      <c r="H124">
        <v>3.9689999999999999</v>
      </c>
      <c r="I124">
        <v>12.7</v>
      </c>
      <c r="J124" s="9">
        <v>50</v>
      </c>
      <c r="K124" s="9">
        <v>100</v>
      </c>
      <c r="L124" s="9">
        <v>300</v>
      </c>
      <c r="M124" s="10">
        <v>600</v>
      </c>
      <c r="N124" s="10">
        <v>2</v>
      </c>
      <c r="O124" s="10">
        <v>5</v>
      </c>
      <c r="P124" s="19">
        <v>30</v>
      </c>
      <c r="Q124" s="22" t="s">
        <v>734</v>
      </c>
      <c r="R124">
        <v>5</v>
      </c>
      <c r="S124" s="26">
        <f>VLOOKUP($F124,Munition!$B:$P,10,FALSE)</f>
        <v>20</v>
      </c>
      <c r="T124" s="26">
        <f>VLOOKUP($F124,Munition!$B:$P,11,FALSE)</f>
        <v>878</v>
      </c>
      <c r="U124" s="28">
        <f t="shared" si="14"/>
        <v>783.76875666737169</v>
      </c>
      <c r="V124" s="26">
        <f>VLOOKUP($F124,Munition!$B:$P,5,FALSE)</f>
        <v>3.56</v>
      </c>
      <c r="W124" s="30">
        <f t="shared" si="16"/>
        <v>1093.4423657916934</v>
      </c>
      <c r="X124" s="26">
        <f>VLOOKUP($F124,Munition!$B:$P,15,FALSE)</f>
        <v>146.62584685242678</v>
      </c>
      <c r="Y124" s="26">
        <f>VLOOKUP($F124,Munition!$B:$P,9,FALSE)</f>
        <v>1</v>
      </c>
      <c r="Z124" s="26">
        <f>VLOOKUP($F124,Munition!$B:$P,14,FALSE)</f>
        <v>3.7177960891755132E-6</v>
      </c>
      <c r="AA124" s="30">
        <f t="shared" si="17"/>
        <v>9.0071299364341595</v>
      </c>
      <c r="AB124" s="30">
        <f t="shared" si="18"/>
        <v>8.1139435239935445</v>
      </c>
      <c r="AC124" s="30">
        <f t="shared" si="19"/>
        <v>7.309329384074668</v>
      </c>
      <c r="AD124" s="30">
        <f t="shared" si="20"/>
        <v>4.8134863399448271</v>
      </c>
      <c r="AE124" s="30">
        <f t="shared" si="21"/>
        <v>2.5723677695725686</v>
      </c>
      <c r="AF124" s="32" t="str">
        <f t="shared" si="15"/>
        <v>2D6+2</v>
      </c>
      <c r="AG124" s="33" t="str">
        <f t="shared" si="22"/>
        <v>2</v>
      </c>
      <c r="AH124" s="33" t="str">
        <f t="shared" si="23"/>
        <v>2+1</v>
      </c>
      <c r="AI124" s="33" t="str">
        <f t="shared" si="24"/>
        <v>2+1</v>
      </c>
      <c r="AJ124" s="33" t="str">
        <f t="shared" si="25"/>
        <v>-</v>
      </c>
      <c r="AK124">
        <v>1968</v>
      </c>
    </row>
    <row r="125" spans="1:37">
      <c r="A125" t="s">
        <v>572</v>
      </c>
      <c r="B125" t="s">
        <v>314</v>
      </c>
      <c r="C125" t="s">
        <v>681</v>
      </c>
      <c r="D125" t="s">
        <v>681</v>
      </c>
      <c r="F125" t="s">
        <v>10</v>
      </c>
      <c r="G125" t="s">
        <v>11</v>
      </c>
      <c r="H125">
        <v>4.4450000000000003</v>
      </c>
      <c r="I125">
        <v>17.7</v>
      </c>
      <c r="J125" s="9">
        <v>58</v>
      </c>
      <c r="K125" s="9">
        <v>116</v>
      </c>
      <c r="L125" s="9">
        <v>348</v>
      </c>
      <c r="M125" s="10">
        <v>696</v>
      </c>
      <c r="N125" s="10">
        <v>1</v>
      </c>
      <c r="O125" s="10"/>
      <c r="P125" s="18">
        <v>30</v>
      </c>
      <c r="Q125" s="22" t="s">
        <v>701</v>
      </c>
      <c r="R125">
        <v>1</v>
      </c>
      <c r="S125" s="26">
        <f>VLOOKUP($F125,Munition!$B:$P,10,FALSE)</f>
        <v>20</v>
      </c>
      <c r="T125" s="26">
        <f>VLOOKUP($F125,Munition!$B:$P,11,FALSE)</f>
        <v>878</v>
      </c>
      <c r="U125" s="28">
        <f t="shared" si="14"/>
        <v>851.58956977117407</v>
      </c>
      <c r="V125" s="26">
        <f>VLOOKUP($F125,Munition!$B:$P,5,FALSE)</f>
        <v>3.56</v>
      </c>
      <c r="W125" s="30">
        <f t="shared" si="16"/>
        <v>1290.864535710635</v>
      </c>
      <c r="X125" s="26">
        <f>VLOOKUP($F125,Munition!$B:$P,15,FALSE)</f>
        <v>146.62584685242678</v>
      </c>
      <c r="Y125" s="26">
        <f>VLOOKUP($F125,Munition!$B:$P,9,FALSE)</f>
        <v>1</v>
      </c>
      <c r="Z125" s="26">
        <f>VLOOKUP($F125,Munition!$B:$P,14,FALSE)</f>
        <v>3.7177960891755132E-6</v>
      </c>
      <c r="AA125" s="30">
        <f t="shared" si="17"/>
        <v>10.633376725861604</v>
      </c>
      <c r="AB125" s="30">
        <f t="shared" si="18"/>
        <v>9.4201982272085036</v>
      </c>
      <c r="AC125" s="30">
        <f t="shared" si="19"/>
        <v>8.3454331514537579</v>
      </c>
      <c r="AD125" s="30">
        <f t="shared" si="20"/>
        <v>5.1404867837249846</v>
      </c>
      <c r="AE125" s="30">
        <f t="shared" si="21"/>
        <v>2.4850623705810722</v>
      </c>
      <c r="AF125" s="32" t="str">
        <f t="shared" si="15"/>
        <v>2D6+2</v>
      </c>
      <c r="AG125" s="33" t="str">
        <f t="shared" si="22"/>
        <v>1+2</v>
      </c>
      <c r="AH125" s="33" t="str">
        <f t="shared" si="23"/>
        <v>2</v>
      </c>
      <c r="AI125" s="33" t="str">
        <f t="shared" si="24"/>
        <v>2+1</v>
      </c>
      <c r="AJ125" s="33" t="str">
        <f t="shared" si="25"/>
        <v>-</v>
      </c>
      <c r="AK125">
        <v>1970</v>
      </c>
    </row>
    <row r="126" spans="1:37">
      <c r="A126" t="s">
        <v>575</v>
      </c>
      <c r="B126" t="s">
        <v>315</v>
      </c>
      <c r="C126" t="s">
        <v>681</v>
      </c>
      <c r="D126" t="s">
        <v>681</v>
      </c>
      <c r="F126" t="s">
        <v>10</v>
      </c>
      <c r="G126" t="s">
        <v>11</v>
      </c>
      <c r="H126">
        <v>3.5</v>
      </c>
      <c r="I126">
        <v>14.5</v>
      </c>
      <c r="J126" s="9">
        <v>41</v>
      </c>
      <c r="K126" s="9">
        <v>82</v>
      </c>
      <c r="L126" s="9">
        <v>246</v>
      </c>
      <c r="M126" s="10">
        <v>492</v>
      </c>
      <c r="N126" s="10">
        <v>2</v>
      </c>
      <c r="O126" s="10">
        <v>3</v>
      </c>
      <c r="P126" s="19">
        <v>30</v>
      </c>
      <c r="Q126" s="22" t="s">
        <v>719</v>
      </c>
      <c r="R126">
        <v>3</v>
      </c>
      <c r="S126" s="26">
        <f>VLOOKUP($F126,Munition!$B:$P,10,FALSE)</f>
        <v>20</v>
      </c>
      <c r="T126" s="26">
        <f>VLOOKUP($F126,Munition!$B:$P,11,FALSE)</f>
        <v>878</v>
      </c>
      <c r="U126" s="28">
        <f t="shared" si="14"/>
        <v>810.17533532287962</v>
      </c>
      <c r="V126" s="26">
        <f>VLOOKUP($F126,Munition!$B:$P,5,FALSE)</f>
        <v>3.56</v>
      </c>
      <c r="W126" s="30">
        <f t="shared" si="16"/>
        <v>1168.3636516586619</v>
      </c>
      <c r="X126" s="26">
        <f>VLOOKUP($F126,Munition!$B:$P,15,FALSE)</f>
        <v>146.62584685242678</v>
      </c>
      <c r="Y126" s="26">
        <f>VLOOKUP($F126,Munition!$B:$P,9,FALSE)</f>
        <v>1</v>
      </c>
      <c r="Z126" s="26">
        <f>VLOOKUP($F126,Munition!$B:$P,14,FALSE)</f>
        <v>3.7177960891755132E-6</v>
      </c>
      <c r="AA126" s="30">
        <f t="shared" si="17"/>
        <v>9.6242870705643284</v>
      </c>
      <c r="AB126" s="30">
        <f t="shared" si="18"/>
        <v>8.8344175457422907</v>
      </c>
      <c r="AC126" s="30">
        <f t="shared" si="19"/>
        <v>8.1093729644893973</v>
      </c>
      <c r="AD126" s="30">
        <f t="shared" si="20"/>
        <v>5.7573772514376067</v>
      </c>
      <c r="AE126" s="30">
        <f t="shared" si="21"/>
        <v>3.4441400773208266</v>
      </c>
      <c r="AF126" s="32" t="str">
        <f t="shared" si="15"/>
        <v>2D6+2</v>
      </c>
      <c r="AG126" s="33" t="str">
        <f t="shared" si="22"/>
        <v>2</v>
      </c>
      <c r="AH126" s="33" t="str">
        <f t="shared" si="23"/>
        <v>2</v>
      </c>
      <c r="AI126" s="33" t="str">
        <f t="shared" si="24"/>
        <v>2+1</v>
      </c>
      <c r="AJ126" s="33" t="str">
        <f t="shared" si="25"/>
        <v>-</v>
      </c>
      <c r="AK126">
        <v>2004</v>
      </c>
    </row>
    <row r="127" spans="1:37">
      <c r="A127" t="s">
        <v>575</v>
      </c>
      <c r="B127" t="s">
        <v>316</v>
      </c>
      <c r="C127" t="s">
        <v>681</v>
      </c>
      <c r="D127" t="s">
        <v>681</v>
      </c>
      <c r="F127" t="s">
        <v>51</v>
      </c>
      <c r="G127" t="s">
        <v>317</v>
      </c>
      <c r="H127">
        <v>4.2300000000000004</v>
      </c>
      <c r="I127">
        <v>20</v>
      </c>
      <c r="J127" s="9">
        <v>75</v>
      </c>
      <c r="K127" s="9">
        <v>150</v>
      </c>
      <c r="L127" s="9">
        <v>450</v>
      </c>
      <c r="M127" s="10">
        <v>900</v>
      </c>
      <c r="N127" s="10">
        <v>2</v>
      </c>
      <c r="O127" s="10">
        <v>3</v>
      </c>
      <c r="P127" s="19">
        <v>20</v>
      </c>
      <c r="Q127" s="22" t="s">
        <v>719</v>
      </c>
      <c r="R127">
        <v>3</v>
      </c>
      <c r="S127" s="26">
        <f>VLOOKUP($F127,Munition!$B:$P,10,FALSE)</f>
        <v>22</v>
      </c>
      <c r="T127" s="26">
        <f>VLOOKUP($F127,Munition!$B:$P,11,FALSE)</f>
        <v>832</v>
      </c>
      <c r="U127" s="28">
        <f t="shared" si="14"/>
        <v>812.40980261069035</v>
      </c>
      <c r="V127" s="26">
        <f>VLOOKUP($F127,Munition!$B:$P,5,FALSE)</f>
        <v>9.4499999999999993</v>
      </c>
      <c r="W127" s="30">
        <f t="shared" si="16"/>
        <v>3118.5457728607707</v>
      </c>
      <c r="X127" s="26">
        <f>VLOOKUP($F127,Munition!$B:$P,15,FALSE)</f>
        <v>207.22015034594844</v>
      </c>
      <c r="Y127" s="26">
        <f>VLOOKUP($F127,Munition!$B:$P,9,FALSE)</f>
        <v>1</v>
      </c>
      <c r="Z127" s="26">
        <f>VLOOKUP($F127,Munition!$B:$P,14,FALSE)</f>
        <v>6.9830624463123905E-6</v>
      </c>
      <c r="AA127" s="30">
        <f t="shared" si="17"/>
        <v>13.676730664823932</v>
      </c>
      <c r="AB127" s="30">
        <f t="shared" si="18"/>
        <v>12.241767081781697</v>
      </c>
      <c r="AC127" s="30">
        <f t="shared" si="19"/>
        <v>10.957359982969527</v>
      </c>
      <c r="AD127" s="30">
        <f t="shared" si="20"/>
        <v>7.03320377358986</v>
      </c>
      <c r="AE127" s="30">
        <f t="shared" si="21"/>
        <v>3.6167967720577652</v>
      </c>
      <c r="AF127" s="32" t="str">
        <f t="shared" si="15"/>
        <v>4D6+1</v>
      </c>
      <c r="AG127" s="33" t="str">
        <f t="shared" si="22"/>
        <v>2+1</v>
      </c>
      <c r="AH127" s="33" t="str">
        <f t="shared" si="23"/>
        <v>2+1</v>
      </c>
      <c r="AI127" s="33" t="str">
        <f t="shared" si="24"/>
        <v>2+2</v>
      </c>
      <c r="AJ127" s="33" t="str">
        <f t="shared" si="25"/>
        <v>4+1</v>
      </c>
      <c r="AK127">
        <v>2006</v>
      </c>
    </row>
    <row r="128" spans="1:37">
      <c r="A128" t="s">
        <v>575</v>
      </c>
      <c r="B128" t="s">
        <v>318</v>
      </c>
      <c r="C128" t="s">
        <v>681</v>
      </c>
      <c r="D128" t="s">
        <v>681</v>
      </c>
      <c r="F128" t="s">
        <v>10</v>
      </c>
      <c r="G128" t="s">
        <v>11</v>
      </c>
      <c r="H128">
        <v>3.048</v>
      </c>
      <c r="I128">
        <v>8.3000000000000007</v>
      </c>
      <c r="J128" s="9">
        <v>50</v>
      </c>
      <c r="K128" s="9">
        <v>100</v>
      </c>
      <c r="L128" s="9">
        <v>300</v>
      </c>
      <c r="M128" s="10">
        <v>600</v>
      </c>
      <c r="N128" s="10">
        <v>2</v>
      </c>
      <c r="O128" s="10">
        <v>3</v>
      </c>
      <c r="P128" s="19">
        <v>25</v>
      </c>
      <c r="Q128" s="22" t="s">
        <v>729</v>
      </c>
      <c r="R128">
        <v>5</v>
      </c>
      <c r="S128" s="26">
        <f>VLOOKUP($F128,Munition!$B:$P,10,FALSE)</f>
        <v>20</v>
      </c>
      <c r="T128" s="26">
        <f>VLOOKUP($F128,Munition!$B:$P,11,FALSE)</f>
        <v>878</v>
      </c>
      <c r="U128" s="28">
        <f t="shared" si="14"/>
        <v>704.70368109059746</v>
      </c>
      <c r="V128" s="26">
        <f>VLOOKUP($F128,Munition!$B:$P,5,FALSE)</f>
        <v>3.56</v>
      </c>
      <c r="W128" s="30">
        <f t="shared" si="16"/>
        <v>883.96095509389659</v>
      </c>
      <c r="X128" s="26">
        <f>VLOOKUP($F128,Munition!$B:$P,15,FALSE)</f>
        <v>146.62584685242678</v>
      </c>
      <c r="Y128" s="26">
        <f>VLOOKUP($F128,Munition!$B:$P,9,FALSE)</f>
        <v>1</v>
      </c>
      <c r="Z128" s="26">
        <f>VLOOKUP($F128,Munition!$B:$P,14,FALSE)</f>
        <v>3.7177960891755132E-6</v>
      </c>
      <c r="AA128" s="30">
        <f t="shared" si="17"/>
        <v>7.2815462710743013</v>
      </c>
      <c r="AB128" s="30">
        <f t="shared" si="18"/>
        <v>6.5594762846546351</v>
      </c>
      <c r="AC128" s="30">
        <f t="shared" si="19"/>
        <v>5.9090099172848509</v>
      </c>
      <c r="AD128" s="30">
        <f t="shared" si="20"/>
        <v>3.8913198495910866</v>
      </c>
      <c r="AE128" s="30">
        <f t="shared" si="21"/>
        <v>2.0795542056738898</v>
      </c>
      <c r="AF128" s="32" t="str">
        <f t="shared" si="15"/>
        <v>2D6+1</v>
      </c>
      <c r="AG128" s="33" t="str">
        <f t="shared" si="22"/>
        <v>2+1</v>
      </c>
      <c r="AH128" s="33" t="str">
        <f t="shared" si="23"/>
        <v>-</v>
      </c>
      <c r="AI128" s="33" t="str">
        <f t="shared" si="24"/>
        <v>-</v>
      </c>
      <c r="AJ128" s="33" t="str">
        <f t="shared" si="25"/>
        <v>-</v>
      </c>
      <c r="AK128">
        <v>1975</v>
      </c>
    </row>
    <row r="129" spans="1:37">
      <c r="A129" t="s">
        <v>572</v>
      </c>
      <c r="B129" t="s">
        <v>319</v>
      </c>
      <c r="C129" t="s">
        <v>681</v>
      </c>
      <c r="D129" t="s">
        <v>681</v>
      </c>
      <c r="F129" t="s">
        <v>182</v>
      </c>
      <c r="G129" t="s">
        <v>79</v>
      </c>
      <c r="H129">
        <v>3.2570000000000001</v>
      </c>
      <c r="I129">
        <v>17.7</v>
      </c>
      <c r="J129" s="9">
        <v>20</v>
      </c>
      <c r="K129" s="9">
        <v>40</v>
      </c>
      <c r="L129" s="9">
        <v>120</v>
      </c>
      <c r="M129" s="10">
        <v>240</v>
      </c>
      <c r="N129" s="10">
        <v>1</v>
      </c>
      <c r="O129" s="10"/>
      <c r="P129" s="18">
        <v>30</v>
      </c>
      <c r="Q129" s="22" t="s">
        <v>704</v>
      </c>
      <c r="R129">
        <v>1</v>
      </c>
      <c r="S129" s="26">
        <f>VLOOKUP($F129,Munition!$B:$P,10,FALSE)</f>
        <v>4.5</v>
      </c>
      <c r="T129" s="26">
        <f>VLOOKUP($F129,Munition!$B:$P,11,FALSE)</f>
        <v>450</v>
      </c>
      <c r="U129" s="28">
        <f t="shared" si="14"/>
        <v>633.72771682906125</v>
      </c>
      <c r="V129" s="26">
        <f>VLOOKUP($F129,Munition!$B:$P,5,FALSE)</f>
        <v>6.75</v>
      </c>
      <c r="W129" s="30">
        <f t="shared" si="16"/>
        <v>1355.4365143861401</v>
      </c>
      <c r="X129" s="26">
        <f>VLOOKUP($F129,Munition!$B:$P,15,FALSE)</f>
        <v>106.1032953945969</v>
      </c>
      <c r="Y129" s="26">
        <f>VLOOKUP($F129,Munition!$B:$P,9,FALSE)</f>
        <v>1</v>
      </c>
      <c r="Z129" s="26">
        <f>VLOOKUP($F129,Munition!$B:$P,14,FALSE)</f>
        <v>1.5586226552622361E-5</v>
      </c>
      <c r="AA129" s="30">
        <f t="shared" si="17"/>
        <v>4.2612231370232703</v>
      </c>
      <c r="AB129" s="30">
        <f t="shared" si="18"/>
        <v>3.8852736402938648</v>
      </c>
      <c r="AC129" s="30">
        <f t="shared" si="19"/>
        <v>3.542492560130841</v>
      </c>
      <c r="AD129" s="30">
        <f t="shared" si="20"/>
        <v>2.4482642310448188</v>
      </c>
      <c r="AE129" s="30">
        <f t="shared" si="21"/>
        <v>1.4066378483997104</v>
      </c>
      <c r="AF129" s="32" t="str">
        <f t="shared" si="15"/>
        <v>3D6</v>
      </c>
      <c r="AG129" s="33" t="str">
        <f t="shared" si="22"/>
        <v>-</v>
      </c>
      <c r="AH129" s="33" t="str">
        <f t="shared" si="23"/>
        <v>-</v>
      </c>
      <c r="AI129" s="33" t="str">
        <f t="shared" si="24"/>
        <v>-</v>
      </c>
      <c r="AJ129" s="33" t="str">
        <f t="shared" si="25"/>
        <v>-</v>
      </c>
      <c r="AK129">
        <v>1985</v>
      </c>
    </row>
    <row r="130" spans="1:37">
      <c r="A130" t="s">
        <v>573</v>
      </c>
      <c r="B130" t="s">
        <v>320</v>
      </c>
      <c r="C130" t="s">
        <v>681</v>
      </c>
      <c r="D130" t="s">
        <v>681</v>
      </c>
      <c r="F130" t="s">
        <v>158</v>
      </c>
      <c r="G130" t="s">
        <v>155</v>
      </c>
      <c r="H130">
        <v>3.7</v>
      </c>
      <c r="I130">
        <v>18</v>
      </c>
      <c r="J130" s="9">
        <v>20</v>
      </c>
      <c r="K130" s="9">
        <v>40</v>
      </c>
      <c r="L130" s="9">
        <v>120</v>
      </c>
      <c r="M130" s="10">
        <v>240</v>
      </c>
      <c r="N130" s="10">
        <v>2</v>
      </c>
      <c r="O130" s="10">
        <v>10</v>
      </c>
      <c r="P130" s="19">
        <v>10</v>
      </c>
      <c r="Q130" s="22" t="s">
        <v>738</v>
      </c>
      <c r="R130">
        <v>3</v>
      </c>
      <c r="S130" s="26">
        <f>VLOOKUP($F130,Munition!$B:$P,10,FALSE)</f>
        <v>20</v>
      </c>
      <c r="T130" s="26">
        <f>VLOOKUP($F130,Munition!$B:$P,11,FALSE)</f>
        <v>600</v>
      </c>
      <c r="U130" s="28">
        <f t="shared" ref="U130:U193" si="26">T130 * POWER(I130/S130,0.25)</f>
        <v>584.40224785517808</v>
      </c>
      <c r="V130" s="26">
        <f>VLOOKUP($F130,Munition!$B:$P,5,FALSE)</f>
        <v>24</v>
      </c>
      <c r="W130" s="30">
        <f t="shared" si="16"/>
        <v>4098.3118475782203</v>
      </c>
      <c r="X130" s="26">
        <f>VLOOKUP($F130,Munition!$B:$P,15,FALSE)</f>
        <v>89.284876767403674</v>
      </c>
      <c r="Y130" s="26">
        <f>VLOOKUP($F130,Munition!$B:$P,9,FALSE)</f>
        <v>1</v>
      </c>
      <c r="Z130" s="26">
        <f>VLOOKUP($F130,Munition!$B:$P,14,FALSE)</f>
        <v>9.8784926622870443E-5</v>
      </c>
      <c r="AA130" s="30">
        <f t="shared" si="17"/>
        <v>3.0493105688784317</v>
      </c>
      <c r="AB130" s="30">
        <f t="shared" si="18"/>
        <v>2.5864181831711535</v>
      </c>
      <c r="AC130" s="30">
        <f t="shared" si="19"/>
        <v>2.1937939305076624</v>
      </c>
      <c r="AD130" s="30">
        <f t="shared" si="20"/>
        <v>1.1354922482914571</v>
      </c>
      <c r="AE130" s="30">
        <f t="shared" si="21"/>
        <v>0.42283087170232758</v>
      </c>
      <c r="AF130" s="32" t="str">
        <f t="shared" ref="AF130:AF193" si="27">IF(INT(SQRT(W130)/12)=0, MOD(INT(SQRT(W130)/4),3), INT(SQRT(W130)/12) &amp; "D6" &amp; IF(MOD(INT(SQRT(W130)/4),3)=0, "", "+" &amp; MOD(INT(SQRT(W130)/4),3)))</f>
        <v>5D6+1</v>
      </c>
      <c r="AG130" s="33" t="str">
        <f t="shared" si="22"/>
        <v>-</v>
      </c>
      <c r="AH130" s="33" t="str">
        <f t="shared" si="23"/>
        <v>-</v>
      </c>
      <c r="AI130" s="33" t="str">
        <f t="shared" si="24"/>
        <v>-</v>
      </c>
      <c r="AJ130" s="33" t="str">
        <f t="shared" si="25"/>
        <v>-</v>
      </c>
      <c r="AK130">
        <v>1990</v>
      </c>
    </row>
    <row r="131" spans="1:37">
      <c r="A131" t="s">
        <v>575</v>
      </c>
      <c r="B131" t="s">
        <v>321</v>
      </c>
      <c r="C131" t="s">
        <v>681</v>
      </c>
      <c r="D131" t="s">
        <v>681</v>
      </c>
      <c r="F131" t="s">
        <v>10</v>
      </c>
      <c r="G131" t="s">
        <v>11</v>
      </c>
      <c r="H131">
        <v>3.02</v>
      </c>
      <c r="I131">
        <v>20</v>
      </c>
      <c r="J131" s="9">
        <v>41</v>
      </c>
      <c r="K131" s="9">
        <v>82</v>
      </c>
      <c r="L131" s="9">
        <v>246</v>
      </c>
      <c r="M131" s="10">
        <v>492</v>
      </c>
      <c r="N131" s="10">
        <v>2</v>
      </c>
      <c r="O131" s="10">
        <v>2</v>
      </c>
      <c r="P131" s="19">
        <v>30</v>
      </c>
      <c r="Q131" s="22" t="s">
        <v>719</v>
      </c>
      <c r="R131">
        <v>3</v>
      </c>
      <c r="S131" s="26">
        <f>VLOOKUP($F131,Munition!$B:$P,10,FALSE)</f>
        <v>20</v>
      </c>
      <c r="T131" s="26">
        <f>VLOOKUP($F131,Munition!$B:$P,11,FALSE)</f>
        <v>878</v>
      </c>
      <c r="U131" s="28">
        <f t="shared" si="26"/>
        <v>878</v>
      </c>
      <c r="V131" s="26">
        <f>VLOOKUP($F131,Munition!$B:$P,5,FALSE)</f>
        <v>3.56</v>
      </c>
      <c r="W131" s="30">
        <f t="shared" ref="W131:W194" si="28">0.5 * (V131/1000) * (U131^2)</f>
        <v>1372.1735200000001</v>
      </c>
      <c r="X131" s="26">
        <f>VLOOKUP($F131,Munition!$B:$P,15,FALSE)</f>
        <v>146.62584685242678</v>
      </c>
      <c r="Y131" s="26">
        <f>VLOOKUP($F131,Munition!$B:$P,9,FALSE)</f>
        <v>1</v>
      </c>
      <c r="Z131" s="26">
        <f>VLOOKUP($F131,Munition!$B:$P,14,FALSE)</f>
        <v>3.7177960891755132E-6</v>
      </c>
      <c r="AA131" s="30">
        <f t="shared" ref="AA131:AA194" si="29">0.0000001 * X131 * (2 * W131 / (V131/1000)) * Y131</f>
        <v>11.303151932498615</v>
      </c>
      <c r="AB131" s="30">
        <f t="shared" ref="AB131:AB194" si="30">0.0000001 * $X131 * (2 * $W131 * EXP(-(2*$Z131/($V131/1000)) * J131) / ($V131/1000))  * $Y131</f>
        <v>10.375497220990672</v>
      </c>
      <c r="AC131" s="30">
        <f t="shared" ref="AC131:AC194" si="31">0.0000001 * $X131 * (2 * $W131 * EXP(-(2*$Z131/($V131/1000)) * K131) / ($V131/1000))  * $Y131</f>
        <v>9.5239755446681311</v>
      </c>
      <c r="AD131" s="30">
        <f t="shared" ref="AD131:AD194" si="32">0.0000001 * $X131 * (2 * $W131 * EXP(-(2*$Z131/($V131/1000)) * L131) / ($V131/1000))  * $Y131</f>
        <v>6.7616966668363041</v>
      </c>
      <c r="AE131" s="30">
        <f t="shared" ref="AE131:AE194" si="33">0.0000001 * $X131 * (2 * $W131 * EXP(-(2*$Z131/($V131/1000)) * M131) / ($V131/1000))  * $Y131</f>
        <v>4.0449373844874472</v>
      </c>
      <c r="AF131" s="32" t="str">
        <f t="shared" si="27"/>
        <v>3D6</v>
      </c>
      <c r="AG131" s="33" t="str">
        <f t="shared" ref="AG131:AG194" si="34">IF((SQRT($W131)*(7/AA131))&gt;=(SQRT($W131)),"-",IF(INT(SQRT($W131)*(7/AA131)/12)=0, MOD(INT(SQRT($W131)*(7/AA131)/4),3), INT(SQRT($W131)*(7/AA131)/12)  &amp; IF(MOD(INT(SQRT($W131)*(7/AA131)/4),3)=0, "", "+" &amp; MOD(INT(SQRT($W131)*(7/AA131)/4),3))))</f>
        <v>1+2</v>
      </c>
      <c r="AH131" s="33" t="str">
        <f t="shared" ref="AH131:AH194" si="35">IF((SQRT($W131)*(7/AB131))&gt;=(SQRT($W131)),"-",IF(INT(SQRT($W131)*(7/AB131)/12)=0, MOD(INT(SQRT($W131)*(7/AB131)/4),3), INT(SQRT($W131)*(7/AB131)/12)  &amp; IF(MOD(INT(SQRT($W131)*(7/AB131)/4),3)=0, "", "+" &amp; MOD(INT(SQRT($W131)*(7/AB131)/4),3))))</f>
        <v>2</v>
      </c>
      <c r="AI131" s="33" t="str">
        <f t="shared" ref="AI131:AI194" si="36">IF((SQRT($W131)*(7/AC131))&gt;=(SQRT($W131)),"-",IF(INT(SQRT($W131)*(7/AC131)/12)=0, MOD(INT(SQRT($W131)*(7/AC131)/4),3), INT(SQRT($W131)*(7/AC131)/12)  &amp; IF(MOD(INT(SQRT($W131)*(7/AC131)/4),3)=0, "", "+" &amp; MOD(INT(SQRT($W131)*(7/AC131)/4),3))))</f>
        <v>2</v>
      </c>
      <c r="AJ131" s="33" t="str">
        <f t="shared" ref="AJ131:AJ194" si="37">IF((SQRT($W131)*(7/AD131))&gt;=(SQRT($W131)),"-",IF(INT(SQRT($W131)*(7/AD131)/12)=0, MOD(INT(SQRT($W131)*(7/AD131)/4),3), INT(SQRT($W131)*(7/AD131)/12)  &amp; IF(MOD(INT(SQRT($W131)*(7/AD131)/4),3)=0, "", "+" &amp; MOD(INT(SQRT($W131)*(7/AD131)/4),3))))</f>
        <v>-</v>
      </c>
      <c r="AK131">
        <v>1990</v>
      </c>
    </row>
    <row r="132" spans="1:37">
      <c r="A132" t="s">
        <v>575</v>
      </c>
      <c r="B132" t="s">
        <v>322</v>
      </c>
      <c r="C132" t="s">
        <v>681</v>
      </c>
      <c r="D132" t="s">
        <v>681</v>
      </c>
      <c r="F132" t="s">
        <v>51</v>
      </c>
      <c r="G132" t="s">
        <v>52</v>
      </c>
      <c r="H132">
        <v>4.4000000000000004</v>
      </c>
      <c r="I132">
        <v>17.7</v>
      </c>
      <c r="J132" s="9">
        <v>50</v>
      </c>
      <c r="K132" s="9">
        <v>100</v>
      </c>
      <c r="L132" s="9">
        <v>300</v>
      </c>
      <c r="M132" s="10">
        <v>600</v>
      </c>
      <c r="N132" s="10">
        <v>2</v>
      </c>
      <c r="O132" s="10">
        <v>5</v>
      </c>
      <c r="P132" s="19">
        <v>20</v>
      </c>
      <c r="Q132" s="22" t="s">
        <v>729</v>
      </c>
      <c r="R132">
        <v>5</v>
      </c>
      <c r="S132" s="26">
        <f>VLOOKUP($F132,Munition!$B:$P,10,FALSE)</f>
        <v>22</v>
      </c>
      <c r="T132" s="26">
        <f>VLOOKUP($F132,Munition!$B:$P,11,FALSE)</f>
        <v>832</v>
      </c>
      <c r="U132" s="28">
        <f t="shared" si="26"/>
        <v>787.97233973020764</v>
      </c>
      <c r="V132" s="26">
        <f>VLOOKUP($F132,Munition!$B:$P,5,FALSE)</f>
        <v>9.4499999999999993</v>
      </c>
      <c r="W132" s="30">
        <f t="shared" si="28"/>
        <v>2933.7544286500174</v>
      </c>
      <c r="X132" s="26">
        <f>VLOOKUP($F132,Munition!$B:$P,15,FALSE)</f>
        <v>207.22015034594844</v>
      </c>
      <c r="Y132" s="26">
        <f>VLOOKUP($F132,Munition!$B:$P,9,FALSE)</f>
        <v>1</v>
      </c>
      <c r="Z132" s="26">
        <f>VLOOKUP($F132,Munition!$B:$P,14,FALSE)</f>
        <v>6.9830624463123905E-6</v>
      </c>
      <c r="AA132" s="30">
        <f t="shared" si="29"/>
        <v>12.866307593289916</v>
      </c>
      <c r="AB132" s="30">
        <f t="shared" si="30"/>
        <v>11.949832236044925</v>
      </c>
      <c r="AC132" s="30">
        <f t="shared" si="31"/>
        <v>11.098638007386924</v>
      </c>
      <c r="AD132" s="30">
        <f t="shared" si="32"/>
        <v>8.2585005200103581</v>
      </c>
      <c r="AE132" s="30">
        <f t="shared" si="33"/>
        <v>5.3008860813012708</v>
      </c>
      <c r="AF132" s="32" t="str">
        <f t="shared" si="27"/>
        <v>4D6+1</v>
      </c>
      <c r="AG132" s="33" t="str">
        <f t="shared" si="34"/>
        <v>2+1</v>
      </c>
      <c r="AH132" s="33" t="str">
        <f t="shared" si="35"/>
        <v>2+1</v>
      </c>
      <c r="AI132" s="33" t="str">
        <f t="shared" si="36"/>
        <v>2+2</v>
      </c>
      <c r="AJ132" s="33" t="str">
        <f t="shared" si="37"/>
        <v>3+2</v>
      </c>
      <c r="AK132">
        <v>1959</v>
      </c>
    </row>
    <row r="133" spans="1:37">
      <c r="A133" t="s">
        <v>575</v>
      </c>
      <c r="B133" t="s">
        <v>323</v>
      </c>
      <c r="C133" t="s">
        <v>681</v>
      </c>
      <c r="D133" t="s">
        <v>681</v>
      </c>
      <c r="F133" t="s">
        <v>51</v>
      </c>
      <c r="G133" t="s">
        <v>52</v>
      </c>
      <c r="H133">
        <v>4.7169999999999996</v>
      </c>
      <c r="I133">
        <v>17.7</v>
      </c>
      <c r="J133" s="9">
        <v>50</v>
      </c>
      <c r="K133" s="9">
        <v>100</v>
      </c>
      <c r="L133" s="9">
        <v>300</v>
      </c>
      <c r="M133" s="10">
        <v>600</v>
      </c>
      <c r="N133" s="10">
        <v>2</v>
      </c>
      <c r="O133" s="10">
        <v>5</v>
      </c>
      <c r="P133" s="19">
        <v>20</v>
      </c>
      <c r="Q133" s="22" t="s">
        <v>729</v>
      </c>
      <c r="R133">
        <v>5</v>
      </c>
      <c r="S133" s="26">
        <f>VLOOKUP($F133,Munition!$B:$P,10,FALSE)</f>
        <v>22</v>
      </c>
      <c r="T133" s="26">
        <f>VLOOKUP($F133,Munition!$B:$P,11,FALSE)</f>
        <v>832</v>
      </c>
      <c r="U133" s="28">
        <f t="shared" si="26"/>
        <v>787.97233973020764</v>
      </c>
      <c r="V133" s="26">
        <f>VLOOKUP($F133,Munition!$B:$P,5,FALSE)</f>
        <v>9.4499999999999993</v>
      </c>
      <c r="W133" s="30">
        <f t="shared" si="28"/>
        <v>2933.7544286500174</v>
      </c>
      <c r="X133" s="26">
        <f>VLOOKUP($F133,Munition!$B:$P,15,FALSE)</f>
        <v>207.22015034594844</v>
      </c>
      <c r="Y133" s="26">
        <f>VLOOKUP($F133,Munition!$B:$P,9,FALSE)</f>
        <v>1</v>
      </c>
      <c r="Z133" s="26">
        <f>VLOOKUP($F133,Munition!$B:$P,14,FALSE)</f>
        <v>6.9830624463123905E-6</v>
      </c>
      <c r="AA133" s="30">
        <f t="shared" si="29"/>
        <v>12.866307593289916</v>
      </c>
      <c r="AB133" s="30">
        <f t="shared" si="30"/>
        <v>11.949832236044925</v>
      </c>
      <c r="AC133" s="30">
        <f t="shared" si="31"/>
        <v>11.098638007386924</v>
      </c>
      <c r="AD133" s="30">
        <f t="shared" si="32"/>
        <v>8.2585005200103581</v>
      </c>
      <c r="AE133" s="30">
        <f t="shared" si="33"/>
        <v>5.3008860813012708</v>
      </c>
      <c r="AF133" s="32" t="str">
        <f t="shared" si="27"/>
        <v>4D6+1</v>
      </c>
      <c r="AG133" s="33" t="str">
        <f t="shared" si="34"/>
        <v>2+1</v>
      </c>
      <c r="AH133" s="33" t="str">
        <f t="shared" si="35"/>
        <v>2+1</v>
      </c>
      <c r="AI133" s="33" t="str">
        <f t="shared" si="36"/>
        <v>2+2</v>
      </c>
      <c r="AJ133" s="33" t="str">
        <f t="shared" si="37"/>
        <v>3+2</v>
      </c>
      <c r="AK133">
        <v>1959</v>
      </c>
    </row>
    <row r="134" spans="1:37">
      <c r="A134" t="s">
        <v>575</v>
      </c>
      <c r="B134" t="s">
        <v>324</v>
      </c>
      <c r="C134" t="s">
        <v>681</v>
      </c>
      <c r="D134" t="s">
        <v>681</v>
      </c>
      <c r="F134" t="s">
        <v>51</v>
      </c>
      <c r="G134" t="s">
        <v>52</v>
      </c>
      <c r="H134">
        <v>4.4000000000000004</v>
      </c>
      <c r="I134">
        <v>12.4</v>
      </c>
      <c r="J134" s="9">
        <v>50</v>
      </c>
      <c r="K134" s="9">
        <v>100</v>
      </c>
      <c r="L134" s="9">
        <v>300</v>
      </c>
      <c r="M134" s="10">
        <v>600</v>
      </c>
      <c r="N134" s="10">
        <v>2</v>
      </c>
      <c r="O134" s="10">
        <v>5</v>
      </c>
      <c r="P134" s="19">
        <v>20</v>
      </c>
      <c r="Q134" s="22" t="s">
        <v>729</v>
      </c>
      <c r="R134">
        <v>5</v>
      </c>
      <c r="S134" s="26">
        <f>VLOOKUP($F134,Munition!$B:$P,10,FALSE)</f>
        <v>22</v>
      </c>
      <c r="T134" s="26">
        <f>VLOOKUP($F134,Munition!$B:$P,11,FALSE)</f>
        <v>832</v>
      </c>
      <c r="U134" s="28">
        <f t="shared" si="26"/>
        <v>720.8967662112226</v>
      </c>
      <c r="V134" s="26">
        <f>VLOOKUP($F134,Munition!$B:$P,5,FALSE)</f>
        <v>9.4499999999999993</v>
      </c>
      <c r="W134" s="30">
        <f t="shared" si="28"/>
        <v>2455.5453970971962</v>
      </c>
      <c r="X134" s="26">
        <f>VLOOKUP($F134,Munition!$B:$P,15,FALSE)</f>
        <v>207.22015034594844</v>
      </c>
      <c r="Y134" s="26">
        <f>VLOOKUP($F134,Munition!$B:$P,9,FALSE)</f>
        <v>1</v>
      </c>
      <c r="Z134" s="26">
        <f>VLOOKUP($F134,Munition!$B:$P,14,FALSE)</f>
        <v>6.9830624463123905E-6</v>
      </c>
      <c r="AA134" s="30">
        <f t="shared" si="29"/>
        <v>10.769068494556246</v>
      </c>
      <c r="AB134" s="30">
        <f t="shared" si="30"/>
        <v>10.001980825916062</v>
      </c>
      <c r="AC134" s="30">
        <f t="shared" si="31"/>
        <v>9.2895333048129967</v>
      </c>
      <c r="AD134" s="30">
        <f t="shared" si="32"/>
        <v>6.9123450622851843</v>
      </c>
      <c r="AE134" s="30">
        <f t="shared" si="33"/>
        <v>4.4368288941844289</v>
      </c>
      <c r="AF134" s="32" t="str">
        <f t="shared" si="27"/>
        <v>4D6</v>
      </c>
      <c r="AG134" s="33" t="str">
        <f t="shared" si="34"/>
        <v>2+2</v>
      </c>
      <c r="AH134" s="33" t="str">
        <f t="shared" si="35"/>
        <v>2+2</v>
      </c>
      <c r="AI134" s="33" t="str">
        <f t="shared" si="36"/>
        <v>3</v>
      </c>
      <c r="AJ134" s="33" t="str">
        <f t="shared" si="37"/>
        <v>-</v>
      </c>
      <c r="AK134">
        <v>1959</v>
      </c>
    </row>
    <row r="135" spans="1:37">
      <c r="A135" t="s">
        <v>572</v>
      </c>
      <c r="B135" t="s">
        <v>325</v>
      </c>
      <c r="C135" t="s">
        <v>681</v>
      </c>
      <c r="D135" t="s">
        <v>681</v>
      </c>
      <c r="F135" t="s">
        <v>51</v>
      </c>
      <c r="G135" t="s">
        <v>52</v>
      </c>
      <c r="H135">
        <v>5.4880000000000004</v>
      </c>
      <c r="I135">
        <v>17.7</v>
      </c>
      <c r="J135" s="9">
        <v>66</v>
      </c>
      <c r="K135" s="9">
        <v>132</v>
      </c>
      <c r="L135" s="9">
        <v>396</v>
      </c>
      <c r="M135" s="10">
        <v>792</v>
      </c>
      <c r="N135" s="10">
        <v>2</v>
      </c>
      <c r="O135" s="10"/>
      <c r="P135" s="18">
        <v>10</v>
      </c>
      <c r="Q135" s="22" t="s">
        <v>701</v>
      </c>
      <c r="R135">
        <v>1</v>
      </c>
      <c r="S135" s="26">
        <f>VLOOKUP($F135,Munition!$B:$P,10,FALSE)</f>
        <v>22</v>
      </c>
      <c r="T135" s="26">
        <f>VLOOKUP($F135,Munition!$B:$P,11,FALSE)</f>
        <v>832</v>
      </c>
      <c r="U135" s="28">
        <f t="shared" si="26"/>
        <v>787.97233973020764</v>
      </c>
      <c r="V135" s="26">
        <f>VLOOKUP($F135,Munition!$B:$P,5,FALSE)</f>
        <v>9.4499999999999993</v>
      </c>
      <c r="W135" s="30">
        <f t="shared" si="28"/>
        <v>2933.7544286500174</v>
      </c>
      <c r="X135" s="26">
        <f>VLOOKUP($F135,Munition!$B:$P,15,FALSE)</f>
        <v>207.22015034594844</v>
      </c>
      <c r="Y135" s="26">
        <f>VLOOKUP($F135,Munition!$B:$P,9,FALSE)</f>
        <v>1</v>
      </c>
      <c r="Z135" s="26">
        <f>VLOOKUP($F135,Munition!$B:$P,14,FALSE)</f>
        <v>6.9830624463123905E-6</v>
      </c>
      <c r="AA135" s="30">
        <f t="shared" si="29"/>
        <v>12.866307593289916</v>
      </c>
      <c r="AB135" s="30">
        <f t="shared" si="30"/>
        <v>11.67057702727708</v>
      </c>
      <c r="AC135" s="30">
        <f t="shared" si="31"/>
        <v>10.585971706493343</v>
      </c>
      <c r="AD135" s="30">
        <f t="shared" si="32"/>
        <v>7.1661241370885982</v>
      </c>
      <c r="AE135" s="30">
        <f t="shared" si="33"/>
        <v>3.9913032372198058</v>
      </c>
      <c r="AF135" s="32" t="str">
        <f t="shared" si="27"/>
        <v>4D6+1</v>
      </c>
      <c r="AG135" s="33" t="str">
        <f t="shared" si="34"/>
        <v>2+1</v>
      </c>
      <c r="AH135" s="33" t="str">
        <f t="shared" si="35"/>
        <v>2+2</v>
      </c>
      <c r="AI135" s="33" t="str">
        <f t="shared" si="36"/>
        <v>2+2</v>
      </c>
      <c r="AJ135" s="33" t="str">
        <f t="shared" si="37"/>
        <v>4+1</v>
      </c>
      <c r="AK135">
        <v>1961</v>
      </c>
    </row>
    <row r="136" spans="1:37">
      <c r="A136" t="s">
        <v>575</v>
      </c>
      <c r="B136" t="s">
        <v>326</v>
      </c>
      <c r="C136" t="s">
        <v>681</v>
      </c>
      <c r="D136" t="s">
        <v>681</v>
      </c>
      <c r="F136" t="s">
        <v>10</v>
      </c>
      <c r="G136" t="s">
        <v>11</v>
      </c>
      <c r="H136">
        <v>3.63</v>
      </c>
      <c r="I136">
        <v>18.899999999999999</v>
      </c>
      <c r="J136" s="9">
        <v>50</v>
      </c>
      <c r="K136" s="9">
        <v>100</v>
      </c>
      <c r="L136" s="9">
        <v>300</v>
      </c>
      <c r="M136" s="10">
        <v>600</v>
      </c>
      <c r="N136" s="10">
        <v>2</v>
      </c>
      <c r="O136" s="10">
        <v>4</v>
      </c>
      <c r="P136" s="19">
        <v>30</v>
      </c>
      <c r="Q136" s="22" t="s">
        <v>739</v>
      </c>
      <c r="R136">
        <v>4</v>
      </c>
      <c r="S136" s="26">
        <f>VLOOKUP($F136,Munition!$B:$P,10,FALSE)</f>
        <v>20</v>
      </c>
      <c r="T136" s="26">
        <f>VLOOKUP($F136,Munition!$B:$P,11,FALSE)</f>
        <v>878</v>
      </c>
      <c r="U136" s="28">
        <f t="shared" si="26"/>
        <v>865.67020099037529</v>
      </c>
      <c r="V136" s="26">
        <f>VLOOKUP($F136,Munition!$B:$P,5,FALSE)</f>
        <v>3.56</v>
      </c>
      <c r="W136" s="30">
        <f t="shared" si="28"/>
        <v>1333.9051164512359</v>
      </c>
      <c r="X136" s="26">
        <f>VLOOKUP($F136,Munition!$B:$P,15,FALSE)</f>
        <v>146.62584685242678</v>
      </c>
      <c r="Y136" s="26">
        <f>VLOOKUP($F136,Munition!$B:$P,9,FALSE)</f>
        <v>1</v>
      </c>
      <c r="Z136" s="26">
        <f>VLOOKUP($F136,Munition!$B:$P,14,FALSE)</f>
        <v>3.7177960891755132E-6</v>
      </c>
      <c r="AA136" s="30">
        <f t="shared" si="29"/>
        <v>10.987919512384686</v>
      </c>
      <c r="AB136" s="30">
        <f t="shared" si="30"/>
        <v>9.8983093392535011</v>
      </c>
      <c r="AC136" s="30">
        <f t="shared" si="31"/>
        <v>8.916749678146255</v>
      </c>
      <c r="AD136" s="30">
        <f t="shared" si="32"/>
        <v>5.8720370251720455</v>
      </c>
      <c r="AE136" s="30">
        <f t="shared" si="33"/>
        <v>3.1380661995318939</v>
      </c>
      <c r="AF136" s="32" t="str">
        <f t="shared" si="27"/>
        <v>3D6</v>
      </c>
      <c r="AG136" s="33" t="str">
        <f t="shared" si="34"/>
        <v>1+2</v>
      </c>
      <c r="AH136" s="33" t="str">
        <f t="shared" si="35"/>
        <v>2</v>
      </c>
      <c r="AI136" s="33" t="str">
        <f t="shared" si="36"/>
        <v>2+1</v>
      </c>
      <c r="AJ136" s="33" t="str">
        <f t="shared" si="37"/>
        <v>-</v>
      </c>
      <c r="AK136">
        <v>1997</v>
      </c>
    </row>
    <row r="137" spans="1:37">
      <c r="A137" t="s">
        <v>575</v>
      </c>
      <c r="B137" t="s">
        <v>327</v>
      </c>
      <c r="C137" t="s">
        <v>681</v>
      </c>
      <c r="D137" t="s">
        <v>681</v>
      </c>
      <c r="F137" t="s">
        <v>10</v>
      </c>
      <c r="G137" t="s">
        <v>11</v>
      </c>
      <c r="H137">
        <v>3.34</v>
      </c>
      <c r="I137">
        <v>12.5</v>
      </c>
      <c r="J137" s="9">
        <v>41</v>
      </c>
      <c r="K137" s="9">
        <v>82</v>
      </c>
      <c r="L137" s="9">
        <v>246</v>
      </c>
      <c r="M137" s="10">
        <v>492</v>
      </c>
      <c r="N137" s="10">
        <v>2</v>
      </c>
      <c r="O137" s="10">
        <v>4</v>
      </c>
      <c r="P137" s="19">
        <v>30</v>
      </c>
      <c r="Q137" s="22" t="s">
        <v>739</v>
      </c>
      <c r="R137">
        <v>4</v>
      </c>
      <c r="S137" s="26">
        <f>VLOOKUP($F137,Munition!$B:$P,10,FALSE)</f>
        <v>20</v>
      </c>
      <c r="T137" s="26">
        <f>VLOOKUP($F137,Munition!$B:$P,11,FALSE)</f>
        <v>878</v>
      </c>
      <c r="U137" s="28">
        <f t="shared" si="26"/>
        <v>780.66466100708715</v>
      </c>
      <c r="V137" s="26">
        <f>VLOOKUP($F137,Munition!$B:$P,5,FALSE)</f>
        <v>3.56</v>
      </c>
      <c r="W137" s="30">
        <f t="shared" si="28"/>
        <v>1084.7984170426523</v>
      </c>
      <c r="X137" s="26">
        <f>VLOOKUP($F137,Munition!$B:$P,15,FALSE)</f>
        <v>146.62584685242678</v>
      </c>
      <c r="Y137" s="26">
        <f>VLOOKUP($F137,Munition!$B:$P,9,FALSE)</f>
        <v>1</v>
      </c>
      <c r="Z137" s="26">
        <f>VLOOKUP($F137,Munition!$B:$P,14,FALSE)</f>
        <v>3.7177960891755132E-6</v>
      </c>
      <c r="AA137" s="30">
        <f t="shared" si="29"/>
        <v>8.9359262114073541</v>
      </c>
      <c r="AB137" s="30">
        <f t="shared" si="30"/>
        <v>8.202550768769477</v>
      </c>
      <c r="AC137" s="30">
        <f t="shared" si="31"/>
        <v>7.5293637752235014</v>
      </c>
      <c r="AD137" s="30">
        <f t="shared" si="32"/>
        <v>5.3455905785928604</v>
      </c>
      <c r="AE137" s="30">
        <f t="shared" si="33"/>
        <v>3.1978037819361425</v>
      </c>
      <c r="AF137" s="32" t="str">
        <f t="shared" si="27"/>
        <v>2D6+2</v>
      </c>
      <c r="AG137" s="33" t="str">
        <f t="shared" si="34"/>
        <v>2</v>
      </c>
      <c r="AH137" s="33" t="str">
        <f t="shared" si="35"/>
        <v>2+1</v>
      </c>
      <c r="AI137" s="33" t="str">
        <f t="shared" si="36"/>
        <v>2+1</v>
      </c>
      <c r="AJ137" s="33" t="str">
        <f t="shared" si="37"/>
        <v>-</v>
      </c>
      <c r="AK137">
        <v>1997</v>
      </c>
    </row>
    <row r="138" spans="1:37">
      <c r="A138" t="s">
        <v>575</v>
      </c>
      <c r="B138" t="s">
        <v>328</v>
      </c>
      <c r="C138" t="s">
        <v>681</v>
      </c>
      <c r="D138" t="s">
        <v>681</v>
      </c>
      <c r="F138" t="s">
        <v>10</v>
      </c>
      <c r="G138" t="s">
        <v>11</v>
      </c>
      <c r="H138">
        <v>4.0999999999999996</v>
      </c>
      <c r="I138">
        <v>17.7</v>
      </c>
      <c r="J138" s="9">
        <v>41</v>
      </c>
      <c r="K138" s="9">
        <v>82</v>
      </c>
      <c r="L138" s="9">
        <v>246</v>
      </c>
      <c r="M138" s="10">
        <v>492</v>
      </c>
      <c r="N138" s="10">
        <v>1</v>
      </c>
      <c r="O138" s="10">
        <v>2</v>
      </c>
      <c r="P138" s="19">
        <v>30</v>
      </c>
      <c r="Q138" s="22" t="s">
        <v>740</v>
      </c>
      <c r="R138">
        <v>10</v>
      </c>
      <c r="S138" s="26">
        <f>VLOOKUP($F138,Munition!$B:$P,10,FALSE)</f>
        <v>20</v>
      </c>
      <c r="T138" s="26">
        <f>VLOOKUP($F138,Munition!$B:$P,11,FALSE)</f>
        <v>878</v>
      </c>
      <c r="U138" s="28">
        <f t="shared" si="26"/>
        <v>851.58956977117407</v>
      </c>
      <c r="V138" s="26">
        <f>VLOOKUP($F138,Munition!$B:$P,5,FALSE)</f>
        <v>3.56</v>
      </c>
      <c r="W138" s="30">
        <f t="shared" si="28"/>
        <v>1290.864535710635</v>
      </c>
      <c r="X138" s="26">
        <f>VLOOKUP($F138,Munition!$B:$P,15,FALSE)</f>
        <v>146.62584685242678</v>
      </c>
      <c r="Y138" s="26">
        <f>VLOOKUP($F138,Munition!$B:$P,9,FALSE)</f>
        <v>1</v>
      </c>
      <c r="Z138" s="26">
        <f>VLOOKUP($F138,Munition!$B:$P,14,FALSE)</f>
        <v>3.7177960891755132E-6</v>
      </c>
      <c r="AA138" s="30">
        <f t="shared" si="29"/>
        <v>10.633376725861604</v>
      </c>
      <c r="AB138" s="30">
        <f t="shared" si="30"/>
        <v>9.7606907637607705</v>
      </c>
      <c r="AC138" s="30">
        <f t="shared" si="31"/>
        <v>8.9596265271082256</v>
      </c>
      <c r="AD138" s="30">
        <f t="shared" si="32"/>
        <v>6.3610281799140047</v>
      </c>
      <c r="AE138" s="30">
        <f t="shared" si="33"/>
        <v>3.8052521366284489</v>
      </c>
      <c r="AF138" s="32" t="str">
        <f t="shared" si="27"/>
        <v>2D6+2</v>
      </c>
      <c r="AG138" s="33" t="str">
        <f t="shared" si="34"/>
        <v>1+2</v>
      </c>
      <c r="AH138" s="33" t="str">
        <f t="shared" si="35"/>
        <v>2</v>
      </c>
      <c r="AI138" s="33" t="str">
        <f t="shared" si="36"/>
        <v>2+1</v>
      </c>
      <c r="AJ138" s="33" t="str">
        <f t="shared" si="37"/>
        <v>-</v>
      </c>
      <c r="AK138">
        <v>1983</v>
      </c>
    </row>
    <row r="139" spans="1:37">
      <c r="A139" t="s">
        <v>575</v>
      </c>
      <c r="B139" t="s">
        <v>329</v>
      </c>
      <c r="C139" t="s">
        <v>681</v>
      </c>
      <c r="D139" t="s">
        <v>681</v>
      </c>
      <c r="F139" t="s">
        <v>10</v>
      </c>
      <c r="G139" t="s">
        <v>11</v>
      </c>
      <c r="H139">
        <v>4.4000000000000004</v>
      </c>
      <c r="I139">
        <v>17.7</v>
      </c>
      <c r="J139" s="9">
        <v>41</v>
      </c>
      <c r="K139" s="9">
        <v>82</v>
      </c>
      <c r="L139" s="9">
        <v>246</v>
      </c>
      <c r="M139" s="10">
        <v>492</v>
      </c>
      <c r="N139" s="10">
        <v>1</v>
      </c>
      <c r="O139" s="10">
        <v>2</v>
      </c>
      <c r="P139" s="19">
        <v>30</v>
      </c>
      <c r="Q139" s="22" t="s">
        <v>740</v>
      </c>
      <c r="R139">
        <v>10</v>
      </c>
      <c r="S139" s="26">
        <f>VLOOKUP($F139,Munition!$B:$P,10,FALSE)</f>
        <v>20</v>
      </c>
      <c r="T139" s="26">
        <f>VLOOKUP($F139,Munition!$B:$P,11,FALSE)</f>
        <v>878</v>
      </c>
      <c r="U139" s="28">
        <f t="shared" si="26"/>
        <v>851.58956977117407</v>
      </c>
      <c r="V139" s="26">
        <f>VLOOKUP($F139,Munition!$B:$P,5,FALSE)</f>
        <v>3.56</v>
      </c>
      <c r="W139" s="30">
        <f t="shared" si="28"/>
        <v>1290.864535710635</v>
      </c>
      <c r="X139" s="26">
        <f>VLOOKUP($F139,Munition!$B:$P,15,FALSE)</f>
        <v>146.62584685242678</v>
      </c>
      <c r="Y139" s="26">
        <f>VLOOKUP($F139,Munition!$B:$P,9,FALSE)</f>
        <v>1</v>
      </c>
      <c r="Z139" s="26">
        <f>VLOOKUP($F139,Munition!$B:$P,14,FALSE)</f>
        <v>3.7177960891755132E-6</v>
      </c>
      <c r="AA139" s="30">
        <f t="shared" si="29"/>
        <v>10.633376725861604</v>
      </c>
      <c r="AB139" s="30">
        <f t="shared" si="30"/>
        <v>9.7606907637607705</v>
      </c>
      <c r="AC139" s="30">
        <f t="shared" si="31"/>
        <v>8.9596265271082256</v>
      </c>
      <c r="AD139" s="30">
        <f t="shared" si="32"/>
        <v>6.3610281799140047</v>
      </c>
      <c r="AE139" s="30">
        <f t="shared" si="33"/>
        <v>3.8052521366284489</v>
      </c>
      <c r="AF139" s="32" t="str">
        <f t="shared" si="27"/>
        <v>2D6+2</v>
      </c>
      <c r="AG139" s="33" t="str">
        <f t="shared" si="34"/>
        <v>1+2</v>
      </c>
      <c r="AH139" s="33" t="str">
        <f t="shared" si="35"/>
        <v>2</v>
      </c>
      <c r="AI139" s="33" t="str">
        <f t="shared" si="36"/>
        <v>2+1</v>
      </c>
      <c r="AJ139" s="33" t="str">
        <f t="shared" si="37"/>
        <v>-</v>
      </c>
      <c r="AK139">
        <v>1983</v>
      </c>
    </row>
    <row r="140" spans="1:37">
      <c r="A140" t="s">
        <v>575</v>
      </c>
      <c r="B140" t="s">
        <v>330</v>
      </c>
      <c r="C140" t="s">
        <v>681</v>
      </c>
      <c r="D140" t="s">
        <v>681</v>
      </c>
      <c r="F140" t="s">
        <v>10</v>
      </c>
      <c r="G140" t="s">
        <v>11</v>
      </c>
      <c r="H140">
        <v>3.9</v>
      </c>
      <c r="I140">
        <v>12.4</v>
      </c>
      <c r="J140" s="9">
        <v>20</v>
      </c>
      <c r="K140" s="9">
        <v>40</v>
      </c>
      <c r="L140" s="9">
        <v>120</v>
      </c>
      <c r="M140" s="10">
        <v>240</v>
      </c>
      <c r="N140" s="10">
        <v>2</v>
      </c>
      <c r="O140" s="10">
        <v>3</v>
      </c>
      <c r="P140" s="19">
        <v>30</v>
      </c>
      <c r="Q140" s="22" t="s">
        <v>741</v>
      </c>
      <c r="R140">
        <v>3</v>
      </c>
      <c r="S140" s="26">
        <f>VLOOKUP($F140,Munition!$B:$P,10,FALSE)</f>
        <v>20</v>
      </c>
      <c r="T140" s="26">
        <f>VLOOKUP($F140,Munition!$B:$P,11,FALSE)</f>
        <v>878</v>
      </c>
      <c r="U140" s="28">
        <f t="shared" si="26"/>
        <v>779.09862571754809</v>
      </c>
      <c r="V140" s="26">
        <f>VLOOKUP($F140,Munition!$B:$P,5,FALSE)</f>
        <v>3.56</v>
      </c>
      <c r="W140" s="30">
        <f t="shared" si="28"/>
        <v>1080.4505100990505</v>
      </c>
      <c r="X140" s="26">
        <f>VLOOKUP($F140,Munition!$B:$P,15,FALSE)</f>
        <v>146.62584685242678</v>
      </c>
      <c r="Y140" s="26">
        <f>VLOOKUP($F140,Munition!$B:$P,9,FALSE)</f>
        <v>1</v>
      </c>
      <c r="Z140" s="26">
        <f>VLOOKUP($F140,Munition!$B:$P,14,FALSE)</f>
        <v>3.7177960891755132E-6</v>
      </c>
      <c r="AA140" s="30">
        <f t="shared" si="29"/>
        <v>8.9001107317645918</v>
      </c>
      <c r="AB140" s="30">
        <f t="shared" si="30"/>
        <v>8.5359847604070964</v>
      </c>
      <c r="AC140" s="30">
        <f t="shared" si="31"/>
        <v>8.1867561006688643</v>
      </c>
      <c r="AD140" s="30">
        <f t="shared" si="32"/>
        <v>6.9269928014336735</v>
      </c>
      <c r="AE140" s="30">
        <f t="shared" si="33"/>
        <v>5.3913069979973693</v>
      </c>
      <c r="AF140" s="32" t="str">
        <f t="shared" si="27"/>
        <v>2D6+2</v>
      </c>
      <c r="AG140" s="33" t="str">
        <f t="shared" si="34"/>
        <v>2</v>
      </c>
      <c r="AH140" s="33" t="str">
        <f t="shared" si="35"/>
        <v>2</v>
      </c>
      <c r="AI140" s="33" t="str">
        <f t="shared" si="36"/>
        <v>2+1</v>
      </c>
      <c r="AJ140" s="33" t="str">
        <f t="shared" si="37"/>
        <v>-</v>
      </c>
      <c r="AK140">
        <v>1983</v>
      </c>
    </row>
    <row r="141" spans="1:37">
      <c r="A141" t="s">
        <v>571</v>
      </c>
      <c r="B141" t="s">
        <v>331</v>
      </c>
      <c r="C141" t="s">
        <v>681</v>
      </c>
      <c r="D141" t="s">
        <v>681</v>
      </c>
      <c r="F141" t="s">
        <v>108</v>
      </c>
      <c r="G141" t="s">
        <v>103</v>
      </c>
      <c r="H141">
        <v>1.21</v>
      </c>
      <c r="I141">
        <v>5.87</v>
      </c>
      <c r="J141" s="9">
        <v>5</v>
      </c>
      <c r="K141" s="9">
        <v>10</v>
      </c>
      <c r="L141" s="9">
        <v>30</v>
      </c>
      <c r="M141" s="10">
        <v>60</v>
      </c>
      <c r="N141" s="10">
        <v>2</v>
      </c>
      <c r="O141" s="10"/>
      <c r="P141" s="18">
        <v>12</v>
      </c>
      <c r="Q141" s="22" t="s">
        <v>701</v>
      </c>
      <c r="R141">
        <v>1</v>
      </c>
      <c r="S141" s="26">
        <f>VLOOKUP($F141,Munition!$B:$P,10,FALSE)</f>
        <v>5</v>
      </c>
      <c r="T141" s="26">
        <f>VLOOKUP($F141,Munition!$B:$P,11,FALSE)</f>
        <v>285</v>
      </c>
      <c r="U141" s="28">
        <f t="shared" si="26"/>
        <v>296.66197538383449</v>
      </c>
      <c r="V141" s="26">
        <f>VLOOKUP($F141,Munition!$B:$P,5,FALSE)</f>
        <v>14.84</v>
      </c>
      <c r="W141" s="30">
        <f t="shared" si="28"/>
        <v>653.02179107869995</v>
      </c>
      <c r="X141" s="26">
        <f>VLOOKUP($F141,Munition!$B:$P,15,FALSE)</f>
        <v>144.62772633198708</v>
      </c>
      <c r="Y141" s="26">
        <f>VLOOKUP($F141,Munition!$B:$P,9,FALSE)</f>
        <v>1</v>
      </c>
      <c r="Z141" s="26">
        <f>VLOOKUP($F141,Munition!$B:$P,14,FALSE)</f>
        <v>2.8281402907565187E-5</v>
      </c>
      <c r="AA141" s="30">
        <f t="shared" si="29"/>
        <v>1.2728444324656909</v>
      </c>
      <c r="AB141" s="30">
        <f t="shared" si="30"/>
        <v>1.2488168180927031</v>
      </c>
      <c r="AC141" s="30">
        <f t="shared" si="31"/>
        <v>1.2252427754506603</v>
      </c>
      <c r="AD141" s="30">
        <f t="shared" si="32"/>
        <v>1.1353134859653509</v>
      </c>
      <c r="AE141" s="30">
        <f t="shared" si="33"/>
        <v>1.0126427696414815</v>
      </c>
      <c r="AF141" s="32" t="str">
        <f t="shared" si="27"/>
        <v>2D6</v>
      </c>
      <c r="AG141" s="33" t="str">
        <f t="shared" si="34"/>
        <v>-</v>
      </c>
      <c r="AH141" s="33" t="str">
        <f t="shared" si="35"/>
        <v>-</v>
      </c>
      <c r="AI141" s="33" t="str">
        <f t="shared" si="36"/>
        <v>-</v>
      </c>
      <c r="AJ141" s="33" t="str">
        <f t="shared" si="37"/>
        <v>-</v>
      </c>
      <c r="AK141">
        <v>1996</v>
      </c>
    </row>
    <row r="142" spans="1:37">
      <c r="A142" t="s">
        <v>577</v>
      </c>
      <c r="B142" t="s">
        <v>332</v>
      </c>
      <c r="C142" t="s">
        <v>681</v>
      </c>
      <c r="D142" t="s">
        <v>681</v>
      </c>
      <c r="F142" t="s">
        <v>182</v>
      </c>
      <c r="G142" t="s">
        <v>79</v>
      </c>
      <c r="H142">
        <v>2.7810000000000001</v>
      </c>
      <c r="I142">
        <v>3.7</v>
      </c>
      <c r="J142" s="9">
        <v>8</v>
      </c>
      <c r="K142" s="9">
        <v>16</v>
      </c>
      <c r="L142" s="9">
        <v>48</v>
      </c>
      <c r="M142" s="10">
        <v>96</v>
      </c>
      <c r="N142" s="10">
        <v>1</v>
      </c>
      <c r="O142" s="10">
        <v>2</v>
      </c>
      <c r="P142" s="19">
        <v>30</v>
      </c>
      <c r="Q142" s="22" t="s">
        <v>741</v>
      </c>
      <c r="R142">
        <v>3</v>
      </c>
      <c r="S142" s="26">
        <f>VLOOKUP($F142,Munition!$B:$P,10,FALSE)</f>
        <v>4.5</v>
      </c>
      <c r="T142" s="26">
        <f>VLOOKUP($F142,Munition!$B:$P,11,FALSE)</f>
        <v>450</v>
      </c>
      <c r="U142" s="28">
        <f t="shared" si="26"/>
        <v>428.50887023249413</v>
      </c>
      <c r="V142" s="26">
        <f>VLOOKUP($F142,Munition!$B:$P,5,FALSE)</f>
        <v>6.75</v>
      </c>
      <c r="W142" s="30">
        <f t="shared" si="28"/>
        <v>619.71700005425862</v>
      </c>
      <c r="X142" s="26">
        <f>VLOOKUP($F142,Munition!$B:$P,15,FALSE)</f>
        <v>106.1032953945969</v>
      </c>
      <c r="Y142" s="26">
        <f>VLOOKUP($F142,Munition!$B:$P,9,FALSE)</f>
        <v>1</v>
      </c>
      <c r="Z142" s="26">
        <f>VLOOKUP($F142,Munition!$B:$P,14,FALSE)</f>
        <v>1.5586226552622361E-5</v>
      </c>
      <c r="AA142" s="30">
        <f t="shared" si="29"/>
        <v>1.9482671383054939</v>
      </c>
      <c r="AB142" s="30">
        <f t="shared" si="30"/>
        <v>1.8776015683807725</v>
      </c>
      <c r="AC142" s="30">
        <f t="shared" si="31"/>
        <v>1.809499108347197</v>
      </c>
      <c r="AD142" s="30">
        <f t="shared" si="32"/>
        <v>1.5609108870851793</v>
      </c>
      <c r="AE142" s="30">
        <f t="shared" si="33"/>
        <v>1.2505691593916319</v>
      </c>
      <c r="AF142" s="32" t="str">
        <f t="shared" si="27"/>
        <v>2D6</v>
      </c>
      <c r="AG142" s="33" t="str">
        <f t="shared" si="34"/>
        <v>-</v>
      </c>
      <c r="AH142" s="33" t="str">
        <f t="shared" si="35"/>
        <v>-</v>
      </c>
      <c r="AI142" s="33" t="str">
        <f t="shared" si="36"/>
        <v>-</v>
      </c>
      <c r="AJ142" s="33" t="str">
        <f t="shared" si="37"/>
        <v>-</v>
      </c>
      <c r="AK142">
        <v>2000</v>
      </c>
    </row>
    <row r="143" spans="1:37">
      <c r="A143" t="s">
        <v>577</v>
      </c>
      <c r="B143" t="s">
        <v>333</v>
      </c>
      <c r="C143" t="s">
        <v>681</v>
      </c>
      <c r="D143" t="s">
        <v>681</v>
      </c>
      <c r="F143" t="s">
        <v>182</v>
      </c>
      <c r="G143" t="s">
        <v>79</v>
      </c>
      <c r="H143">
        <v>2.54</v>
      </c>
      <c r="I143">
        <v>8.9</v>
      </c>
      <c r="J143" s="9">
        <v>15</v>
      </c>
      <c r="K143" s="9">
        <v>30</v>
      </c>
      <c r="L143" s="9">
        <v>90</v>
      </c>
      <c r="M143" s="10">
        <v>180</v>
      </c>
      <c r="N143" s="10">
        <v>1</v>
      </c>
      <c r="O143" s="10">
        <v>3</v>
      </c>
      <c r="P143" s="18">
        <v>30</v>
      </c>
      <c r="Q143" s="22" t="s">
        <v>707</v>
      </c>
      <c r="R143">
        <v>10</v>
      </c>
      <c r="S143" s="26">
        <f>VLOOKUP($F143,Munition!$B:$P,10,FALSE)</f>
        <v>4.5</v>
      </c>
      <c r="T143" s="26">
        <f>VLOOKUP($F143,Munition!$B:$P,11,FALSE)</f>
        <v>450</v>
      </c>
      <c r="U143" s="28">
        <f t="shared" si="26"/>
        <v>533.65045861625697</v>
      </c>
      <c r="V143" s="26">
        <f>VLOOKUP($F143,Munition!$B:$P,5,FALSE)</f>
        <v>6.75</v>
      </c>
      <c r="W143" s="30">
        <f t="shared" si="28"/>
        <v>961.14199043702718</v>
      </c>
      <c r="X143" s="26">
        <f>VLOOKUP($F143,Munition!$B:$P,15,FALSE)</f>
        <v>106.1032953945969</v>
      </c>
      <c r="Y143" s="26">
        <f>VLOOKUP($F143,Munition!$B:$P,9,FALSE)</f>
        <v>1</v>
      </c>
      <c r="Z143" s="26">
        <f>VLOOKUP($F143,Munition!$B:$P,14,FALSE)</f>
        <v>1.5586226552622361E-5</v>
      </c>
      <c r="AA143" s="30">
        <f t="shared" si="29"/>
        <v>3.0216394822960213</v>
      </c>
      <c r="AB143" s="30">
        <f t="shared" si="30"/>
        <v>2.8194094299208681</v>
      </c>
      <c r="AC143" s="30">
        <f t="shared" si="31"/>
        <v>2.6307140809156158</v>
      </c>
      <c r="AD143" s="30">
        <f t="shared" si="32"/>
        <v>1.9940482143192007</v>
      </c>
      <c r="AE143" s="30">
        <f t="shared" si="33"/>
        <v>1.3159175025103322</v>
      </c>
      <c r="AF143" s="32" t="str">
        <f t="shared" si="27"/>
        <v>2D6+1</v>
      </c>
      <c r="AG143" s="33" t="str">
        <f t="shared" si="34"/>
        <v>-</v>
      </c>
      <c r="AH143" s="33" t="str">
        <f t="shared" si="35"/>
        <v>-</v>
      </c>
      <c r="AI143" s="33" t="str">
        <f t="shared" si="36"/>
        <v>-</v>
      </c>
      <c r="AJ143" s="33" t="str">
        <f t="shared" si="37"/>
        <v>-</v>
      </c>
      <c r="AK143">
        <v>1966</v>
      </c>
    </row>
    <row r="144" spans="1:37">
      <c r="A144" t="s">
        <v>577</v>
      </c>
      <c r="B144" t="s">
        <v>334</v>
      </c>
      <c r="C144" t="s">
        <v>681</v>
      </c>
      <c r="D144" t="s">
        <v>681</v>
      </c>
      <c r="F144" t="s">
        <v>182</v>
      </c>
      <c r="G144" t="s">
        <v>79</v>
      </c>
      <c r="H144">
        <v>2.88</v>
      </c>
      <c r="I144">
        <v>8.9</v>
      </c>
      <c r="J144" s="9">
        <v>15</v>
      </c>
      <c r="K144" s="9">
        <v>30</v>
      </c>
      <c r="L144" s="9">
        <v>90</v>
      </c>
      <c r="M144" s="10">
        <v>180</v>
      </c>
      <c r="N144" s="10">
        <v>1</v>
      </c>
      <c r="O144" s="10">
        <v>2</v>
      </c>
      <c r="P144" s="18">
        <v>30</v>
      </c>
      <c r="Q144" s="22" t="s">
        <v>707</v>
      </c>
      <c r="R144">
        <v>10</v>
      </c>
      <c r="S144" s="26">
        <f>VLOOKUP($F144,Munition!$B:$P,10,FALSE)</f>
        <v>4.5</v>
      </c>
      <c r="T144" s="26">
        <f>VLOOKUP($F144,Munition!$B:$P,11,FALSE)</f>
        <v>450</v>
      </c>
      <c r="U144" s="28">
        <f t="shared" si="26"/>
        <v>533.65045861625697</v>
      </c>
      <c r="V144" s="26">
        <f>VLOOKUP($F144,Munition!$B:$P,5,FALSE)</f>
        <v>6.75</v>
      </c>
      <c r="W144" s="30">
        <f t="shared" si="28"/>
        <v>961.14199043702718</v>
      </c>
      <c r="X144" s="26">
        <f>VLOOKUP($F144,Munition!$B:$P,15,FALSE)</f>
        <v>106.1032953945969</v>
      </c>
      <c r="Y144" s="26">
        <f>VLOOKUP($F144,Munition!$B:$P,9,FALSE)</f>
        <v>1</v>
      </c>
      <c r="Z144" s="26">
        <f>VLOOKUP($F144,Munition!$B:$P,14,FALSE)</f>
        <v>1.5586226552622361E-5</v>
      </c>
      <c r="AA144" s="30">
        <f t="shared" si="29"/>
        <v>3.0216394822960213</v>
      </c>
      <c r="AB144" s="30">
        <f t="shared" si="30"/>
        <v>2.8194094299208681</v>
      </c>
      <c r="AC144" s="30">
        <f t="shared" si="31"/>
        <v>2.6307140809156158</v>
      </c>
      <c r="AD144" s="30">
        <f t="shared" si="32"/>
        <v>1.9940482143192007</v>
      </c>
      <c r="AE144" s="30">
        <f t="shared" si="33"/>
        <v>1.3159175025103322</v>
      </c>
      <c r="AF144" s="32" t="str">
        <f t="shared" si="27"/>
        <v>2D6+1</v>
      </c>
      <c r="AG144" s="33" t="str">
        <f t="shared" si="34"/>
        <v>-</v>
      </c>
      <c r="AH144" s="33" t="str">
        <f t="shared" si="35"/>
        <v>-</v>
      </c>
      <c r="AI144" s="33" t="str">
        <f t="shared" si="36"/>
        <v>-</v>
      </c>
      <c r="AJ144" s="33" t="str">
        <f t="shared" si="37"/>
        <v>-</v>
      </c>
      <c r="AK144">
        <v>1966</v>
      </c>
    </row>
    <row r="145" spans="1:37">
      <c r="A145" t="s">
        <v>577</v>
      </c>
      <c r="B145" t="s">
        <v>335</v>
      </c>
      <c r="C145" t="s">
        <v>681</v>
      </c>
      <c r="D145" t="s">
        <v>681</v>
      </c>
      <c r="F145" t="s">
        <v>182</v>
      </c>
      <c r="G145" t="s">
        <v>79</v>
      </c>
      <c r="H145">
        <v>2.54</v>
      </c>
      <c r="I145">
        <v>8.9</v>
      </c>
      <c r="J145" s="9">
        <v>15</v>
      </c>
      <c r="K145" s="9">
        <v>30</v>
      </c>
      <c r="L145" s="9">
        <v>90</v>
      </c>
      <c r="M145" s="10">
        <v>180</v>
      </c>
      <c r="N145" s="10">
        <v>1</v>
      </c>
      <c r="O145" s="10">
        <v>2</v>
      </c>
      <c r="P145" s="19">
        <v>30</v>
      </c>
      <c r="Q145" s="22" t="s">
        <v>733</v>
      </c>
      <c r="R145">
        <v>3</v>
      </c>
      <c r="S145" s="26">
        <f>VLOOKUP($F145,Munition!$B:$P,10,FALSE)</f>
        <v>4.5</v>
      </c>
      <c r="T145" s="26">
        <f>VLOOKUP($F145,Munition!$B:$P,11,FALSE)</f>
        <v>450</v>
      </c>
      <c r="U145" s="28">
        <f t="shared" si="26"/>
        <v>533.65045861625697</v>
      </c>
      <c r="V145" s="26">
        <f>VLOOKUP($F145,Munition!$B:$P,5,FALSE)</f>
        <v>6.75</v>
      </c>
      <c r="W145" s="30">
        <f t="shared" si="28"/>
        <v>961.14199043702718</v>
      </c>
      <c r="X145" s="26">
        <f>VLOOKUP($F145,Munition!$B:$P,15,FALSE)</f>
        <v>106.1032953945969</v>
      </c>
      <c r="Y145" s="26">
        <f>VLOOKUP($F145,Munition!$B:$P,9,FALSE)</f>
        <v>1</v>
      </c>
      <c r="Z145" s="26">
        <f>VLOOKUP($F145,Munition!$B:$P,14,FALSE)</f>
        <v>1.5586226552622361E-5</v>
      </c>
      <c r="AA145" s="30">
        <f t="shared" si="29"/>
        <v>3.0216394822960213</v>
      </c>
      <c r="AB145" s="30">
        <f t="shared" si="30"/>
        <v>2.8194094299208681</v>
      </c>
      <c r="AC145" s="30">
        <f t="shared" si="31"/>
        <v>2.6307140809156158</v>
      </c>
      <c r="AD145" s="30">
        <f t="shared" si="32"/>
        <v>1.9940482143192007</v>
      </c>
      <c r="AE145" s="30">
        <f t="shared" si="33"/>
        <v>1.3159175025103322</v>
      </c>
      <c r="AF145" s="32" t="str">
        <f t="shared" si="27"/>
        <v>2D6+1</v>
      </c>
      <c r="AG145" s="33" t="str">
        <f t="shared" si="34"/>
        <v>-</v>
      </c>
      <c r="AH145" s="33" t="str">
        <f t="shared" si="35"/>
        <v>-</v>
      </c>
      <c r="AI145" s="33" t="str">
        <f t="shared" si="36"/>
        <v>-</v>
      </c>
      <c r="AJ145" s="33" t="str">
        <f t="shared" si="37"/>
        <v>-</v>
      </c>
      <c r="AK145">
        <v>1977</v>
      </c>
    </row>
    <row r="146" spans="1:37">
      <c r="A146" t="s">
        <v>577</v>
      </c>
      <c r="B146" t="s">
        <v>336</v>
      </c>
      <c r="C146" t="s">
        <v>681</v>
      </c>
      <c r="D146" t="s">
        <v>681</v>
      </c>
      <c r="F146" t="s">
        <v>182</v>
      </c>
      <c r="G146" t="s">
        <v>79</v>
      </c>
      <c r="H146">
        <v>2.88</v>
      </c>
      <c r="I146">
        <v>8.9</v>
      </c>
      <c r="J146" s="9">
        <v>15</v>
      </c>
      <c r="K146" s="9">
        <v>30</v>
      </c>
      <c r="L146" s="9">
        <v>90</v>
      </c>
      <c r="M146" s="10">
        <v>180</v>
      </c>
      <c r="N146" s="10">
        <v>1</v>
      </c>
      <c r="O146" s="10">
        <v>2</v>
      </c>
      <c r="P146" s="19">
        <v>30</v>
      </c>
      <c r="Q146" s="22" t="s">
        <v>733</v>
      </c>
      <c r="R146">
        <v>3</v>
      </c>
      <c r="S146" s="26">
        <f>VLOOKUP($F146,Munition!$B:$P,10,FALSE)</f>
        <v>4.5</v>
      </c>
      <c r="T146" s="26">
        <f>VLOOKUP($F146,Munition!$B:$P,11,FALSE)</f>
        <v>450</v>
      </c>
      <c r="U146" s="28">
        <f t="shared" si="26"/>
        <v>533.65045861625697</v>
      </c>
      <c r="V146" s="26">
        <f>VLOOKUP($F146,Munition!$B:$P,5,FALSE)</f>
        <v>6.75</v>
      </c>
      <c r="W146" s="30">
        <f t="shared" si="28"/>
        <v>961.14199043702718</v>
      </c>
      <c r="X146" s="26">
        <f>VLOOKUP($F146,Munition!$B:$P,15,FALSE)</f>
        <v>106.1032953945969</v>
      </c>
      <c r="Y146" s="26">
        <f>VLOOKUP($F146,Munition!$B:$P,9,FALSE)</f>
        <v>1</v>
      </c>
      <c r="Z146" s="26">
        <f>VLOOKUP($F146,Munition!$B:$P,14,FALSE)</f>
        <v>1.5586226552622361E-5</v>
      </c>
      <c r="AA146" s="30">
        <f t="shared" si="29"/>
        <v>3.0216394822960213</v>
      </c>
      <c r="AB146" s="30">
        <f t="shared" si="30"/>
        <v>2.8194094299208681</v>
      </c>
      <c r="AC146" s="30">
        <f t="shared" si="31"/>
        <v>2.6307140809156158</v>
      </c>
      <c r="AD146" s="30">
        <f t="shared" si="32"/>
        <v>1.9940482143192007</v>
      </c>
      <c r="AE146" s="30">
        <f t="shared" si="33"/>
        <v>1.3159175025103322</v>
      </c>
      <c r="AF146" s="32" t="str">
        <f t="shared" si="27"/>
        <v>2D6+1</v>
      </c>
      <c r="AG146" s="33" t="str">
        <f t="shared" si="34"/>
        <v>-</v>
      </c>
      <c r="AH146" s="33" t="str">
        <f t="shared" si="35"/>
        <v>-</v>
      </c>
      <c r="AI146" s="33" t="str">
        <f t="shared" si="36"/>
        <v>-</v>
      </c>
      <c r="AJ146" s="33" t="str">
        <f t="shared" si="37"/>
        <v>-</v>
      </c>
      <c r="AK146">
        <v>1977</v>
      </c>
    </row>
    <row r="147" spans="1:37">
      <c r="A147" t="s">
        <v>577</v>
      </c>
      <c r="B147" t="s">
        <v>337</v>
      </c>
      <c r="C147" t="s">
        <v>681</v>
      </c>
      <c r="D147" t="s">
        <v>681</v>
      </c>
      <c r="F147" t="s">
        <v>182</v>
      </c>
      <c r="G147" t="s">
        <v>79</v>
      </c>
      <c r="H147">
        <v>2</v>
      </c>
      <c r="I147">
        <v>4.5</v>
      </c>
      <c r="J147" s="9">
        <v>5</v>
      </c>
      <c r="K147" s="9">
        <v>10</v>
      </c>
      <c r="L147" s="9">
        <v>30</v>
      </c>
      <c r="M147" s="10">
        <v>60</v>
      </c>
      <c r="N147" s="10">
        <v>2</v>
      </c>
      <c r="O147" s="10">
        <v>3</v>
      </c>
      <c r="P147" s="18">
        <v>30</v>
      </c>
      <c r="Q147" s="22" t="s">
        <v>708</v>
      </c>
      <c r="R147">
        <v>10</v>
      </c>
      <c r="S147" s="26">
        <f>VLOOKUP($F147,Munition!$B:$P,10,FALSE)</f>
        <v>4.5</v>
      </c>
      <c r="T147" s="26">
        <f>VLOOKUP($F147,Munition!$B:$P,11,FALSE)</f>
        <v>450</v>
      </c>
      <c r="U147" s="28">
        <f t="shared" si="26"/>
        <v>450</v>
      </c>
      <c r="V147" s="26">
        <f>VLOOKUP($F147,Munition!$B:$P,5,FALSE)</f>
        <v>6.75</v>
      </c>
      <c r="W147" s="30">
        <f t="shared" si="28"/>
        <v>683.4375</v>
      </c>
      <c r="X147" s="26">
        <f>VLOOKUP($F147,Munition!$B:$P,15,FALSE)</f>
        <v>106.1032953945969</v>
      </c>
      <c r="Y147" s="26">
        <f>VLOOKUP($F147,Munition!$B:$P,9,FALSE)</f>
        <v>1</v>
      </c>
      <c r="Z147" s="26">
        <f>VLOOKUP($F147,Munition!$B:$P,14,FALSE)</f>
        <v>1.5586226552622361E-5</v>
      </c>
      <c r="AA147" s="30">
        <f t="shared" si="29"/>
        <v>2.1485917317405869</v>
      </c>
      <c r="AB147" s="30">
        <f t="shared" si="30"/>
        <v>2.0995476421615873</v>
      </c>
      <c r="AC147" s="30">
        <f t="shared" si="31"/>
        <v>2.0516230406114677</v>
      </c>
      <c r="AD147" s="30">
        <f t="shared" si="32"/>
        <v>1.8706171123147532</v>
      </c>
      <c r="AE147" s="30">
        <f t="shared" si="33"/>
        <v>1.6286055322618491</v>
      </c>
      <c r="AF147" s="32" t="str">
        <f t="shared" si="27"/>
        <v>2D6</v>
      </c>
      <c r="AG147" s="33" t="str">
        <f t="shared" si="34"/>
        <v>-</v>
      </c>
      <c r="AH147" s="33" t="str">
        <f t="shared" si="35"/>
        <v>-</v>
      </c>
      <c r="AI147" s="33" t="str">
        <f t="shared" si="36"/>
        <v>-</v>
      </c>
      <c r="AJ147" s="33" t="str">
        <f t="shared" si="37"/>
        <v>-</v>
      </c>
      <c r="AK147">
        <v>1976</v>
      </c>
    </row>
    <row r="148" spans="1:37">
      <c r="A148" t="s">
        <v>577</v>
      </c>
      <c r="B148" t="s">
        <v>338</v>
      </c>
      <c r="C148" t="s">
        <v>681</v>
      </c>
      <c r="D148" t="s">
        <v>681</v>
      </c>
      <c r="F148" t="s">
        <v>182</v>
      </c>
      <c r="G148" t="s">
        <v>79</v>
      </c>
      <c r="H148">
        <v>3.1</v>
      </c>
      <c r="I148">
        <v>5.7</v>
      </c>
      <c r="J148" s="9">
        <v>15</v>
      </c>
      <c r="K148" s="9">
        <v>30</v>
      </c>
      <c r="L148" s="9">
        <v>90</v>
      </c>
      <c r="M148" s="10">
        <v>180</v>
      </c>
      <c r="N148" s="10">
        <v>1</v>
      </c>
      <c r="O148" s="10">
        <v>2</v>
      </c>
      <c r="P148" s="19">
        <v>30</v>
      </c>
      <c r="Q148" s="22" t="s">
        <v>733</v>
      </c>
      <c r="R148">
        <v>3</v>
      </c>
      <c r="S148" s="26">
        <f>VLOOKUP($F148,Munition!$B:$P,10,FALSE)</f>
        <v>4.5</v>
      </c>
      <c r="T148" s="26">
        <f>VLOOKUP($F148,Munition!$B:$P,11,FALSE)</f>
        <v>450</v>
      </c>
      <c r="U148" s="28">
        <f t="shared" si="26"/>
        <v>477.39525627912434</v>
      </c>
      <c r="V148" s="26">
        <f>VLOOKUP($F148,Munition!$B:$P,5,FALSE)</f>
        <v>6.75</v>
      </c>
      <c r="W148" s="30">
        <f t="shared" si="28"/>
        <v>769.18352867261149</v>
      </c>
      <c r="X148" s="26">
        <f>VLOOKUP($F148,Munition!$B:$P,15,FALSE)</f>
        <v>106.1032953945969</v>
      </c>
      <c r="Y148" s="26">
        <f>VLOOKUP($F148,Munition!$B:$P,9,FALSE)</f>
        <v>1</v>
      </c>
      <c r="Z148" s="26">
        <f>VLOOKUP($F148,Munition!$B:$P,14,FALSE)</f>
        <v>1.5586226552622361E-5</v>
      </c>
      <c r="AA148" s="30">
        <f t="shared" si="29"/>
        <v>2.4181602120121028</v>
      </c>
      <c r="AB148" s="30">
        <f t="shared" si="30"/>
        <v>2.2563193738869907</v>
      </c>
      <c r="AC148" s="30">
        <f t="shared" si="31"/>
        <v>2.1053100996735368</v>
      </c>
      <c r="AD148" s="30">
        <f t="shared" si="32"/>
        <v>1.5957985990560617</v>
      </c>
      <c r="AE148" s="30">
        <f t="shared" si="33"/>
        <v>1.0531035768843193</v>
      </c>
      <c r="AF148" s="32" t="str">
        <f t="shared" si="27"/>
        <v>2D6</v>
      </c>
      <c r="AG148" s="33" t="str">
        <f t="shared" si="34"/>
        <v>-</v>
      </c>
      <c r="AH148" s="33" t="str">
        <f t="shared" si="35"/>
        <v>-</v>
      </c>
      <c r="AI148" s="33" t="str">
        <f t="shared" si="36"/>
        <v>-</v>
      </c>
      <c r="AJ148" s="33" t="str">
        <f t="shared" si="37"/>
        <v>-</v>
      </c>
      <c r="AK148">
        <v>1974</v>
      </c>
    </row>
    <row r="149" spans="1:37">
      <c r="A149" t="s">
        <v>577</v>
      </c>
      <c r="B149" t="s">
        <v>339</v>
      </c>
      <c r="C149" t="s">
        <v>681</v>
      </c>
      <c r="D149" t="s">
        <v>681</v>
      </c>
      <c r="F149" t="s">
        <v>182</v>
      </c>
      <c r="G149" t="s">
        <v>79</v>
      </c>
      <c r="H149">
        <v>3.4</v>
      </c>
      <c r="I149">
        <v>5.7</v>
      </c>
      <c r="J149" s="9">
        <v>15</v>
      </c>
      <c r="K149" s="9">
        <v>30</v>
      </c>
      <c r="L149" s="9">
        <v>90</v>
      </c>
      <c r="M149" s="10">
        <v>180</v>
      </c>
      <c r="N149" s="10">
        <v>1</v>
      </c>
      <c r="O149" s="10">
        <v>3</v>
      </c>
      <c r="P149" s="18">
        <v>30</v>
      </c>
      <c r="Q149" s="22" t="s">
        <v>709</v>
      </c>
      <c r="R149">
        <v>10</v>
      </c>
      <c r="S149" s="26">
        <f>VLOOKUP($F149,Munition!$B:$P,10,FALSE)</f>
        <v>4.5</v>
      </c>
      <c r="T149" s="26">
        <f>VLOOKUP($F149,Munition!$B:$P,11,FALSE)</f>
        <v>450</v>
      </c>
      <c r="U149" s="28">
        <f t="shared" si="26"/>
        <v>477.39525627912434</v>
      </c>
      <c r="V149" s="26">
        <f>VLOOKUP($F149,Munition!$B:$P,5,FALSE)</f>
        <v>6.75</v>
      </c>
      <c r="W149" s="30">
        <f t="shared" si="28"/>
        <v>769.18352867261149</v>
      </c>
      <c r="X149" s="26">
        <f>VLOOKUP($F149,Munition!$B:$P,15,FALSE)</f>
        <v>106.1032953945969</v>
      </c>
      <c r="Y149" s="26">
        <f>VLOOKUP($F149,Munition!$B:$P,9,FALSE)</f>
        <v>1</v>
      </c>
      <c r="Z149" s="26">
        <f>VLOOKUP($F149,Munition!$B:$P,14,FALSE)</f>
        <v>1.5586226552622361E-5</v>
      </c>
      <c r="AA149" s="30">
        <f t="shared" si="29"/>
        <v>2.4181602120121028</v>
      </c>
      <c r="AB149" s="30">
        <f t="shared" si="30"/>
        <v>2.2563193738869907</v>
      </c>
      <c r="AC149" s="30">
        <f t="shared" si="31"/>
        <v>2.1053100996735368</v>
      </c>
      <c r="AD149" s="30">
        <f t="shared" si="32"/>
        <v>1.5957985990560617</v>
      </c>
      <c r="AE149" s="30">
        <f t="shared" si="33"/>
        <v>1.0531035768843193</v>
      </c>
      <c r="AF149" s="32" t="str">
        <f t="shared" si="27"/>
        <v>2D6</v>
      </c>
      <c r="AG149" s="33" t="str">
        <f t="shared" si="34"/>
        <v>-</v>
      </c>
      <c r="AH149" s="33" t="str">
        <f t="shared" si="35"/>
        <v>-</v>
      </c>
      <c r="AI149" s="33" t="str">
        <f t="shared" si="36"/>
        <v>-</v>
      </c>
      <c r="AJ149" s="33" t="str">
        <f t="shared" si="37"/>
        <v>-</v>
      </c>
      <c r="AK149">
        <v>1974</v>
      </c>
    </row>
    <row r="150" spans="1:37">
      <c r="A150" t="s">
        <v>577</v>
      </c>
      <c r="B150" t="s">
        <v>340</v>
      </c>
      <c r="C150" t="s">
        <v>681</v>
      </c>
      <c r="D150" t="s">
        <v>681</v>
      </c>
      <c r="F150" t="s">
        <v>106</v>
      </c>
      <c r="G150" t="s">
        <v>208</v>
      </c>
      <c r="H150">
        <v>2.88</v>
      </c>
      <c r="I150">
        <v>8.9</v>
      </c>
      <c r="J150" s="9">
        <v>15</v>
      </c>
      <c r="K150" s="9">
        <v>30</v>
      </c>
      <c r="L150" s="9">
        <v>90</v>
      </c>
      <c r="M150" s="10">
        <v>180</v>
      </c>
      <c r="N150" s="10">
        <v>1</v>
      </c>
      <c r="O150" s="10">
        <v>2</v>
      </c>
      <c r="P150" s="19">
        <v>30</v>
      </c>
      <c r="Q150" s="22" t="s">
        <v>733</v>
      </c>
      <c r="R150">
        <v>3</v>
      </c>
      <c r="S150" s="26">
        <f>VLOOKUP($F150,Munition!$B:$P,10,FALSE)</f>
        <v>4.2</v>
      </c>
      <c r="T150" s="26">
        <f>VLOOKUP($F150,Munition!$B:$P,11,FALSE)</f>
        <v>340</v>
      </c>
      <c r="U150" s="28">
        <f t="shared" si="26"/>
        <v>410.21741739372311</v>
      </c>
      <c r="V150" s="26">
        <f>VLOOKUP($F150,Munition!$B:$P,5,FALSE)</f>
        <v>11.7</v>
      </c>
      <c r="W150" s="30">
        <f t="shared" si="28"/>
        <v>984.42822776907963</v>
      </c>
      <c r="X150" s="26">
        <f>VLOOKUP($F150,Munition!$B:$P,15,FALSE)</f>
        <v>148.96902673401402</v>
      </c>
      <c r="Y150" s="26">
        <f>VLOOKUP($F150,Munition!$B:$P,9,FALSE)</f>
        <v>1</v>
      </c>
      <c r="Z150" s="26">
        <f>VLOOKUP($F150,Munition!$B:$P,14,FALSE)</f>
        <v>1.9242255003237486E-5</v>
      </c>
      <c r="AA150" s="30">
        <f t="shared" si="29"/>
        <v>2.5068258970982922</v>
      </c>
      <c r="AB150" s="30">
        <f t="shared" si="30"/>
        <v>2.3861429996178112</v>
      </c>
      <c r="AC150" s="30">
        <f t="shared" si="31"/>
        <v>2.2712699837733634</v>
      </c>
      <c r="AD150" s="30">
        <f t="shared" si="32"/>
        <v>1.8644809021370898</v>
      </c>
      <c r="AE150" s="30">
        <f t="shared" si="33"/>
        <v>1.3867293450485807</v>
      </c>
      <c r="AF150" s="32" t="str">
        <f t="shared" si="27"/>
        <v>2D6+1</v>
      </c>
      <c r="AG150" s="33" t="str">
        <f t="shared" si="34"/>
        <v>-</v>
      </c>
      <c r="AH150" s="33" t="str">
        <f t="shared" si="35"/>
        <v>-</v>
      </c>
      <c r="AI150" s="33" t="str">
        <f t="shared" si="36"/>
        <v>-</v>
      </c>
      <c r="AJ150" s="33" t="str">
        <f t="shared" si="37"/>
        <v>-</v>
      </c>
      <c r="AK150">
        <v>1997</v>
      </c>
    </row>
    <row r="151" spans="1:37">
      <c r="A151" t="s">
        <v>577</v>
      </c>
      <c r="B151" t="s">
        <v>341</v>
      </c>
      <c r="C151" t="s">
        <v>681</v>
      </c>
      <c r="D151" t="s">
        <v>681</v>
      </c>
      <c r="F151" t="s">
        <v>153</v>
      </c>
      <c r="G151" t="s">
        <v>153</v>
      </c>
      <c r="H151">
        <v>2.86</v>
      </c>
      <c r="I151">
        <v>7.1</v>
      </c>
      <c r="J151" s="9">
        <v>15</v>
      </c>
      <c r="K151" s="9">
        <v>30</v>
      </c>
      <c r="L151" s="9">
        <v>90</v>
      </c>
      <c r="M151" s="10">
        <v>180</v>
      </c>
      <c r="N151" s="10">
        <v>1</v>
      </c>
      <c r="O151" s="10">
        <v>2</v>
      </c>
      <c r="P151" s="19">
        <v>40</v>
      </c>
      <c r="Q151" s="22" t="s">
        <v>742</v>
      </c>
      <c r="R151">
        <v>3</v>
      </c>
      <c r="S151" s="26">
        <f>VLOOKUP($F151,Munition!$B:$P,10,FALSE)</f>
        <v>7</v>
      </c>
      <c r="T151" s="26">
        <f>VLOOKUP($F151,Munition!$B:$P,11,FALSE)</f>
        <v>725</v>
      </c>
      <c r="U151" s="28">
        <f t="shared" si="26"/>
        <v>727.57552901066697</v>
      </c>
      <c r="V151" s="26">
        <f>VLOOKUP($F151,Munition!$B:$P,5,FALSE)</f>
        <v>1.6</v>
      </c>
      <c r="W151" s="30">
        <f t="shared" si="28"/>
        <v>423.49292033212151</v>
      </c>
      <c r="X151" s="26">
        <f>VLOOKUP($F151,Munition!$B:$P,15,FALSE)</f>
        <v>96.275201870333674</v>
      </c>
      <c r="Y151" s="26">
        <f>VLOOKUP($F151,Munition!$B:$P,9,FALSE)</f>
        <v>1</v>
      </c>
      <c r="Z151" s="26">
        <f>VLOOKUP($F151,Munition!$B:$P,14,FALSE)</f>
        <v>2.5447882241781567E-6</v>
      </c>
      <c r="AA151" s="30">
        <f t="shared" si="29"/>
        <v>5.0964832994540163</v>
      </c>
      <c r="AB151" s="30">
        <f t="shared" si="30"/>
        <v>4.8590161228115081</v>
      </c>
      <c r="AC151" s="30">
        <f t="shared" si="31"/>
        <v>4.6326135679227116</v>
      </c>
      <c r="AD151" s="30">
        <f t="shared" si="32"/>
        <v>3.8276922562704883</v>
      </c>
      <c r="AE151" s="30">
        <f t="shared" si="33"/>
        <v>2.8747721022224542</v>
      </c>
      <c r="AF151" s="32" t="str">
        <f t="shared" si="27"/>
        <v>1D6+2</v>
      </c>
      <c r="AG151" s="33" t="str">
        <f t="shared" si="34"/>
        <v>-</v>
      </c>
      <c r="AH151" s="33" t="str">
        <f t="shared" si="35"/>
        <v>-</v>
      </c>
      <c r="AI151" s="33" t="str">
        <f t="shared" si="36"/>
        <v>-</v>
      </c>
      <c r="AJ151" s="33" t="str">
        <f t="shared" si="37"/>
        <v>-</v>
      </c>
      <c r="AK151">
        <v>2001</v>
      </c>
    </row>
    <row r="152" spans="1:37">
      <c r="A152" t="s">
        <v>571</v>
      </c>
      <c r="B152" t="s">
        <v>342</v>
      </c>
      <c r="C152" t="s">
        <v>681</v>
      </c>
      <c r="D152" t="s">
        <v>681</v>
      </c>
      <c r="F152" t="s">
        <v>182</v>
      </c>
      <c r="G152" t="s">
        <v>79</v>
      </c>
      <c r="H152">
        <v>0.72</v>
      </c>
      <c r="I152">
        <v>3.7</v>
      </c>
      <c r="J152" s="9">
        <v>5</v>
      </c>
      <c r="K152" s="9">
        <v>10</v>
      </c>
      <c r="L152" s="9">
        <v>30</v>
      </c>
      <c r="M152" s="10">
        <v>60</v>
      </c>
      <c r="N152" s="10">
        <v>4</v>
      </c>
      <c r="O152" s="10"/>
      <c r="P152" s="18">
        <v>13</v>
      </c>
      <c r="Q152" s="22" t="s">
        <v>701</v>
      </c>
      <c r="R152">
        <v>1</v>
      </c>
      <c r="S152" s="26">
        <f>VLOOKUP($F152,Munition!$B:$P,10,FALSE)</f>
        <v>4.5</v>
      </c>
      <c r="T152" s="26">
        <f>VLOOKUP($F152,Munition!$B:$P,11,FALSE)</f>
        <v>450</v>
      </c>
      <c r="U152" s="28">
        <f t="shared" si="26"/>
        <v>428.50887023249413</v>
      </c>
      <c r="V152" s="26">
        <f>VLOOKUP($F152,Munition!$B:$P,5,FALSE)</f>
        <v>6.75</v>
      </c>
      <c r="W152" s="30">
        <f t="shared" si="28"/>
        <v>619.71700005425862</v>
      </c>
      <c r="X152" s="26">
        <f>VLOOKUP($F152,Munition!$B:$P,15,FALSE)</f>
        <v>106.1032953945969</v>
      </c>
      <c r="Y152" s="26">
        <f>VLOOKUP($F152,Munition!$B:$P,9,FALSE)</f>
        <v>1</v>
      </c>
      <c r="Z152" s="26">
        <f>VLOOKUP($F152,Munition!$B:$P,14,FALSE)</f>
        <v>1.5586226552622361E-5</v>
      </c>
      <c r="AA152" s="30">
        <f t="shared" si="29"/>
        <v>1.9482671383054939</v>
      </c>
      <c r="AB152" s="30">
        <f t="shared" si="30"/>
        <v>1.9037956891030581</v>
      </c>
      <c r="AC152" s="30">
        <f t="shared" si="31"/>
        <v>1.8603393521279346</v>
      </c>
      <c r="AD152" s="30">
        <f t="shared" si="32"/>
        <v>1.6962095657523313</v>
      </c>
      <c r="AE152" s="30">
        <f t="shared" si="33"/>
        <v>1.4767620078281956</v>
      </c>
      <c r="AF152" s="32" t="str">
        <f t="shared" si="27"/>
        <v>2D6</v>
      </c>
      <c r="AG152" s="33" t="str">
        <f t="shared" si="34"/>
        <v>-</v>
      </c>
      <c r="AH152" s="33" t="str">
        <f t="shared" si="35"/>
        <v>-</v>
      </c>
      <c r="AI152" s="33" t="str">
        <f t="shared" si="36"/>
        <v>-</v>
      </c>
      <c r="AJ152" s="33" t="str">
        <f t="shared" si="37"/>
        <v>-</v>
      </c>
      <c r="AK152">
        <v>2001</v>
      </c>
    </row>
    <row r="153" spans="1:37">
      <c r="A153" t="s">
        <v>571</v>
      </c>
      <c r="B153" t="s">
        <v>343</v>
      </c>
      <c r="C153" t="s">
        <v>681</v>
      </c>
      <c r="D153" t="s">
        <v>681</v>
      </c>
      <c r="F153" t="s">
        <v>73</v>
      </c>
      <c r="G153" t="s">
        <v>74</v>
      </c>
      <c r="H153">
        <v>0.52</v>
      </c>
      <c r="I153">
        <v>4.0999999999999996</v>
      </c>
      <c r="J153" s="9">
        <v>5</v>
      </c>
      <c r="K153" s="9">
        <v>10</v>
      </c>
      <c r="L153" s="9">
        <v>30</v>
      </c>
      <c r="M153" s="10">
        <v>60</v>
      </c>
      <c r="N153" s="10">
        <v>3</v>
      </c>
      <c r="O153" s="10"/>
      <c r="P153" s="18">
        <v>7</v>
      </c>
      <c r="Q153" s="22" t="s">
        <v>701</v>
      </c>
      <c r="R153">
        <v>1</v>
      </c>
      <c r="S153" s="26">
        <f>VLOOKUP($F153,Munition!$B:$P,10,FALSE)</f>
        <v>3.7</v>
      </c>
      <c r="T153" s="26">
        <f>VLOOKUP($F153,Munition!$B:$P,11,FALSE)</f>
        <v>297</v>
      </c>
      <c r="U153" s="28">
        <f t="shared" si="26"/>
        <v>304.72071766135224</v>
      </c>
      <c r="V153" s="26">
        <f>VLOOKUP($F153,Munition!$B:$P,5,FALSE)</f>
        <v>5.68</v>
      </c>
      <c r="W153" s="30">
        <f t="shared" si="28"/>
        <v>263.70739279262068</v>
      </c>
      <c r="X153" s="26">
        <f>VLOOKUP($F153,Munition!$B:$P,15,FALSE)</f>
        <v>89.283958198712639</v>
      </c>
      <c r="Y153" s="26">
        <f>VLOOKUP($F153,Munition!$B:$P,9,FALSE)</f>
        <v>1</v>
      </c>
      <c r="Z153" s="26">
        <f>VLOOKUP($F153,Munition!$B:$P,14,FALSE)</f>
        <v>1.5586226552622361E-5</v>
      </c>
      <c r="AA153" s="30">
        <f t="shared" si="29"/>
        <v>0.82904365615450148</v>
      </c>
      <c r="AB153" s="30">
        <f t="shared" si="30"/>
        <v>0.80660354326278116</v>
      </c>
      <c r="AC153" s="30">
        <f t="shared" si="31"/>
        <v>0.78477082741566129</v>
      </c>
      <c r="AD153" s="30">
        <f t="shared" si="32"/>
        <v>0.70319172364461702</v>
      </c>
      <c r="AE153" s="30">
        <f t="shared" si="33"/>
        <v>0.59644458591712057</v>
      </c>
      <c r="AF153" s="32" t="str">
        <f t="shared" si="27"/>
        <v>1D6+1</v>
      </c>
      <c r="AG153" s="33" t="str">
        <f t="shared" si="34"/>
        <v>-</v>
      </c>
      <c r="AH153" s="33" t="str">
        <f t="shared" si="35"/>
        <v>-</v>
      </c>
      <c r="AI153" s="33" t="str">
        <f t="shared" si="36"/>
        <v>-</v>
      </c>
      <c r="AJ153" s="33" t="str">
        <f t="shared" si="37"/>
        <v>-</v>
      </c>
      <c r="AK153">
        <v>1979</v>
      </c>
    </row>
    <row r="154" spans="1:37">
      <c r="A154" t="s">
        <v>571</v>
      </c>
      <c r="B154" t="s">
        <v>344</v>
      </c>
      <c r="C154" t="s">
        <v>681</v>
      </c>
      <c r="D154" t="s">
        <v>681</v>
      </c>
      <c r="F154" t="s">
        <v>182</v>
      </c>
      <c r="G154" t="s">
        <v>79</v>
      </c>
      <c r="H154">
        <v>0.88</v>
      </c>
      <c r="I154">
        <v>4</v>
      </c>
      <c r="J154" s="9">
        <v>5</v>
      </c>
      <c r="K154" s="9">
        <v>10</v>
      </c>
      <c r="L154" s="9">
        <v>30</v>
      </c>
      <c r="M154" s="10">
        <v>60</v>
      </c>
      <c r="N154" s="10">
        <v>3</v>
      </c>
      <c r="O154" s="10"/>
      <c r="P154" s="18">
        <v>9</v>
      </c>
      <c r="Q154" s="22" t="s">
        <v>701</v>
      </c>
      <c r="R154">
        <v>1</v>
      </c>
      <c r="S154" s="26">
        <f>VLOOKUP($F154,Munition!$B:$P,10,FALSE)</f>
        <v>4.5</v>
      </c>
      <c r="T154" s="26">
        <f>VLOOKUP($F154,Munition!$B:$P,11,FALSE)</f>
        <v>450</v>
      </c>
      <c r="U154" s="28">
        <f t="shared" si="26"/>
        <v>436.94259453659112</v>
      </c>
      <c r="V154" s="26">
        <f>VLOOKUP($F154,Munition!$B:$P,5,FALSE)</f>
        <v>6.75</v>
      </c>
      <c r="W154" s="30">
        <f t="shared" si="28"/>
        <v>644.35105435624143</v>
      </c>
      <c r="X154" s="26">
        <f>VLOOKUP($F154,Munition!$B:$P,15,FALSE)</f>
        <v>106.1032953945969</v>
      </c>
      <c r="Y154" s="26">
        <f>VLOOKUP($F154,Munition!$B:$P,9,FALSE)</f>
        <v>1</v>
      </c>
      <c r="Z154" s="26">
        <f>VLOOKUP($F154,Munition!$B:$P,14,FALSE)</f>
        <v>1.5586226552622361E-5</v>
      </c>
      <c r="AA154" s="30">
        <f t="shared" si="29"/>
        <v>2.0257117113534884</v>
      </c>
      <c r="AB154" s="30">
        <f t="shared" si="30"/>
        <v>1.9794725002622475</v>
      </c>
      <c r="AC154" s="30">
        <f t="shared" si="31"/>
        <v>1.9342887526065766</v>
      </c>
      <c r="AD154" s="30">
        <f t="shared" si="32"/>
        <v>1.7636347268284795</v>
      </c>
      <c r="AE154" s="30">
        <f t="shared" si="33"/>
        <v>1.53546402098704</v>
      </c>
      <c r="AF154" s="32" t="str">
        <f t="shared" si="27"/>
        <v>2D6</v>
      </c>
      <c r="AG154" s="33" t="str">
        <f t="shared" si="34"/>
        <v>-</v>
      </c>
      <c r="AH154" s="33" t="str">
        <f t="shared" si="35"/>
        <v>-</v>
      </c>
      <c r="AI154" s="33" t="str">
        <f t="shared" si="36"/>
        <v>-</v>
      </c>
      <c r="AJ154" s="33" t="str">
        <f t="shared" si="37"/>
        <v>-</v>
      </c>
      <c r="AK154">
        <v>1969</v>
      </c>
    </row>
    <row r="155" spans="1:37">
      <c r="A155" t="s">
        <v>572</v>
      </c>
      <c r="B155" t="s">
        <v>345</v>
      </c>
      <c r="C155" t="s">
        <v>681</v>
      </c>
      <c r="D155" t="s">
        <v>681</v>
      </c>
      <c r="F155" t="s">
        <v>51</v>
      </c>
      <c r="G155" t="s">
        <v>52</v>
      </c>
      <c r="H155">
        <v>8.1</v>
      </c>
      <c r="I155">
        <v>25.6</v>
      </c>
      <c r="J155" s="9">
        <v>58</v>
      </c>
      <c r="K155" s="9">
        <v>116</v>
      </c>
      <c r="L155" s="9">
        <v>348</v>
      </c>
      <c r="M155" s="10">
        <v>696</v>
      </c>
      <c r="N155" s="10">
        <v>1</v>
      </c>
      <c r="O155" s="10"/>
      <c r="P155" s="18">
        <v>10</v>
      </c>
      <c r="Q155" s="22" t="s">
        <v>704</v>
      </c>
      <c r="R155">
        <v>1</v>
      </c>
      <c r="S155" s="26">
        <f>VLOOKUP($F155,Munition!$B:$P,10,FALSE)</f>
        <v>22</v>
      </c>
      <c r="T155" s="26">
        <f>VLOOKUP($F155,Munition!$B:$P,11,FALSE)</f>
        <v>832</v>
      </c>
      <c r="U155" s="28">
        <f t="shared" si="26"/>
        <v>864.12714397246464</v>
      </c>
      <c r="V155" s="26">
        <f>VLOOKUP($F155,Munition!$B:$P,5,FALSE)</f>
        <v>9.4499999999999993</v>
      </c>
      <c r="W155" s="30">
        <f t="shared" si="28"/>
        <v>3528.2317814887906</v>
      </c>
      <c r="X155" s="26">
        <f>VLOOKUP($F155,Munition!$B:$P,15,FALSE)</f>
        <v>207.22015034594844</v>
      </c>
      <c r="Y155" s="26">
        <f>VLOOKUP($F155,Munition!$B:$P,9,FALSE)</f>
        <v>1</v>
      </c>
      <c r="Z155" s="26">
        <f>VLOOKUP($F155,Munition!$B:$P,14,FALSE)</f>
        <v>6.9830624463123905E-6</v>
      </c>
      <c r="AA155" s="30">
        <f t="shared" si="29"/>
        <v>15.473454396094406</v>
      </c>
      <c r="AB155" s="30">
        <f t="shared" si="30"/>
        <v>14.202356774840146</v>
      </c>
      <c r="AC155" s="30">
        <f t="shared" si="31"/>
        <v>13.035675990408443</v>
      </c>
      <c r="AD155" s="30">
        <f t="shared" si="32"/>
        <v>9.2517973876348361</v>
      </c>
      <c r="AE155" s="30">
        <f t="shared" si="33"/>
        <v>5.531780603783707</v>
      </c>
      <c r="AF155" s="32" t="str">
        <f t="shared" si="27"/>
        <v>4D6+2</v>
      </c>
      <c r="AG155" s="33" t="str">
        <f t="shared" si="34"/>
        <v>2</v>
      </c>
      <c r="AH155" s="33" t="str">
        <f t="shared" si="35"/>
        <v>2+1</v>
      </c>
      <c r="AI155" s="33" t="str">
        <f t="shared" si="36"/>
        <v>2+1</v>
      </c>
      <c r="AJ155" s="33" t="str">
        <f t="shared" si="37"/>
        <v>3+2</v>
      </c>
      <c r="AK155">
        <v>1972</v>
      </c>
    </row>
    <row r="156" spans="1:37">
      <c r="A156" t="s">
        <v>571</v>
      </c>
      <c r="B156" t="s">
        <v>346</v>
      </c>
      <c r="C156" t="s">
        <v>681</v>
      </c>
      <c r="D156" t="s">
        <v>681</v>
      </c>
      <c r="F156" t="s">
        <v>182</v>
      </c>
      <c r="G156" t="s">
        <v>79</v>
      </c>
      <c r="H156">
        <v>0.64500000000000002</v>
      </c>
      <c r="I156">
        <v>4.4000000000000004</v>
      </c>
      <c r="J156" s="9">
        <v>5</v>
      </c>
      <c r="K156" s="9">
        <v>10</v>
      </c>
      <c r="L156" s="9">
        <v>30</v>
      </c>
      <c r="M156" s="10">
        <v>60</v>
      </c>
      <c r="N156" s="10">
        <v>4</v>
      </c>
      <c r="O156" s="10"/>
      <c r="P156" s="18">
        <v>13</v>
      </c>
      <c r="Q156" s="22" t="s">
        <v>701</v>
      </c>
      <c r="R156">
        <v>1</v>
      </c>
      <c r="S156" s="26">
        <f>VLOOKUP($F156,Munition!$B:$P,10,FALSE)</f>
        <v>4.5</v>
      </c>
      <c r="T156" s="26">
        <f>VLOOKUP($F156,Munition!$B:$P,11,FALSE)</f>
        <v>450</v>
      </c>
      <c r="U156" s="28">
        <f t="shared" si="26"/>
        <v>447.47889240899724</v>
      </c>
      <c r="V156" s="26">
        <f>VLOOKUP($F156,Munition!$B:$P,5,FALSE)</f>
        <v>6.75</v>
      </c>
      <c r="W156" s="30">
        <f t="shared" si="28"/>
        <v>675.8010871365924</v>
      </c>
      <c r="X156" s="26">
        <f>VLOOKUP($F156,Munition!$B:$P,15,FALSE)</f>
        <v>106.1032953945969</v>
      </c>
      <c r="Y156" s="26">
        <f>VLOOKUP($F156,Munition!$B:$P,9,FALSE)</f>
        <v>1</v>
      </c>
      <c r="Z156" s="26">
        <f>VLOOKUP($F156,Munition!$B:$P,14,FALSE)</f>
        <v>1.5586226552622361E-5</v>
      </c>
      <c r="AA156" s="30">
        <f t="shared" si="29"/>
        <v>2.1245843667094393</v>
      </c>
      <c r="AB156" s="30">
        <f t="shared" si="30"/>
        <v>2.0760882729845385</v>
      </c>
      <c r="AC156" s="30">
        <f t="shared" si="31"/>
        <v>2.0286991586497831</v>
      </c>
      <c r="AD156" s="30">
        <f t="shared" si="32"/>
        <v>1.849715706437858</v>
      </c>
      <c r="AE156" s="30">
        <f t="shared" si="33"/>
        <v>1.6104082512581275</v>
      </c>
      <c r="AF156" s="32" t="str">
        <f t="shared" si="27"/>
        <v>2D6</v>
      </c>
      <c r="AG156" s="33" t="str">
        <f t="shared" si="34"/>
        <v>-</v>
      </c>
      <c r="AH156" s="33" t="str">
        <f t="shared" si="35"/>
        <v>-</v>
      </c>
      <c r="AI156" s="33" t="str">
        <f t="shared" si="36"/>
        <v>-</v>
      </c>
      <c r="AJ156" s="33" t="str">
        <f t="shared" si="37"/>
        <v>-</v>
      </c>
      <c r="AK156">
        <v>1993</v>
      </c>
    </row>
    <row r="157" spans="1:37">
      <c r="A157" t="s">
        <v>575</v>
      </c>
      <c r="B157" t="s">
        <v>347</v>
      </c>
      <c r="C157" t="s">
        <v>681</v>
      </c>
      <c r="D157" t="s">
        <v>681</v>
      </c>
      <c r="F157" t="s">
        <v>10</v>
      </c>
      <c r="G157" t="s">
        <v>11</v>
      </c>
      <c r="H157">
        <v>2.6589999999999998</v>
      </c>
      <c r="I157">
        <v>14.5</v>
      </c>
      <c r="J157" s="9">
        <v>50</v>
      </c>
      <c r="K157" s="9">
        <v>100</v>
      </c>
      <c r="L157" s="9">
        <v>300</v>
      </c>
      <c r="M157" s="10">
        <v>600</v>
      </c>
      <c r="N157" s="10">
        <v>2</v>
      </c>
      <c r="O157" s="10">
        <v>3</v>
      </c>
      <c r="P157" s="19">
        <v>30</v>
      </c>
      <c r="Q157" s="22" t="s">
        <v>719</v>
      </c>
      <c r="R157">
        <v>3</v>
      </c>
      <c r="S157" s="26">
        <f>VLOOKUP($F157,Munition!$B:$P,10,FALSE)</f>
        <v>20</v>
      </c>
      <c r="T157" s="26">
        <f>VLOOKUP($F157,Munition!$B:$P,11,FALSE)</f>
        <v>878</v>
      </c>
      <c r="U157" s="28">
        <f t="shared" si="26"/>
        <v>810.17533532287962</v>
      </c>
      <c r="V157" s="26">
        <f>VLOOKUP($F157,Munition!$B:$P,5,FALSE)</f>
        <v>3.56</v>
      </c>
      <c r="W157" s="30">
        <f t="shared" si="28"/>
        <v>1168.3636516586619</v>
      </c>
      <c r="X157" s="26">
        <f>VLOOKUP($F157,Munition!$B:$P,15,FALSE)</f>
        <v>146.62584685242678</v>
      </c>
      <c r="Y157" s="26">
        <f>VLOOKUP($F157,Munition!$B:$P,9,FALSE)</f>
        <v>1</v>
      </c>
      <c r="Z157" s="26">
        <f>VLOOKUP($F157,Munition!$B:$P,14,FALSE)</f>
        <v>3.7177960891755132E-6</v>
      </c>
      <c r="AA157" s="30">
        <f t="shared" si="29"/>
        <v>9.6242870705643284</v>
      </c>
      <c r="AB157" s="30">
        <f t="shared" si="30"/>
        <v>8.6699006565209764</v>
      </c>
      <c r="AC157" s="30">
        <f t="shared" si="31"/>
        <v>7.8101553749201855</v>
      </c>
      <c r="AD157" s="30">
        <f t="shared" si="32"/>
        <v>5.1433003268307687</v>
      </c>
      <c r="AE157" s="30">
        <f t="shared" si="33"/>
        <v>2.7486231507874548</v>
      </c>
      <c r="AF157" s="32" t="str">
        <f t="shared" si="27"/>
        <v>2D6+2</v>
      </c>
      <c r="AG157" s="33" t="str">
        <f t="shared" si="34"/>
        <v>2</v>
      </c>
      <c r="AH157" s="33" t="str">
        <f t="shared" si="35"/>
        <v>2</v>
      </c>
      <c r="AI157" s="33" t="str">
        <f t="shared" si="36"/>
        <v>2+1</v>
      </c>
      <c r="AJ157" s="33" t="str">
        <f t="shared" si="37"/>
        <v>-</v>
      </c>
      <c r="AK157">
        <v>2003</v>
      </c>
    </row>
    <row r="158" spans="1:37">
      <c r="A158" t="s">
        <v>571</v>
      </c>
      <c r="B158" t="s">
        <v>348</v>
      </c>
      <c r="C158" t="s">
        <v>681</v>
      </c>
      <c r="D158" t="s">
        <v>681</v>
      </c>
      <c r="F158" t="s">
        <v>26</v>
      </c>
      <c r="G158" t="s">
        <v>27</v>
      </c>
      <c r="H158">
        <v>0.48</v>
      </c>
      <c r="I158">
        <v>4</v>
      </c>
      <c r="J158" s="9">
        <v>4</v>
      </c>
      <c r="K158" s="9">
        <v>8</v>
      </c>
      <c r="L158" s="9">
        <v>24</v>
      </c>
      <c r="M158" s="10">
        <v>48</v>
      </c>
      <c r="N158" s="10">
        <v>2</v>
      </c>
      <c r="O158" s="10"/>
      <c r="P158" s="18">
        <v>7</v>
      </c>
      <c r="Q158" s="22" t="s">
        <v>701</v>
      </c>
      <c r="R158">
        <v>1</v>
      </c>
      <c r="S158" s="26">
        <f>VLOOKUP($F158,Munition!$B:$P,10,FALSE)</f>
        <v>4</v>
      </c>
      <c r="T158" s="26">
        <f>VLOOKUP($F158,Munition!$B:$P,11,FALSE)</f>
        <v>250</v>
      </c>
      <c r="U158" s="28">
        <f t="shared" si="26"/>
        <v>250</v>
      </c>
      <c r="V158" s="26">
        <f>VLOOKUP($F158,Munition!$B:$P,5,FALSE)</f>
        <v>3.23</v>
      </c>
      <c r="W158" s="30">
        <f t="shared" si="28"/>
        <v>100.9375</v>
      </c>
      <c r="X158" s="26">
        <f>VLOOKUP($F158,Munition!$B:$P,15,FALSE)</f>
        <v>101.99178447503442</v>
      </c>
      <c r="Y158" s="26">
        <f>VLOOKUP($F158,Munition!$B:$P,9,FALSE)</f>
        <v>1</v>
      </c>
      <c r="Z158" s="26">
        <f>VLOOKUP($F158,Munition!$B:$P,14,FALSE)</f>
        <v>8.7288280578904889E-6</v>
      </c>
      <c r="AA158" s="30">
        <f t="shared" si="29"/>
        <v>0.63744865296896525</v>
      </c>
      <c r="AB158" s="30">
        <f t="shared" si="30"/>
        <v>0.6238153062897368</v>
      </c>
      <c r="AC158" s="30">
        <f t="shared" si="31"/>
        <v>0.61047354096503847</v>
      </c>
      <c r="AD158" s="30">
        <f t="shared" si="32"/>
        <v>0.55989955364756083</v>
      </c>
      <c r="AE158" s="30">
        <f t="shared" si="33"/>
        <v>0.49178472448666433</v>
      </c>
      <c r="AF158" s="32">
        <f t="shared" si="27"/>
        <v>2</v>
      </c>
      <c r="AG158" s="33" t="str">
        <f t="shared" si="34"/>
        <v>-</v>
      </c>
      <c r="AH158" s="33" t="str">
        <f t="shared" si="35"/>
        <v>-</v>
      </c>
      <c r="AI158" s="33" t="str">
        <f t="shared" si="36"/>
        <v>-</v>
      </c>
      <c r="AJ158" s="33" t="str">
        <f t="shared" si="37"/>
        <v>-</v>
      </c>
      <c r="AK158">
        <v>1968</v>
      </c>
    </row>
    <row r="159" spans="1:37">
      <c r="A159" t="s">
        <v>578</v>
      </c>
      <c r="B159" t="s">
        <v>349</v>
      </c>
      <c r="C159" t="s">
        <v>681</v>
      </c>
      <c r="D159" t="s">
        <v>681</v>
      </c>
      <c r="F159" t="s">
        <v>17</v>
      </c>
      <c r="H159">
        <v>1.3</v>
      </c>
      <c r="I159">
        <v>4.5</v>
      </c>
      <c r="J159" s="9">
        <v>3</v>
      </c>
      <c r="K159" s="9">
        <v>6</v>
      </c>
      <c r="L159" s="9">
        <v>18</v>
      </c>
      <c r="M159" s="10">
        <v>36</v>
      </c>
      <c r="N159" s="10">
        <v>1</v>
      </c>
      <c r="O159" s="10"/>
      <c r="P159" s="18">
        <v>10</v>
      </c>
      <c r="Q159" s="22" t="s">
        <v>701</v>
      </c>
      <c r="R159">
        <v>1</v>
      </c>
      <c r="S159" s="26">
        <f>VLOOKUP($F159,Munition!$B:$P,10,FALSE)</f>
        <v>16</v>
      </c>
      <c r="T159" s="26">
        <f>VLOOKUP($F159,Munition!$B:$P,11,FALSE)</f>
        <v>345</v>
      </c>
      <c r="U159" s="28">
        <f t="shared" si="26"/>
        <v>251.24199185853988</v>
      </c>
      <c r="V159" s="26">
        <f>VLOOKUP($F159,Munition!$B:$P,5,FALSE)</f>
        <v>2.59</v>
      </c>
      <c r="W159" s="30">
        <f t="shared" si="28"/>
        <v>81.743687322595363</v>
      </c>
      <c r="X159" s="26">
        <f>VLOOKUP($F159,Munition!$B:$P,15,FALSE)</f>
        <v>106.67442228870374</v>
      </c>
      <c r="Y159" s="26">
        <f>VLOOKUP($F159,Munition!$B:$P,9,FALSE)</f>
        <v>1</v>
      </c>
      <c r="Z159" s="26">
        <f>VLOOKUP($F159,Munition!$B:$P,14,FALSE)</f>
        <v>5.204914524845718E-6</v>
      </c>
      <c r="AA159" s="30">
        <f t="shared" si="29"/>
        <v>0.67335603250087228</v>
      </c>
      <c r="AB159" s="30">
        <f t="shared" si="30"/>
        <v>0.6652856489685226</v>
      </c>
      <c r="AC159" s="30">
        <f t="shared" si="31"/>
        <v>0.65731199151749642</v>
      </c>
      <c r="AD159" s="30">
        <f t="shared" si="32"/>
        <v>0.626361644097432</v>
      </c>
      <c r="AE159" s="30">
        <f t="shared" si="33"/>
        <v>0.58264705484157042</v>
      </c>
      <c r="AF159" s="32">
        <f t="shared" si="27"/>
        <v>2</v>
      </c>
      <c r="AG159" s="33" t="str">
        <f t="shared" si="34"/>
        <v>-</v>
      </c>
      <c r="AH159" s="33" t="str">
        <f t="shared" si="35"/>
        <v>-</v>
      </c>
      <c r="AI159" s="33" t="str">
        <f t="shared" si="36"/>
        <v>-</v>
      </c>
      <c r="AJ159" s="33" t="str">
        <f t="shared" si="37"/>
        <v>-</v>
      </c>
      <c r="AK159">
        <v>1944</v>
      </c>
    </row>
    <row r="160" spans="1:37">
      <c r="A160" t="s">
        <v>571</v>
      </c>
      <c r="B160" t="s">
        <v>350</v>
      </c>
      <c r="C160" t="s">
        <v>681</v>
      </c>
      <c r="D160" t="s">
        <v>681</v>
      </c>
      <c r="F160" t="s">
        <v>23</v>
      </c>
      <c r="G160" t="s">
        <v>18</v>
      </c>
      <c r="H160">
        <v>0.31</v>
      </c>
      <c r="I160">
        <v>3</v>
      </c>
      <c r="J160" s="9">
        <v>2</v>
      </c>
      <c r="K160" s="9">
        <v>4</v>
      </c>
      <c r="L160" s="9">
        <v>12</v>
      </c>
      <c r="M160" s="10">
        <v>24</v>
      </c>
      <c r="N160" s="10">
        <v>5</v>
      </c>
      <c r="O160" s="10"/>
      <c r="P160" s="18">
        <v>2</v>
      </c>
      <c r="Q160" s="22" t="s">
        <v>701</v>
      </c>
      <c r="R160">
        <v>1</v>
      </c>
      <c r="S160" s="26">
        <f>VLOOKUP($F160,Munition!$B:$P,10,FALSE)</f>
        <v>16</v>
      </c>
      <c r="T160" s="26">
        <f>VLOOKUP($F160,Munition!$B:$P,11,FALSE)</f>
        <v>360</v>
      </c>
      <c r="U160" s="28">
        <f t="shared" si="26"/>
        <v>236.89332233144862</v>
      </c>
      <c r="V160" s="26">
        <f>VLOOKUP($F160,Munition!$B:$P,5,FALSE)</f>
        <v>2.58</v>
      </c>
      <c r="W160" s="30">
        <f t="shared" si="28"/>
        <v>72.392795553148787</v>
      </c>
      <c r="X160" s="26">
        <f>VLOOKUP($F160,Munition!$B:$P,15,FALSE)</f>
        <v>106.26255193237671</v>
      </c>
      <c r="Y160" s="26">
        <f>VLOOKUP($F160,Munition!$B:$P,9,FALSE)</f>
        <v>1</v>
      </c>
      <c r="Z160" s="26">
        <f>VLOOKUP($F160,Munition!$B:$P,14,FALSE)</f>
        <v>5.204914524845718E-6</v>
      </c>
      <c r="AA160" s="30">
        <f t="shared" si="29"/>
        <v>0.59632892999972098</v>
      </c>
      <c r="AB160" s="30">
        <f t="shared" si="30"/>
        <v>0.59153613729321608</v>
      </c>
      <c r="AC160" s="30">
        <f t="shared" si="31"/>
        <v>0.58678186504207042</v>
      </c>
      <c r="AD160" s="30">
        <f t="shared" si="32"/>
        <v>0.56814382589181744</v>
      </c>
      <c r="AE160" s="30">
        <f t="shared" si="33"/>
        <v>0.54129087263826481</v>
      </c>
      <c r="AF160" s="32">
        <f t="shared" si="27"/>
        <v>2</v>
      </c>
      <c r="AG160" s="33" t="str">
        <f t="shared" si="34"/>
        <v>-</v>
      </c>
      <c r="AH160" s="33" t="str">
        <f t="shared" si="35"/>
        <v>-</v>
      </c>
      <c r="AI160" s="33" t="str">
        <f t="shared" si="36"/>
        <v>-</v>
      </c>
      <c r="AJ160" s="33" t="str">
        <f t="shared" si="37"/>
        <v>-</v>
      </c>
      <c r="AK160">
        <v>1960</v>
      </c>
    </row>
    <row r="161" spans="1:37">
      <c r="A161" t="s">
        <v>577</v>
      </c>
      <c r="B161" t="s">
        <v>351</v>
      </c>
      <c r="C161" t="s">
        <v>681</v>
      </c>
      <c r="D161" t="s">
        <v>681</v>
      </c>
      <c r="F161" t="s">
        <v>182</v>
      </c>
      <c r="G161" t="s">
        <v>79</v>
      </c>
      <c r="H161">
        <v>2.7</v>
      </c>
      <c r="I161">
        <v>20</v>
      </c>
      <c r="J161" s="9">
        <v>15</v>
      </c>
      <c r="K161" s="9">
        <v>30</v>
      </c>
      <c r="L161" s="9">
        <v>90</v>
      </c>
      <c r="M161" s="10">
        <v>180</v>
      </c>
      <c r="N161" s="10"/>
      <c r="O161" s="10">
        <v>3</v>
      </c>
      <c r="P161" s="18">
        <v>32</v>
      </c>
      <c r="Q161" s="22">
        <v>50</v>
      </c>
      <c r="R161">
        <v>10</v>
      </c>
      <c r="S161" s="26">
        <f>VLOOKUP($F161,Munition!$B:$P,10,FALSE)</f>
        <v>4.5</v>
      </c>
      <c r="T161" s="26">
        <f>VLOOKUP($F161,Munition!$B:$P,11,FALSE)</f>
        <v>450</v>
      </c>
      <c r="U161" s="28">
        <f t="shared" si="26"/>
        <v>653.3815762039294</v>
      </c>
      <c r="V161" s="26">
        <f>VLOOKUP($F161,Munition!$B:$P,5,FALSE)</f>
        <v>6.75</v>
      </c>
      <c r="W161" s="30">
        <f t="shared" si="28"/>
        <v>1440.8127589142177</v>
      </c>
      <c r="X161" s="26">
        <f>VLOOKUP($F161,Munition!$B:$P,15,FALSE)</f>
        <v>106.1032953945969</v>
      </c>
      <c r="Y161" s="26">
        <f>VLOOKUP($F161,Munition!$B:$P,9,FALSE)</f>
        <v>1</v>
      </c>
      <c r="Z161" s="26">
        <f>VLOOKUP($F161,Munition!$B:$P,14,FALSE)</f>
        <v>1.5586226552622361E-5</v>
      </c>
      <c r="AA161" s="30">
        <f t="shared" si="29"/>
        <v>4.5296290894038327</v>
      </c>
      <c r="AB161" s="30">
        <f t="shared" si="30"/>
        <v>4.2264734239588932</v>
      </c>
      <c r="AC161" s="30">
        <f t="shared" si="31"/>
        <v>3.9436071366677523</v>
      </c>
      <c r="AD161" s="30">
        <f t="shared" si="32"/>
        <v>2.9892046520357032</v>
      </c>
      <c r="AE161" s="30">
        <f t="shared" si="33"/>
        <v>1.9726437364715697</v>
      </c>
      <c r="AF161" s="32" t="str">
        <f t="shared" si="27"/>
        <v>3D6</v>
      </c>
      <c r="AG161" s="33" t="str">
        <f t="shared" si="34"/>
        <v>-</v>
      </c>
      <c r="AH161" s="33" t="str">
        <f t="shared" si="35"/>
        <v>-</v>
      </c>
      <c r="AI161" s="33" t="str">
        <f t="shared" si="36"/>
        <v>-</v>
      </c>
      <c r="AJ161" s="33" t="str">
        <f t="shared" si="37"/>
        <v>-</v>
      </c>
      <c r="AK161">
        <v>1975</v>
      </c>
    </row>
    <row r="162" spans="1:37">
      <c r="A162" t="s">
        <v>582</v>
      </c>
      <c r="B162" t="s">
        <v>352</v>
      </c>
      <c r="C162" t="s">
        <v>681</v>
      </c>
      <c r="D162" t="s">
        <v>681</v>
      </c>
      <c r="F162" t="s">
        <v>353</v>
      </c>
      <c r="G162" t="s">
        <v>70</v>
      </c>
      <c r="H162">
        <v>25.3</v>
      </c>
      <c r="I162">
        <v>31</v>
      </c>
      <c r="J162" s="9">
        <v>100</v>
      </c>
      <c r="K162" s="9">
        <v>200</v>
      </c>
      <c r="L162" s="9">
        <v>600</v>
      </c>
      <c r="M162" s="10">
        <v>1200</v>
      </c>
      <c r="N162" s="10"/>
      <c r="O162" s="10">
        <v>5</v>
      </c>
      <c r="P162" s="18">
        <v>250</v>
      </c>
      <c r="Q162" s="22">
        <v>50</v>
      </c>
      <c r="R162">
        <v>10</v>
      </c>
      <c r="S162" s="26">
        <f>VLOOKUP($F162,Munition!$B:$P,10,FALSE)</f>
        <v>24</v>
      </c>
      <c r="T162" s="26">
        <f>VLOOKUP($F162,Munition!$B:$P,11,FALSE)</f>
        <v>735</v>
      </c>
      <c r="U162" s="28">
        <f t="shared" si="26"/>
        <v>783.56486155977029</v>
      </c>
      <c r="V162" s="26">
        <f>VLOOKUP($F162,Munition!$B:$P,5,FALSE)</f>
        <v>12.5</v>
      </c>
      <c r="W162" s="30">
        <f t="shared" si="28"/>
        <v>3837.3368266948878</v>
      </c>
      <c r="X162" s="26">
        <f>VLOOKUP($F162,Munition!$B:$P,15,FALSE)</f>
        <v>248.67959858108651</v>
      </c>
      <c r="Y162" s="26">
        <f>VLOOKUP($F162,Munition!$B:$P,9,FALSE)</f>
        <v>1</v>
      </c>
      <c r="Z162" s="26">
        <f>VLOOKUP($F162,Munition!$B:$P,14,FALSE)</f>
        <v>9.2362824015539926E-6</v>
      </c>
      <c r="AA162" s="30">
        <f t="shared" si="29"/>
        <v>15.268278106926479</v>
      </c>
      <c r="AB162" s="30">
        <f t="shared" si="30"/>
        <v>13.170728526036383</v>
      </c>
      <c r="AC162" s="30">
        <f t="shared" si="31"/>
        <v>11.361339418349639</v>
      </c>
      <c r="AD162" s="30">
        <f t="shared" si="32"/>
        <v>6.2908376854871415</v>
      </c>
      <c r="AE162" s="30">
        <f t="shared" si="33"/>
        <v>2.591951660036381</v>
      </c>
      <c r="AF162" s="32" t="str">
        <f t="shared" si="27"/>
        <v>5D6</v>
      </c>
      <c r="AG162" s="33" t="str">
        <f t="shared" si="34"/>
        <v>2+1</v>
      </c>
      <c r="AH162" s="33" t="str">
        <f t="shared" si="35"/>
        <v>2+2</v>
      </c>
      <c r="AI162" s="33" t="str">
        <f t="shared" si="36"/>
        <v>3</v>
      </c>
      <c r="AJ162" s="33" t="str">
        <f t="shared" si="37"/>
        <v>-</v>
      </c>
      <c r="AK162">
        <v>1914</v>
      </c>
    </row>
    <row r="163" spans="1:37">
      <c r="A163" t="s">
        <v>571</v>
      </c>
      <c r="B163" t="s">
        <v>354</v>
      </c>
      <c r="C163" t="s">
        <v>681</v>
      </c>
      <c r="D163" t="s">
        <v>681</v>
      </c>
      <c r="F163" t="s">
        <v>108</v>
      </c>
      <c r="G163" t="s">
        <v>103</v>
      </c>
      <c r="H163">
        <v>0.94</v>
      </c>
      <c r="I163">
        <v>5</v>
      </c>
      <c r="J163" s="9">
        <v>6</v>
      </c>
      <c r="K163" s="9">
        <v>12</v>
      </c>
      <c r="L163" s="9">
        <v>36</v>
      </c>
      <c r="M163" s="10">
        <v>72</v>
      </c>
      <c r="N163" s="10">
        <v>3</v>
      </c>
      <c r="O163" s="10"/>
      <c r="P163" s="18">
        <v>8</v>
      </c>
      <c r="Q163" s="22" t="s">
        <v>701</v>
      </c>
      <c r="R163">
        <v>1</v>
      </c>
      <c r="S163" s="26">
        <f>VLOOKUP($F163,Munition!$B:$P,10,FALSE)</f>
        <v>5</v>
      </c>
      <c r="T163" s="26">
        <f>VLOOKUP($F163,Munition!$B:$P,11,FALSE)</f>
        <v>285</v>
      </c>
      <c r="U163" s="28">
        <f t="shared" si="26"/>
        <v>285</v>
      </c>
      <c r="V163" s="26">
        <f>VLOOKUP($F163,Munition!$B:$P,5,FALSE)</f>
        <v>14.84</v>
      </c>
      <c r="W163" s="30">
        <f t="shared" si="28"/>
        <v>602.68949999999995</v>
      </c>
      <c r="X163" s="26">
        <f>VLOOKUP($F163,Munition!$B:$P,15,FALSE)</f>
        <v>144.62772633198708</v>
      </c>
      <c r="Y163" s="26">
        <f>VLOOKUP($F163,Munition!$B:$P,9,FALSE)</f>
        <v>1</v>
      </c>
      <c r="Z163" s="26">
        <f>VLOOKUP($F163,Munition!$B:$P,14,FALSE)</f>
        <v>2.8281402907565187E-5</v>
      </c>
      <c r="AA163" s="30">
        <f t="shared" si="29"/>
        <v>1.1747387071315649</v>
      </c>
      <c r="AB163" s="30">
        <f t="shared" si="30"/>
        <v>1.1481784005530764</v>
      </c>
      <c r="AC163" s="30">
        <f t="shared" si="31"/>
        <v>1.1222186103968874</v>
      </c>
      <c r="AD163" s="30">
        <f t="shared" si="32"/>
        <v>1.0241176291409599</v>
      </c>
      <c r="AE163" s="30">
        <f t="shared" si="33"/>
        <v>0.89280868328435747</v>
      </c>
      <c r="AF163" s="32" t="str">
        <f t="shared" si="27"/>
        <v>2D6</v>
      </c>
      <c r="AG163" s="33" t="str">
        <f t="shared" si="34"/>
        <v>-</v>
      </c>
      <c r="AH163" s="33" t="str">
        <f t="shared" si="35"/>
        <v>-</v>
      </c>
      <c r="AI163" s="33" t="str">
        <f t="shared" si="36"/>
        <v>-</v>
      </c>
      <c r="AJ163" s="33" t="str">
        <f t="shared" si="37"/>
        <v>-</v>
      </c>
      <c r="AK163">
        <v>1990</v>
      </c>
    </row>
    <row r="164" spans="1:37">
      <c r="A164" t="s">
        <v>571</v>
      </c>
      <c r="B164" t="s">
        <v>355</v>
      </c>
      <c r="C164" t="s">
        <v>681</v>
      </c>
      <c r="D164" t="s">
        <v>681</v>
      </c>
      <c r="F164" t="s">
        <v>182</v>
      </c>
      <c r="G164" t="s">
        <v>79</v>
      </c>
      <c r="H164">
        <v>0.94</v>
      </c>
      <c r="I164">
        <v>4.25</v>
      </c>
      <c r="J164" s="9">
        <v>7</v>
      </c>
      <c r="K164" s="9">
        <v>14</v>
      </c>
      <c r="L164" s="9">
        <v>42</v>
      </c>
      <c r="M164" s="10">
        <v>84</v>
      </c>
      <c r="N164" s="10">
        <v>3</v>
      </c>
      <c r="O164" s="10"/>
      <c r="P164" s="18">
        <v>12</v>
      </c>
      <c r="Q164" s="22" t="s">
        <v>701</v>
      </c>
      <c r="R164">
        <v>1</v>
      </c>
      <c r="S164" s="26">
        <f>VLOOKUP($F164,Munition!$B:$P,10,FALSE)</f>
        <v>4.5</v>
      </c>
      <c r="T164" s="26">
        <f>VLOOKUP($F164,Munition!$B:$P,11,FALSE)</f>
        <v>450</v>
      </c>
      <c r="U164" s="28">
        <f t="shared" si="26"/>
        <v>443.61540375761172</v>
      </c>
      <c r="V164" s="26">
        <f>VLOOKUP($F164,Munition!$B:$P,5,FALSE)</f>
        <v>6.75</v>
      </c>
      <c r="W164" s="30">
        <f t="shared" si="28"/>
        <v>664.18186427222236</v>
      </c>
      <c r="X164" s="26">
        <f>VLOOKUP($F164,Munition!$B:$P,15,FALSE)</f>
        <v>106.1032953945969</v>
      </c>
      <c r="Y164" s="26">
        <f>VLOOKUP($F164,Munition!$B:$P,9,FALSE)</f>
        <v>1</v>
      </c>
      <c r="Z164" s="26">
        <f>VLOOKUP($F164,Munition!$B:$P,14,FALSE)</f>
        <v>1.5586226552622361E-5</v>
      </c>
      <c r="AA164" s="30">
        <f t="shared" si="29"/>
        <v>2.0880558382402863</v>
      </c>
      <c r="AB164" s="30">
        <f t="shared" si="30"/>
        <v>2.021634663899682</v>
      </c>
      <c r="AC164" s="30">
        <f t="shared" si="31"/>
        <v>1.957326350872453</v>
      </c>
      <c r="AD164" s="30">
        <f t="shared" si="32"/>
        <v>1.7199091706724878</v>
      </c>
      <c r="AE164" s="30">
        <f t="shared" si="33"/>
        <v>1.4166707140630206</v>
      </c>
      <c r="AF164" s="32" t="str">
        <f t="shared" si="27"/>
        <v>2D6</v>
      </c>
      <c r="AG164" s="33" t="str">
        <f t="shared" si="34"/>
        <v>-</v>
      </c>
      <c r="AH164" s="33" t="str">
        <f t="shared" si="35"/>
        <v>-</v>
      </c>
      <c r="AI164" s="33" t="str">
        <f t="shared" si="36"/>
        <v>-</v>
      </c>
      <c r="AJ164" s="33" t="str">
        <f t="shared" si="37"/>
        <v>-</v>
      </c>
      <c r="AK164">
        <v>1990</v>
      </c>
    </row>
    <row r="165" spans="1:37">
      <c r="A165" t="s">
        <v>575</v>
      </c>
      <c r="B165" t="s">
        <v>356</v>
      </c>
      <c r="C165" t="s">
        <v>681</v>
      </c>
      <c r="D165" t="s">
        <v>681</v>
      </c>
      <c r="F165" t="s">
        <v>10</v>
      </c>
      <c r="G165" t="s">
        <v>11</v>
      </c>
      <c r="H165">
        <v>4.4000000000000004</v>
      </c>
      <c r="I165">
        <v>17.7</v>
      </c>
      <c r="J165" s="9">
        <v>50</v>
      </c>
      <c r="K165" s="9">
        <v>100</v>
      </c>
      <c r="L165" s="9">
        <v>300</v>
      </c>
      <c r="M165" s="10">
        <v>600</v>
      </c>
      <c r="N165" s="10">
        <v>1</v>
      </c>
      <c r="O165" s="10">
        <v>2</v>
      </c>
      <c r="P165" s="19">
        <v>30</v>
      </c>
      <c r="Q165" s="22" t="s">
        <v>743</v>
      </c>
      <c r="R165">
        <v>8</v>
      </c>
      <c r="S165" s="26">
        <f>VLOOKUP($F165,Munition!$B:$P,10,FALSE)</f>
        <v>20</v>
      </c>
      <c r="T165" s="26">
        <f>VLOOKUP($F165,Munition!$B:$P,11,FALSE)</f>
        <v>878</v>
      </c>
      <c r="U165" s="28">
        <f t="shared" si="26"/>
        <v>851.58956977117407</v>
      </c>
      <c r="V165" s="26">
        <f>VLOOKUP($F165,Munition!$B:$P,5,FALSE)</f>
        <v>3.56</v>
      </c>
      <c r="W165" s="30">
        <f t="shared" si="28"/>
        <v>1290.864535710635</v>
      </c>
      <c r="X165" s="26">
        <f>VLOOKUP($F165,Munition!$B:$P,15,FALSE)</f>
        <v>146.62584685242678</v>
      </c>
      <c r="Y165" s="26">
        <f>VLOOKUP($F165,Munition!$B:$P,9,FALSE)</f>
        <v>1</v>
      </c>
      <c r="Z165" s="26">
        <f>VLOOKUP($F165,Munition!$B:$P,14,FALSE)</f>
        <v>3.7177960891755132E-6</v>
      </c>
      <c r="AA165" s="30">
        <f t="shared" si="29"/>
        <v>10.633376725861604</v>
      </c>
      <c r="AB165" s="30">
        <f t="shared" si="30"/>
        <v>9.5789245666356369</v>
      </c>
      <c r="AC165" s="30">
        <f t="shared" si="31"/>
        <v>8.6290364969516222</v>
      </c>
      <c r="AD165" s="30">
        <f t="shared" si="32"/>
        <v>5.6825663644955924</v>
      </c>
      <c r="AE165" s="30">
        <f t="shared" si="33"/>
        <v>3.0368114776146173</v>
      </c>
      <c r="AF165" s="32" t="str">
        <f t="shared" si="27"/>
        <v>2D6+2</v>
      </c>
      <c r="AG165" s="33" t="str">
        <f t="shared" si="34"/>
        <v>1+2</v>
      </c>
      <c r="AH165" s="33" t="str">
        <f t="shared" si="35"/>
        <v>2</v>
      </c>
      <c r="AI165" s="33" t="str">
        <f t="shared" si="36"/>
        <v>2+1</v>
      </c>
      <c r="AJ165" s="33" t="str">
        <f t="shared" si="37"/>
        <v>-</v>
      </c>
      <c r="AK165">
        <v>1980</v>
      </c>
    </row>
    <row r="166" spans="1:37">
      <c r="A166" t="s">
        <v>577</v>
      </c>
      <c r="B166" t="s">
        <v>357</v>
      </c>
      <c r="C166" t="s">
        <v>681</v>
      </c>
      <c r="D166" t="s">
        <v>681</v>
      </c>
      <c r="F166" t="s">
        <v>10</v>
      </c>
      <c r="G166" t="s">
        <v>11</v>
      </c>
      <c r="H166">
        <v>3.3</v>
      </c>
      <c r="I166">
        <v>14.5</v>
      </c>
      <c r="J166" s="9">
        <v>50</v>
      </c>
      <c r="K166" s="9">
        <v>100</v>
      </c>
      <c r="L166" s="9">
        <v>300</v>
      </c>
      <c r="M166" s="10">
        <v>600</v>
      </c>
      <c r="N166" s="10">
        <v>2</v>
      </c>
      <c r="O166" s="10">
        <v>15</v>
      </c>
      <c r="P166" s="19">
        <v>30</v>
      </c>
      <c r="Q166" s="22" t="s">
        <v>744</v>
      </c>
      <c r="R166">
        <v>15</v>
      </c>
      <c r="S166" s="26">
        <f>VLOOKUP($F166,Munition!$B:$P,10,FALSE)</f>
        <v>20</v>
      </c>
      <c r="T166" s="26">
        <f>VLOOKUP($F166,Munition!$B:$P,11,FALSE)</f>
        <v>878</v>
      </c>
      <c r="U166" s="28">
        <f t="shared" si="26"/>
        <v>810.17533532287962</v>
      </c>
      <c r="V166" s="26">
        <f>VLOOKUP($F166,Munition!$B:$P,5,FALSE)</f>
        <v>3.56</v>
      </c>
      <c r="W166" s="30">
        <f t="shared" si="28"/>
        <v>1168.3636516586619</v>
      </c>
      <c r="X166" s="26">
        <f>VLOOKUP($F166,Munition!$B:$P,15,FALSE)</f>
        <v>146.62584685242678</v>
      </c>
      <c r="Y166" s="26">
        <f>VLOOKUP($F166,Munition!$B:$P,9,FALSE)</f>
        <v>1</v>
      </c>
      <c r="Z166" s="26">
        <f>VLOOKUP($F166,Munition!$B:$P,14,FALSE)</f>
        <v>3.7177960891755132E-6</v>
      </c>
      <c r="AA166" s="30">
        <f t="shared" si="29"/>
        <v>9.6242870705643284</v>
      </c>
      <c r="AB166" s="30">
        <f t="shared" si="30"/>
        <v>8.6699006565209764</v>
      </c>
      <c r="AC166" s="30">
        <f t="shared" si="31"/>
        <v>7.8101553749201855</v>
      </c>
      <c r="AD166" s="30">
        <f t="shared" si="32"/>
        <v>5.1433003268307687</v>
      </c>
      <c r="AE166" s="30">
        <f t="shared" si="33"/>
        <v>2.7486231507874548</v>
      </c>
      <c r="AF166" s="32" t="str">
        <f t="shared" si="27"/>
        <v>2D6+2</v>
      </c>
      <c r="AG166" s="33" t="str">
        <f t="shared" si="34"/>
        <v>2</v>
      </c>
      <c r="AH166" s="33" t="str">
        <f t="shared" si="35"/>
        <v>2</v>
      </c>
      <c r="AI166" s="33" t="str">
        <f t="shared" si="36"/>
        <v>2+1</v>
      </c>
      <c r="AJ166" s="33" t="str">
        <f t="shared" si="37"/>
        <v>-</v>
      </c>
      <c r="AK166">
        <v>1997</v>
      </c>
    </row>
    <row r="167" spans="1:37">
      <c r="A167" t="s">
        <v>577</v>
      </c>
      <c r="B167" t="s">
        <v>358</v>
      </c>
      <c r="C167" t="s">
        <v>681</v>
      </c>
      <c r="D167" t="s">
        <v>681</v>
      </c>
      <c r="F167" t="s">
        <v>182</v>
      </c>
      <c r="G167" t="s">
        <v>79</v>
      </c>
      <c r="H167">
        <v>1</v>
      </c>
      <c r="I167">
        <v>10.199999999999999</v>
      </c>
      <c r="J167" s="9">
        <v>16</v>
      </c>
      <c r="K167" s="9">
        <v>32</v>
      </c>
      <c r="L167" s="9">
        <v>96</v>
      </c>
      <c r="M167" s="10">
        <v>192</v>
      </c>
      <c r="N167" s="10"/>
      <c r="O167" s="10">
        <v>2</v>
      </c>
      <c r="P167" s="18">
        <v>32</v>
      </c>
      <c r="Q167" s="22">
        <v>50</v>
      </c>
      <c r="R167">
        <v>1</v>
      </c>
      <c r="S167" s="26">
        <f>VLOOKUP($F167,Munition!$B:$P,10,FALSE)</f>
        <v>4.5</v>
      </c>
      <c r="T167" s="26">
        <f>VLOOKUP($F167,Munition!$B:$P,11,FALSE)</f>
        <v>450</v>
      </c>
      <c r="U167" s="28">
        <f t="shared" si="26"/>
        <v>552.15298998300977</v>
      </c>
      <c r="V167" s="26">
        <f>VLOOKUP($F167,Munition!$B:$P,5,FALSE)</f>
        <v>6.75</v>
      </c>
      <c r="W167" s="30">
        <f t="shared" si="28"/>
        <v>1028.9461196717245</v>
      </c>
      <c r="X167" s="26">
        <f>VLOOKUP($F167,Munition!$B:$P,15,FALSE)</f>
        <v>106.1032953945969</v>
      </c>
      <c r="Y167" s="26">
        <f>VLOOKUP($F167,Munition!$B:$P,9,FALSE)</f>
        <v>1</v>
      </c>
      <c r="Z167" s="26">
        <f>VLOOKUP($F167,Munition!$B:$P,14,FALSE)</f>
        <v>1.5586226552622361E-5</v>
      </c>
      <c r="AA167" s="30">
        <f t="shared" si="29"/>
        <v>3.234802194982318</v>
      </c>
      <c r="AB167" s="30">
        <f t="shared" si="30"/>
        <v>3.0043989206690784</v>
      </c>
      <c r="AC167" s="30">
        <f t="shared" si="31"/>
        <v>2.7904064392310901</v>
      </c>
      <c r="AD167" s="30">
        <f t="shared" si="32"/>
        <v>2.0763804830664458</v>
      </c>
      <c r="AE167" s="30">
        <f t="shared" si="33"/>
        <v>1.3328035689931306</v>
      </c>
      <c r="AF167" s="32" t="str">
        <f t="shared" si="27"/>
        <v>2D6+2</v>
      </c>
      <c r="AG167" s="33" t="str">
        <f t="shared" si="34"/>
        <v>-</v>
      </c>
      <c r="AH167" s="33" t="str">
        <f t="shared" si="35"/>
        <v>-</v>
      </c>
      <c r="AI167" s="33" t="str">
        <f t="shared" si="36"/>
        <v>-</v>
      </c>
      <c r="AJ167" s="33" t="str">
        <f t="shared" si="37"/>
        <v>-</v>
      </c>
      <c r="AK167">
        <v>1991</v>
      </c>
    </row>
    <row r="168" spans="1:37">
      <c r="A168" t="s">
        <v>577</v>
      </c>
      <c r="B168" t="s">
        <v>359</v>
      </c>
      <c r="C168" t="s">
        <v>681</v>
      </c>
      <c r="D168" t="s">
        <v>681</v>
      </c>
      <c r="F168" t="s">
        <v>182</v>
      </c>
      <c r="G168" t="s">
        <v>79</v>
      </c>
      <c r="H168">
        <v>1.95</v>
      </c>
      <c r="I168">
        <v>7.7</v>
      </c>
      <c r="J168" s="9">
        <v>4</v>
      </c>
      <c r="K168" s="9">
        <v>8</v>
      </c>
      <c r="L168" s="9">
        <v>24</v>
      </c>
      <c r="M168" s="10">
        <v>48</v>
      </c>
      <c r="N168" s="10">
        <v>2</v>
      </c>
      <c r="O168" s="10">
        <v>15</v>
      </c>
      <c r="P168" s="19">
        <v>32</v>
      </c>
      <c r="Q168" s="22" t="s">
        <v>695</v>
      </c>
      <c r="R168">
        <v>10</v>
      </c>
      <c r="S168" s="26">
        <f>VLOOKUP($F168,Munition!$B:$P,10,FALSE)</f>
        <v>4.5</v>
      </c>
      <c r="T168" s="26">
        <f>VLOOKUP($F168,Munition!$B:$P,11,FALSE)</f>
        <v>450</v>
      </c>
      <c r="U168" s="28">
        <f t="shared" si="26"/>
        <v>514.67380713390298</v>
      </c>
      <c r="V168" s="26">
        <f>VLOOKUP($F168,Munition!$B:$P,5,FALSE)</f>
        <v>6.75</v>
      </c>
      <c r="W168" s="30">
        <f t="shared" si="28"/>
        <v>894.00080615525769</v>
      </c>
      <c r="X168" s="26">
        <f>VLOOKUP($F168,Munition!$B:$P,15,FALSE)</f>
        <v>106.1032953945969</v>
      </c>
      <c r="Y168" s="26">
        <f>VLOOKUP($F168,Munition!$B:$P,9,FALSE)</f>
        <v>1</v>
      </c>
      <c r="Z168" s="26">
        <f>VLOOKUP($F168,Munition!$B:$P,14,FALSE)</f>
        <v>1.5586226552622361E-5</v>
      </c>
      <c r="AA168" s="30">
        <f t="shared" si="29"/>
        <v>2.8105609368444164</v>
      </c>
      <c r="AB168" s="30">
        <f t="shared" si="30"/>
        <v>2.7591192604586214</v>
      </c>
      <c r="AC168" s="30">
        <f t="shared" si="31"/>
        <v>2.7086191207015795</v>
      </c>
      <c r="AD168" s="30">
        <f t="shared" si="32"/>
        <v>2.515693965882182</v>
      </c>
      <c r="AE168" s="30">
        <f t="shared" si="33"/>
        <v>2.2517626453179296</v>
      </c>
      <c r="AF168" s="32" t="str">
        <f t="shared" si="27"/>
        <v>2D6+1</v>
      </c>
      <c r="AG168" s="33" t="str">
        <f t="shared" si="34"/>
        <v>-</v>
      </c>
      <c r="AH168" s="33" t="str">
        <f t="shared" si="35"/>
        <v>-</v>
      </c>
      <c r="AI168" s="33" t="str">
        <f t="shared" si="36"/>
        <v>-</v>
      </c>
      <c r="AJ168" s="33" t="str">
        <f t="shared" si="37"/>
        <v>-</v>
      </c>
      <c r="AK168">
        <v>1986</v>
      </c>
    </row>
    <row r="169" spans="1:37">
      <c r="A169" t="s">
        <v>577</v>
      </c>
      <c r="B169" t="s">
        <v>360</v>
      </c>
      <c r="C169" t="s">
        <v>681</v>
      </c>
      <c r="D169" t="s">
        <v>681</v>
      </c>
      <c r="F169" t="s">
        <v>182</v>
      </c>
      <c r="G169" t="s">
        <v>79</v>
      </c>
      <c r="H169">
        <v>2.7</v>
      </c>
      <c r="I169">
        <v>4.5999999999999996</v>
      </c>
      <c r="J169" s="9">
        <v>8</v>
      </c>
      <c r="K169" s="9">
        <v>16</v>
      </c>
      <c r="L169" s="9">
        <v>48</v>
      </c>
      <c r="M169" s="10">
        <v>96</v>
      </c>
      <c r="N169" s="10">
        <v>1</v>
      </c>
      <c r="O169" s="10">
        <v>5</v>
      </c>
      <c r="P169" s="19">
        <v>32</v>
      </c>
      <c r="Q169" s="22" t="s">
        <v>695</v>
      </c>
      <c r="R169">
        <v>10</v>
      </c>
      <c r="S169" s="26">
        <f>VLOOKUP($F169,Munition!$B:$P,10,FALSE)</f>
        <v>4.5</v>
      </c>
      <c r="T169" s="26">
        <f>VLOOKUP($F169,Munition!$B:$P,11,FALSE)</f>
        <v>450</v>
      </c>
      <c r="U169" s="28">
        <f t="shared" si="26"/>
        <v>452.47943267002967</v>
      </c>
      <c r="V169" s="26">
        <f>VLOOKUP($F169,Munition!$B:$P,5,FALSE)</f>
        <v>6.75</v>
      </c>
      <c r="W169" s="30">
        <f t="shared" si="28"/>
        <v>690.98952483919766</v>
      </c>
      <c r="X169" s="26">
        <f>VLOOKUP($F169,Munition!$B:$P,15,FALSE)</f>
        <v>106.1032953945969</v>
      </c>
      <c r="Y169" s="26">
        <f>VLOOKUP($F169,Munition!$B:$P,9,FALSE)</f>
        <v>1</v>
      </c>
      <c r="Z169" s="26">
        <f>VLOOKUP($F169,Munition!$B:$P,14,FALSE)</f>
        <v>1.5586226552622361E-5</v>
      </c>
      <c r="AA169" s="30">
        <f t="shared" si="29"/>
        <v>2.1723337975877195</v>
      </c>
      <c r="AB169" s="30">
        <f t="shared" si="30"/>
        <v>2.0935411090210043</v>
      </c>
      <c r="AC169" s="30">
        <f t="shared" si="31"/>
        <v>2.0176063089511973</v>
      </c>
      <c r="AD169" s="30">
        <f t="shared" si="32"/>
        <v>1.7404284085943831</v>
      </c>
      <c r="AE169" s="30">
        <f t="shared" si="33"/>
        <v>1.3943948433735409</v>
      </c>
      <c r="AF169" s="32" t="str">
        <f t="shared" si="27"/>
        <v>2D6</v>
      </c>
      <c r="AG169" s="33" t="str">
        <f t="shared" si="34"/>
        <v>-</v>
      </c>
      <c r="AH169" s="33" t="str">
        <f t="shared" si="35"/>
        <v>-</v>
      </c>
      <c r="AI169" s="33" t="str">
        <f t="shared" si="36"/>
        <v>-</v>
      </c>
      <c r="AJ169" s="33" t="str">
        <f t="shared" si="37"/>
        <v>-</v>
      </c>
      <c r="AK169">
        <v>1980</v>
      </c>
    </row>
    <row r="170" spans="1:37">
      <c r="A170" t="s">
        <v>577</v>
      </c>
      <c r="B170" t="s">
        <v>361</v>
      </c>
      <c r="C170" t="s">
        <v>681</v>
      </c>
      <c r="D170" t="s">
        <v>681</v>
      </c>
      <c r="F170" t="s">
        <v>182</v>
      </c>
      <c r="G170" t="s">
        <v>79</v>
      </c>
      <c r="H170">
        <v>2.95</v>
      </c>
      <c r="I170">
        <v>13</v>
      </c>
      <c r="J170" s="9">
        <v>11</v>
      </c>
      <c r="K170" s="9">
        <v>22</v>
      </c>
      <c r="L170" s="9">
        <v>66</v>
      </c>
      <c r="M170" s="10">
        <v>132</v>
      </c>
      <c r="N170" s="10">
        <v>1</v>
      </c>
      <c r="O170" s="10">
        <v>5</v>
      </c>
      <c r="P170" s="19">
        <v>30</v>
      </c>
      <c r="Q170" s="22" t="s">
        <v>695</v>
      </c>
      <c r="R170">
        <v>10</v>
      </c>
      <c r="S170" s="26">
        <f>VLOOKUP($F170,Munition!$B:$P,10,FALSE)</f>
        <v>4.5</v>
      </c>
      <c r="T170" s="26">
        <f>VLOOKUP($F170,Munition!$B:$P,11,FALSE)</f>
        <v>450</v>
      </c>
      <c r="U170" s="28">
        <f t="shared" si="26"/>
        <v>586.67181385124763</v>
      </c>
      <c r="V170" s="26">
        <f>VLOOKUP($F170,Munition!$B:$P,5,FALSE)</f>
        <v>6.75</v>
      </c>
      <c r="W170" s="30">
        <f t="shared" si="28"/>
        <v>1161.6203829403562</v>
      </c>
      <c r="X170" s="26">
        <f>VLOOKUP($F170,Munition!$B:$P,15,FALSE)</f>
        <v>106.1032953945969</v>
      </c>
      <c r="Y170" s="26">
        <f>VLOOKUP($F170,Munition!$B:$P,9,FALSE)</f>
        <v>1</v>
      </c>
      <c r="Z170" s="26">
        <f>VLOOKUP($F170,Munition!$B:$P,14,FALSE)</f>
        <v>1.5586226552622361E-5</v>
      </c>
      <c r="AA170" s="30">
        <f t="shared" si="29"/>
        <v>3.6519037222964554</v>
      </c>
      <c r="AB170" s="30">
        <f t="shared" si="30"/>
        <v>3.4710218996128472</v>
      </c>
      <c r="AC170" s="30">
        <f t="shared" si="31"/>
        <v>3.2990993037504679</v>
      </c>
      <c r="AD170" s="30">
        <f t="shared" si="32"/>
        <v>2.6924492470633101</v>
      </c>
      <c r="AE170" s="30">
        <f t="shared" si="33"/>
        <v>1.9850695689899411</v>
      </c>
      <c r="AF170" s="32" t="str">
        <f t="shared" si="27"/>
        <v>2D6+2</v>
      </c>
      <c r="AG170" s="33" t="str">
        <f t="shared" si="34"/>
        <v>-</v>
      </c>
      <c r="AH170" s="33" t="str">
        <f t="shared" si="35"/>
        <v>-</v>
      </c>
      <c r="AI170" s="33" t="str">
        <f t="shared" si="36"/>
        <v>-</v>
      </c>
      <c r="AJ170" s="33" t="str">
        <f t="shared" si="37"/>
        <v>-</v>
      </c>
      <c r="AK170">
        <v>2009</v>
      </c>
    </row>
    <row r="171" spans="1:37">
      <c r="A171" t="s">
        <v>575</v>
      </c>
      <c r="B171" t="s">
        <v>362</v>
      </c>
      <c r="C171" t="s">
        <v>681</v>
      </c>
      <c r="D171" t="s">
        <v>681</v>
      </c>
      <c r="F171" t="s">
        <v>10</v>
      </c>
      <c r="G171" t="s">
        <v>11</v>
      </c>
      <c r="H171">
        <v>3.27</v>
      </c>
      <c r="I171">
        <v>18.100000000000001</v>
      </c>
      <c r="J171" s="9">
        <v>50</v>
      </c>
      <c r="K171" s="9">
        <v>100</v>
      </c>
      <c r="L171" s="9">
        <v>300</v>
      </c>
      <c r="M171" s="10">
        <v>600</v>
      </c>
      <c r="N171" s="10">
        <v>2</v>
      </c>
      <c r="O171" s="10">
        <v>10</v>
      </c>
      <c r="P171" s="19">
        <v>30</v>
      </c>
      <c r="Q171" s="22" t="s">
        <v>695</v>
      </c>
      <c r="R171">
        <v>10</v>
      </c>
      <c r="S171" s="26">
        <f>VLOOKUP($F171,Munition!$B:$P,10,FALSE)</f>
        <v>20</v>
      </c>
      <c r="T171" s="26">
        <f>VLOOKUP($F171,Munition!$B:$P,11,FALSE)</f>
        <v>878</v>
      </c>
      <c r="U171" s="28">
        <f t="shared" si="26"/>
        <v>856.36056634192039</v>
      </c>
      <c r="V171" s="26">
        <f>VLOOKUP($F171,Munition!$B:$P,5,FALSE)</f>
        <v>3.56</v>
      </c>
      <c r="W171" s="30">
        <f t="shared" si="28"/>
        <v>1305.3690868621093</v>
      </c>
      <c r="X171" s="26">
        <f>VLOOKUP($F171,Munition!$B:$P,15,FALSE)</f>
        <v>146.62584685242678</v>
      </c>
      <c r="Y171" s="26">
        <f>VLOOKUP($F171,Munition!$B:$P,9,FALSE)</f>
        <v>1</v>
      </c>
      <c r="Z171" s="26">
        <f>VLOOKUP($F171,Munition!$B:$P,14,FALSE)</f>
        <v>3.7177960891755132E-6</v>
      </c>
      <c r="AA171" s="30">
        <f t="shared" si="29"/>
        <v>10.752856618884033</v>
      </c>
      <c r="AB171" s="30">
        <f t="shared" si="30"/>
        <v>9.6865563107182133</v>
      </c>
      <c r="AC171" s="30">
        <f t="shared" si="31"/>
        <v>8.725995006381174</v>
      </c>
      <c r="AD171" s="30">
        <f t="shared" si="32"/>
        <v>5.7464174288213297</v>
      </c>
      <c r="AE171" s="30">
        <f t="shared" si="33"/>
        <v>3.0709340258727087</v>
      </c>
      <c r="AF171" s="32" t="str">
        <f t="shared" si="27"/>
        <v>3D6</v>
      </c>
      <c r="AG171" s="33" t="str">
        <f t="shared" si="34"/>
        <v>1+2</v>
      </c>
      <c r="AH171" s="33" t="str">
        <f t="shared" si="35"/>
        <v>2</v>
      </c>
      <c r="AI171" s="33" t="str">
        <f t="shared" si="36"/>
        <v>2+1</v>
      </c>
      <c r="AJ171" s="33" t="str">
        <f t="shared" si="37"/>
        <v>-</v>
      </c>
      <c r="AK171">
        <v>2001</v>
      </c>
    </row>
    <row r="172" spans="1:37">
      <c r="A172" t="s">
        <v>575</v>
      </c>
      <c r="B172" t="s">
        <v>363</v>
      </c>
      <c r="C172" t="s">
        <v>681</v>
      </c>
      <c r="D172" t="s">
        <v>681</v>
      </c>
      <c r="F172" t="s">
        <v>10</v>
      </c>
      <c r="G172" t="s">
        <v>11</v>
      </c>
      <c r="H172">
        <v>3.4</v>
      </c>
      <c r="I172">
        <v>16.5</v>
      </c>
      <c r="J172" s="9">
        <v>50</v>
      </c>
      <c r="K172" s="9">
        <v>100</v>
      </c>
      <c r="L172" s="9">
        <v>300</v>
      </c>
      <c r="M172" s="10">
        <v>600</v>
      </c>
      <c r="N172" s="10">
        <v>2</v>
      </c>
      <c r="O172" s="10">
        <v>3</v>
      </c>
      <c r="P172" s="19">
        <v>30</v>
      </c>
      <c r="Q172" s="22" t="s">
        <v>719</v>
      </c>
      <c r="R172">
        <v>3</v>
      </c>
      <c r="S172" s="26">
        <f>VLOOKUP($F172,Munition!$B:$P,10,FALSE)</f>
        <v>20</v>
      </c>
      <c r="T172" s="26">
        <f>VLOOKUP($F172,Munition!$B:$P,11,FALSE)</f>
        <v>878</v>
      </c>
      <c r="U172" s="28">
        <f t="shared" si="26"/>
        <v>836.77366394409614</v>
      </c>
      <c r="V172" s="26">
        <f>VLOOKUP($F172,Munition!$B:$P,5,FALSE)</f>
        <v>3.56</v>
      </c>
      <c r="W172" s="30">
        <f t="shared" si="28"/>
        <v>1246.3384931133603</v>
      </c>
      <c r="X172" s="26">
        <f>VLOOKUP($F172,Munition!$B:$P,15,FALSE)</f>
        <v>146.62584685242678</v>
      </c>
      <c r="Y172" s="26">
        <f>VLOOKUP($F172,Munition!$B:$P,9,FALSE)</f>
        <v>1</v>
      </c>
      <c r="Z172" s="26">
        <f>VLOOKUP($F172,Munition!$B:$P,14,FALSE)</f>
        <v>3.7177960891755132E-6</v>
      </c>
      <c r="AA172" s="30">
        <f t="shared" si="29"/>
        <v>10.266597585254152</v>
      </c>
      <c r="AB172" s="30">
        <f t="shared" si="30"/>
        <v>9.2485168503408346</v>
      </c>
      <c r="AC172" s="30">
        <f t="shared" si="31"/>
        <v>8.3313934554025781</v>
      </c>
      <c r="AD172" s="30">
        <f t="shared" si="32"/>
        <v>5.4865564928105837</v>
      </c>
      <c r="AE172" s="30">
        <f t="shared" si="33"/>
        <v>2.9320621460840837</v>
      </c>
      <c r="AF172" s="32" t="str">
        <f t="shared" si="27"/>
        <v>2D6+2</v>
      </c>
      <c r="AG172" s="33" t="str">
        <f t="shared" si="34"/>
        <v>2</v>
      </c>
      <c r="AH172" s="33" t="str">
        <f t="shared" si="35"/>
        <v>2</v>
      </c>
      <c r="AI172" s="33" t="str">
        <f t="shared" si="36"/>
        <v>2+1</v>
      </c>
      <c r="AJ172" s="33" t="str">
        <f t="shared" si="37"/>
        <v>-</v>
      </c>
      <c r="AK172">
        <v>2009</v>
      </c>
    </row>
    <row r="173" spans="1:37">
      <c r="A173" t="s">
        <v>577</v>
      </c>
      <c r="B173" t="s">
        <v>364</v>
      </c>
      <c r="C173" t="s">
        <v>681</v>
      </c>
      <c r="D173" t="s">
        <v>681</v>
      </c>
      <c r="F173" t="s">
        <v>73</v>
      </c>
      <c r="G173" t="s">
        <v>223</v>
      </c>
      <c r="H173">
        <v>1.59</v>
      </c>
      <c r="I173">
        <v>5</v>
      </c>
      <c r="J173" s="9">
        <v>10</v>
      </c>
      <c r="K173" s="9">
        <v>20</v>
      </c>
      <c r="L173" s="9">
        <v>60</v>
      </c>
      <c r="M173" s="10">
        <v>120</v>
      </c>
      <c r="N173" s="10">
        <v>1</v>
      </c>
      <c r="O173" s="10">
        <v>5</v>
      </c>
      <c r="P173" s="18">
        <v>32</v>
      </c>
      <c r="Q173" s="22" t="s">
        <v>710</v>
      </c>
      <c r="R173">
        <v>15</v>
      </c>
      <c r="S173" s="26">
        <f>VLOOKUP($F173,Munition!$B:$P,10,FALSE)</f>
        <v>3.7</v>
      </c>
      <c r="T173" s="26">
        <f>VLOOKUP($F173,Munition!$B:$P,11,FALSE)</f>
        <v>297</v>
      </c>
      <c r="U173" s="28">
        <f t="shared" si="26"/>
        <v>320.22004880946406</v>
      </c>
      <c r="V173" s="26">
        <f>VLOOKUP($F173,Munition!$B:$P,5,FALSE)</f>
        <v>5.68</v>
      </c>
      <c r="W173" s="30">
        <f t="shared" si="28"/>
        <v>291.21609823308091</v>
      </c>
      <c r="X173" s="26">
        <f>VLOOKUP($F173,Munition!$B:$P,15,FALSE)</f>
        <v>89.283958198712639</v>
      </c>
      <c r="Y173" s="26">
        <f>VLOOKUP($F173,Munition!$B:$P,9,FALSE)</f>
        <v>1</v>
      </c>
      <c r="Z173" s="26">
        <f>VLOOKUP($F173,Munition!$B:$P,14,FALSE)</f>
        <v>1.5586226552622361E-5</v>
      </c>
      <c r="AA173" s="30">
        <f t="shared" si="29"/>
        <v>0.91552556131811957</v>
      </c>
      <c r="AB173" s="30">
        <f t="shared" si="30"/>
        <v>0.86663440090531496</v>
      </c>
      <c r="AC173" s="30">
        <f t="shared" si="31"/>
        <v>0.82035414035976184</v>
      </c>
      <c r="AD173" s="30">
        <f t="shared" si="32"/>
        <v>0.65866285841907535</v>
      </c>
      <c r="AE173" s="30">
        <f t="shared" si="33"/>
        <v>0.47386635544743788</v>
      </c>
      <c r="AF173" s="32" t="str">
        <f t="shared" si="27"/>
        <v>1D6+1</v>
      </c>
      <c r="AG173" s="33" t="str">
        <f t="shared" si="34"/>
        <v>-</v>
      </c>
      <c r="AH173" s="33" t="str">
        <f t="shared" si="35"/>
        <v>-</v>
      </c>
      <c r="AI173" s="33" t="str">
        <f t="shared" si="36"/>
        <v>-</v>
      </c>
      <c r="AJ173" s="33" t="str">
        <f t="shared" si="37"/>
        <v>-</v>
      </c>
      <c r="AK173">
        <v>1972</v>
      </c>
    </row>
    <row r="174" spans="1:37">
      <c r="A174" t="s">
        <v>577</v>
      </c>
      <c r="B174" t="s">
        <v>365</v>
      </c>
      <c r="C174" t="s">
        <v>681</v>
      </c>
      <c r="D174" t="s">
        <v>681</v>
      </c>
      <c r="F174" t="s">
        <v>182</v>
      </c>
      <c r="G174" t="s">
        <v>79</v>
      </c>
      <c r="H174">
        <v>2.84</v>
      </c>
      <c r="I174">
        <v>5.75</v>
      </c>
      <c r="J174" s="9">
        <v>10</v>
      </c>
      <c r="K174" s="9">
        <v>20</v>
      </c>
      <c r="L174" s="9">
        <v>60</v>
      </c>
      <c r="M174" s="10">
        <v>120</v>
      </c>
      <c r="N174" s="10">
        <v>1</v>
      </c>
      <c r="O174" s="10">
        <v>5</v>
      </c>
      <c r="P174" s="19">
        <v>32</v>
      </c>
      <c r="Q174" s="22" t="s">
        <v>745</v>
      </c>
      <c r="R174">
        <v>10</v>
      </c>
      <c r="S174" s="26">
        <f>VLOOKUP($F174,Munition!$B:$P,10,FALSE)</f>
        <v>4.5</v>
      </c>
      <c r="T174" s="26">
        <f>VLOOKUP($F174,Munition!$B:$P,11,FALSE)</f>
        <v>450</v>
      </c>
      <c r="U174" s="28">
        <f t="shared" si="26"/>
        <v>478.43874940317886</v>
      </c>
      <c r="V174" s="26">
        <f>VLOOKUP($F174,Munition!$B:$P,5,FALSE)</f>
        <v>6.75</v>
      </c>
      <c r="W174" s="30">
        <f t="shared" si="28"/>
        <v>772.54977464036244</v>
      </c>
      <c r="X174" s="26">
        <f>VLOOKUP($F174,Munition!$B:$P,15,FALSE)</f>
        <v>106.1032953945969</v>
      </c>
      <c r="Y174" s="26">
        <f>VLOOKUP($F174,Munition!$B:$P,9,FALSE)</f>
        <v>1</v>
      </c>
      <c r="Z174" s="26">
        <f>VLOOKUP($F174,Munition!$B:$P,14,FALSE)</f>
        <v>1.5586226552622361E-5</v>
      </c>
      <c r="AA174" s="30">
        <f t="shared" si="29"/>
        <v>2.4287430206132039</v>
      </c>
      <c r="AB174" s="30">
        <f t="shared" si="30"/>
        <v>2.3191307437349642</v>
      </c>
      <c r="AC174" s="30">
        <f t="shared" si="31"/>
        <v>2.2144654090158826</v>
      </c>
      <c r="AD174" s="30">
        <f t="shared" si="32"/>
        <v>1.8409566886905369</v>
      </c>
      <c r="AE174" s="30">
        <f t="shared" si="33"/>
        <v>1.3954220355427924</v>
      </c>
      <c r="AF174" s="32" t="str">
        <f t="shared" si="27"/>
        <v>2D6</v>
      </c>
      <c r="AG174" s="33" t="str">
        <f t="shared" si="34"/>
        <v>-</v>
      </c>
      <c r="AH174" s="33" t="str">
        <f t="shared" si="35"/>
        <v>-</v>
      </c>
      <c r="AI174" s="33" t="str">
        <f t="shared" si="36"/>
        <v>-</v>
      </c>
      <c r="AJ174" s="33" t="str">
        <f t="shared" si="37"/>
        <v>-</v>
      </c>
      <c r="AK174">
        <v>1970</v>
      </c>
    </row>
    <row r="175" spans="1:37">
      <c r="A175" t="s">
        <v>577</v>
      </c>
      <c r="B175" t="s">
        <v>366</v>
      </c>
      <c r="C175" t="s">
        <v>681</v>
      </c>
      <c r="D175" t="s">
        <v>681</v>
      </c>
      <c r="F175" t="s">
        <v>108</v>
      </c>
      <c r="G175" t="s">
        <v>103</v>
      </c>
      <c r="H175">
        <v>2.84</v>
      </c>
      <c r="I175">
        <v>5.75</v>
      </c>
      <c r="J175" s="9">
        <v>10</v>
      </c>
      <c r="K175" s="9">
        <v>20</v>
      </c>
      <c r="L175" s="9">
        <v>60</v>
      </c>
      <c r="M175" s="10">
        <v>120</v>
      </c>
      <c r="N175" s="10">
        <v>1</v>
      </c>
      <c r="O175" s="10">
        <v>5</v>
      </c>
      <c r="P175" s="18">
        <v>30</v>
      </c>
      <c r="Q175" s="22" t="s">
        <v>711</v>
      </c>
      <c r="R175">
        <v>15</v>
      </c>
      <c r="S175" s="26">
        <f>VLOOKUP($F175,Munition!$B:$P,10,FALSE)</f>
        <v>5</v>
      </c>
      <c r="T175" s="26">
        <f>VLOOKUP($F175,Munition!$B:$P,11,FALSE)</f>
        <v>285</v>
      </c>
      <c r="U175" s="28">
        <f t="shared" si="26"/>
        <v>295.13405175736233</v>
      </c>
      <c r="V175" s="26">
        <f>VLOOKUP($F175,Munition!$B:$P,5,FALSE)</f>
        <v>14.84</v>
      </c>
      <c r="W175" s="30">
        <f t="shared" si="28"/>
        <v>646.31248511984325</v>
      </c>
      <c r="X175" s="26">
        <f>VLOOKUP($F175,Munition!$B:$P,15,FALSE)</f>
        <v>144.62772633198708</v>
      </c>
      <c r="Y175" s="26">
        <f>VLOOKUP($F175,Munition!$B:$P,9,FALSE)</f>
        <v>1</v>
      </c>
      <c r="Z175" s="26">
        <f>VLOOKUP($F175,Munition!$B:$P,14,FALSE)</f>
        <v>2.8281402907565187E-5</v>
      </c>
      <c r="AA175" s="30">
        <f t="shared" si="29"/>
        <v>1.2597669167501235</v>
      </c>
      <c r="AB175" s="30">
        <f t="shared" si="30"/>
        <v>1.2126543308280113</v>
      </c>
      <c r="AC175" s="30">
        <f t="shared" si="31"/>
        <v>1.1673036547661726</v>
      </c>
      <c r="AD175" s="30">
        <f t="shared" si="32"/>
        <v>1.0022386295938337</v>
      </c>
      <c r="AE175" s="30">
        <f t="shared" si="33"/>
        <v>0.79735565150530618</v>
      </c>
      <c r="AF175" s="32" t="str">
        <f t="shared" si="27"/>
        <v>2D6</v>
      </c>
      <c r="AG175" s="33" t="str">
        <f t="shared" si="34"/>
        <v>-</v>
      </c>
      <c r="AH175" s="33" t="str">
        <f t="shared" si="35"/>
        <v>-</v>
      </c>
      <c r="AI175" s="33" t="str">
        <f t="shared" si="36"/>
        <v>-</v>
      </c>
      <c r="AJ175" s="33" t="str">
        <f t="shared" si="37"/>
        <v>-</v>
      </c>
      <c r="AK175">
        <v>1970</v>
      </c>
    </row>
    <row r="176" spans="1:37">
      <c r="A176" t="s">
        <v>577</v>
      </c>
      <c r="B176" t="s">
        <v>367</v>
      </c>
      <c r="C176" t="s">
        <v>681</v>
      </c>
      <c r="D176" t="s">
        <v>681</v>
      </c>
      <c r="F176" t="s">
        <v>108</v>
      </c>
      <c r="G176" t="s">
        <v>103</v>
      </c>
      <c r="H176">
        <v>3.3849999999999998</v>
      </c>
      <c r="I176">
        <v>5.75</v>
      </c>
      <c r="J176" s="9">
        <v>6</v>
      </c>
      <c r="K176" s="9">
        <v>12</v>
      </c>
      <c r="L176" s="9">
        <v>36</v>
      </c>
      <c r="M176" s="10">
        <v>72</v>
      </c>
      <c r="N176" s="10">
        <v>1</v>
      </c>
      <c r="O176" s="10">
        <v>5</v>
      </c>
      <c r="P176" s="18">
        <v>32</v>
      </c>
      <c r="Q176" s="22" t="s">
        <v>711</v>
      </c>
      <c r="R176">
        <v>15</v>
      </c>
      <c r="S176" s="26">
        <f>VLOOKUP($F176,Munition!$B:$P,10,FALSE)</f>
        <v>5</v>
      </c>
      <c r="T176" s="26">
        <f>VLOOKUP($F176,Munition!$B:$P,11,FALSE)</f>
        <v>285</v>
      </c>
      <c r="U176" s="28">
        <f t="shared" si="26"/>
        <v>295.13405175736233</v>
      </c>
      <c r="V176" s="26">
        <f>VLOOKUP($F176,Munition!$B:$P,5,FALSE)</f>
        <v>14.84</v>
      </c>
      <c r="W176" s="30">
        <f t="shared" si="28"/>
        <v>646.31248511984325</v>
      </c>
      <c r="X176" s="26">
        <f>VLOOKUP($F176,Munition!$B:$P,15,FALSE)</f>
        <v>144.62772633198708</v>
      </c>
      <c r="Y176" s="26">
        <f>VLOOKUP($F176,Munition!$B:$P,9,FALSE)</f>
        <v>1</v>
      </c>
      <c r="Z176" s="26">
        <f>VLOOKUP($F176,Munition!$B:$P,14,FALSE)</f>
        <v>2.8281402907565187E-5</v>
      </c>
      <c r="AA176" s="30">
        <f t="shared" si="29"/>
        <v>1.2597669167501235</v>
      </c>
      <c r="AB176" s="30">
        <f t="shared" si="30"/>
        <v>1.2312841611184293</v>
      </c>
      <c r="AC176" s="30">
        <f t="shared" si="31"/>
        <v>1.2034453876056401</v>
      </c>
      <c r="AD176" s="30">
        <f t="shared" si="32"/>
        <v>1.0982438053842585</v>
      </c>
      <c r="AE176" s="30">
        <f t="shared" si="33"/>
        <v>0.957430648501572</v>
      </c>
      <c r="AF176" s="32" t="str">
        <f t="shared" si="27"/>
        <v>2D6</v>
      </c>
      <c r="AG176" s="33" t="str">
        <f t="shared" si="34"/>
        <v>-</v>
      </c>
      <c r="AH176" s="33" t="str">
        <f t="shared" si="35"/>
        <v>-</v>
      </c>
      <c r="AI176" s="33" t="str">
        <f t="shared" si="36"/>
        <v>-</v>
      </c>
      <c r="AJ176" s="33" t="str">
        <f t="shared" si="37"/>
        <v>-</v>
      </c>
      <c r="AK176">
        <v>1970</v>
      </c>
    </row>
    <row r="177" spans="1:37">
      <c r="A177" t="s">
        <v>577</v>
      </c>
      <c r="B177" t="s">
        <v>367</v>
      </c>
      <c r="C177" t="s">
        <v>681</v>
      </c>
      <c r="D177" t="s">
        <v>681</v>
      </c>
      <c r="F177" t="s">
        <v>182</v>
      </c>
      <c r="G177" t="s">
        <v>79</v>
      </c>
      <c r="H177">
        <v>3.3849999999999998</v>
      </c>
      <c r="I177">
        <v>5.75</v>
      </c>
      <c r="J177" s="9">
        <v>8</v>
      </c>
      <c r="K177" s="9">
        <v>16</v>
      </c>
      <c r="L177" s="9">
        <v>48</v>
      </c>
      <c r="M177" s="10">
        <v>96</v>
      </c>
      <c r="N177" s="10">
        <v>1</v>
      </c>
      <c r="O177" s="10">
        <v>5</v>
      </c>
      <c r="P177" s="19">
        <v>32</v>
      </c>
      <c r="Q177" s="22" t="s">
        <v>745</v>
      </c>
      <c r="R177">
        <v>10</v>
      </c>
      <c r="S177" s="26">
        <f>VLOOKUP($F177,Munition!$B:$P,10,FALSE)</f>
        <v>4.5</v>
      </c>
      <c r="T177" s="26">
        <f>VLOOKUP($F177,Munition!$B:$P,11,FALSE)</f>
        <v>450</v>
      </c>
      <c r="U177" s="28">
        <f t="shared" si="26"/>
        <v>478.43874940317886</v>
      </c>
      <c r="V177" s="26">
        <f>VLOOKUP($F177,Munition!$B:$P,5,FALSE)</f>
        <v>6.75</v>
      </c>
      <c r="W177" s="30">
        <f t="shared" si="28"/>
        <v>772.54977464036244</v>
      </c>
      <c r="X177" s="26">
        <f>VLOOKUP($F177,Munition!$B:$P,15,FALSE)</f>
        <v>106.1032953945969</v>
      </c>
      <c r="Y177" s="26">
        <f>VLOOKUP($F177,Munition!$B:$P,9,FALSE)</f>
        <v>1</v>
      </c>
      <c r="Z177" s="26">
        <f>VLOOKUP($F177,Munition!$B:$P,14,FALSE)</f>
        <v>1.5586226552622361E-5</v>
      </c>
      <c r="AA177" s="30">
        <f t="shared" si="29"/>
        <v>2.4287430206132039</v>
      </c>
      <c r="AB177" s="30">
        <f t="shared" si="30"/>
        <v>2.3406501167306306</v>
      </c>
      <c r="AC177" s="30">
        <f t="shared" si="31"/>
        <v>2.255752429323659</v>
      </c>
      <c r="AD177" s="30">
        <f t="shared" si="32"/>
        <v>1.9458581157944095</v>
      </c>
      <c r="AE177" s="30">
        <f t="shared" si="33"/>
        <v>1.5589808286292042</v>
      </c>
      <c r="AF177" s="32" t="str">
        <f t="shared" si="27"/>
        <v>2D6</v>
      </c>
      <c r="AG177" s="33" t="str">
        <f t="shared" si="34"/>
        <v>-</v>
      </c>
      <c r="AH177" s="33" t="str">
        <f t="shared" si="35"/>
        <v>-</v>
      </c>
      <c r="AI177" s="33" t="str">
        <f t="shared" si="36"/>
        <v>-</v>
      </c>
      <c r="AJ177" s="33" t="str">
        <f t="shared" si="37"/>
        <v>-</v>
      </c>
      <c r="AK177">
        <v>1970</v>
      </c>
    </row>
    <row r="178" spans="1:37">
      <c r="A178" t="s">
        <v>577</v>
      </c>
      <c r="B178" t="s">
        <v>368</v>
      </c>
      <c r="C178" t="s">
        <v>681</v>
      </c>
      <c r="D178" t="s">
        <v>681</v>
      </c>
      <c r="F178" t="s">
        <v>182</v>
      </c>
      <c r="G178" t="s">
        <v>79</v>
      </c>
      <c r="H178">
        <v>2.0329999999999999</v>
      </c>
      <c r="I178">
        <v>5</v>
      </c>
      <c r="J178" s="9">
        <v>8</v>
      </c>
      <c r="K178" s="9">
        <v>16</v>
      </c>
      <c r="L178" s="9">
        <v>48</v>
      </c>
      <c r="M178" s="10">
        <v>96</v>
      </c>
      <c r="N178" s="10">
        <v>2</v>
      </c>
      <c r="O178" s="10">
        <v>15</v>
      </c>
      <c r="P178" s="18">
        <v>32</v>
      </c>
      <c r="Q178" s="22" t="s">
        <v>710</v>
      </c>
      <c r="R178">
        <v>15</v>
      </c>
      <c r="S178" s="26">
        <f>VLOOKUP($F178,Munition!$B:$P,10,FALSE)</f>
        <v>4.5</v>
      </c>
      <c r="T178" s="26">
        <f>VLOOKUP($F178,Munition!$B:$P,11,FALSE)</f>
        <v>450</v>
      </c>
      <c r="U178" s="28">
        <f t="shared" si="26"/>
        <v>462.01054323615341</v>
      </c>
      <c r="V178" s="26">
        <f>VLOOKUP($F178,Munition!$B:$P,5,FALSE)</f>
        <v>6.75</v>
      </c>
      <c r="W178" s="30">
        <f t="shared" si="28"/>
        <v>720.40637945710876</v>
      </c>
      <c r="X178" s="26">
        <f>VLOOKUP($F178,Munition!$B:$P,15,FALSE)</f>
        <v>106.1032953945969</v>
      </c>
      <c r="Y178" s="26">
        <f>VLOOKUP($F178,Munition!$B:$P,9,FALSE)</f>
        <v>1</v>
      </c>
      <c r="Z178" s="26">
        <f>VLOOKUP($F178,Munition!$B:$P,14,FALSE)</f>
        <v>1.5586226552622361E-5</v>
      </c>
      <c r="AA178" s="30">
        <f t="shared" si="29"/>
        <v>2.2648145447019159</v>
      </c>
      <c r="AB178" s="30">
        <f t="shared" si="30"/>
        <v>2.1826674882595651</v>
      </c>
      <c r="AC178" s="30">
        <f t="shared" si="31"/>
        <v>2.10349998654408</v>
      </c>
      <c r="AD178" s="30">
        <f t="shared" si="32"/>
        <v>1.8145220491317238</v>
      </c>
      <c r="AE178" s="30">
        <f t="shared" si="33"/>
        <v>1.4537571186512015</v>
      </c>
      <c r="AF178" s="32" t="str">
        <f t="shared" si="27"/>
        <v>2D6</v>
      </c>
      <c r="AG178" s="33" t="str">
        <f t="shared" si="34"/>
        <v>-</v>
      </c>
      <c r="AH178" s="33" t="str">
        <f t="shared" si="35"/>
        <v>-</v>
      </c>
      <c r="AI178" s="33" t="str">
        <f t="shared" si="36"/>
        <v>-</v>
      </c>
      <c r="AJ178" s="33" t="str">
        <f t="shared" si="37"/>
        <v>-</v>
      </c>
      <c r="AK178">
        <v>1972</v>
      </c>
    </row>
    <row r="179" spans="1:37">
      <c r="A179" t="s">
        <v>571</v>
      </c>
      <c r="B179" t="s">
        <v>369</v>
      </c>
      <c r="C179" t="s">
        <v>681</v>
      </c>
      <c r="D179" t="s">
        <v>681</v>
      </c>
      <c r="F179" t="s">
        <v>106</v>
      </c>
      <c r="G179" t="s">
        <v>208</v>
      </c>
      <c r="H179">
        <v>0.94599999999999995</v>
      </c>
      <c r="I179">
        <v>4.4000000000000004</v>
      </c>
      <c r="J179" s="9">
        <v>5</v>
      </c>
      <c r="K179" s="9">
        <v>10</v>
      </c>
      <c r="L179" s="9">
        <v>30</v>
      </c>
      <c r="M179" s="10">
        <v>60</v>
      </c>
      <c r="N179" s="10">
        <v>3</v>
      </c>
      <c r="O179" s="10"/>
      <c r="P179" s="18">
        <v>12</v>
      </c>
      <c r="Q179" s="22" t="s">
        <v>701</v>
      </c>
      <c r="R179">
        <v>1</v>
      </c>
      <c r="S179" s="26">
        <f>VLOOKUP($F179,Munition!$B:$P,10,FALSE)</f>
        <v>4.2</v>
      </c>
      <c r="T179" s="26">
        <f>VLOOKUP($F179,Munition!$B:$P,11,FALSE)</f>
        <v>340</v>
      </c>
      <c r="U179" s="28">
        <f t="shared" si="26"/>
        <v>343.97728441609274</v>
      </c>
      <c r="V179" s="26">
        <f>VLOOKUP($F179,Munition!$B:$P,5,FALSE)</f>
        <v>11.7</v>
      </c>
      <c r="W179" s="30">
        <f t="shared" si="28"/>
        <v>692.17417733647687</v>
      </c>
      <c r="X179" s="26">
        <f>VLOOKUP($F179,Munition!$B:$P,15,FALSE)</f>
        <v>148.96902673401402</v>
      </c>
      <c r="Y179" s="26">
        <f>VLOOKUP($F179,Munition!$B:$P,9,FALSE)</f>
        <v>1</v>
      </c>
      <c r="Z179" s="26">
        <f>VLOOKUP($F179,Munition!$B:$P,14,FALSE)</f>
        <v>1.9242255003237486E-5</v>
      </c>
      <c r="AA179" s="30">
        <f t="shared" si="29"/>
        <v>1.7626070688586633</v>
      </c>
      <c r="AB179" s="30">
        <f t="shared" si="30"/>
        <v>1.7338556539621217</v>
      </c>
      <c r="AC179" s="30">
        <f t="shared" si="31"/>
        <v>1.7055732283673699</v>
      </c>
      <c r="AD179" s="30">
        <f t="shared" si="32"/>
        <v>1.5969822767984838</v>
      </c>
      <c r="AE179" s="30">
        <f t="shared" si="33"/>
        <v>1.4469205516462</v>
      </c>
      <c r="AF179" s="32" t="str">
        <f t="shared" si="27"/>
        <v>2D6</v>
      </c>
      <c r="AG179" s="33" t="str">
        <f t="shared" si="34"/>
        <v>-</v>
      </c>
      <c r="AH179" s="33" t="str">
        <f t="shared" si="35"/>
        <v>-</v>
      </c>
      <c r="AI179" s="33" t="str">
        <f t="shared" si="36"/>
        <v>-</v>
      </c>
      <c r="AJ179" s="33" t="str">
        <f t="shared" si="37"/>
        <v>-</v>
      </c>
      <c r="AK179">
        <v>1990</v>
      </c>
    </row>
    <row r="180" spans="1:37">
      <c r="A180" t="s">
        <v>577</v>
      </c>
      <c r="B180" t="s">
        <v>370</v>
      </c>
      <c r="C180" t="s">
        <v>681</v>
      </c>
      <c r="D180" t="s">
        <v>681</v>
      </c>
      <c r="F180" t="s">
        <v>113</v>
      </c>
      <c r="G180" t="s">
        <v>112</v>
      </c>
      <c r="H180">
        <v>2</v>
      </c>
      <c r="I180">
        <v>6.1</v>
      </c>
      <c r="J180" s="9">
        <v>15</v>
      </c>
      <c r="K180" s="9">
        <v>30</v>
      </c>
      <c r="L180" s="9">
        <v>90</v>
      </c>
      <c r="M180" s="10">
        <v>180</v>
      </c>
      <c r="N180" s="10">
        <v>1</v>
      </c>
      <c r="O180" s="10">
        <v>2</v>
      </c>
      <c r="P180" s="19">
        <v>30</v>
      </c>
      <c r="Q180" s="22" t="s">
        <v>740</v>
      </c>
      <c r="R180">
        <v>10</v>
      </c>
      <c r="S180" s="26">
        <f>VLOOKUP($F180,Munition!$B:$P,10,FALSE)</f>
        <v>12</v>
      </c>
      <c r="T180" s="26">
        <f>VLOOKUP($F180,Munition!$B:$P,11,FALSE)</f>
        <v>280</v>
      </c>
      <c r="U180" s="28">
        <f t="shared" si="26"/>
        <v>236.42596949000497</v>
      </c>
      <c r="V180" s="26">
        <f>VLOOKUP($F180,Munition!$B:$P,5,FALSE)</f>
        <v>16.8</v>
      </c>
      <c r="W180" s="30">
        <f t="shared" si="28"/>
        <v>469.53680801402567</v>
      </c>
      <c r="X180" s="26">
        <f>VLOOKUP($F180,Munition!$B:$P,15,FALSE)</f>
        <v>247.31673432247348</v>
      </c>
      <c r="Y180" s="26">
        <f>VLOOKUP($F180,Munition!$B:$P,9,FALSE)</f>
        <v>1</v>
      </c>
      <c r="Z180" s="26">
        <f>VLOOKUP($F180,Munition!$B:$P,14,FALSE)</f>
        <v>1.4562298058262588E-5</v>
      </c>
      <c r="AA180" s="30">
        <f t="shared" si="29"/>
        <v>1.3824322619312739</v>
      </c>
      <c r="AB180" s="30">
        <f t="shared" si="30"/>
        <v>1.3469467343632204</v>
      </c>
      <c r="AC180" s="30">
        <f t="shared" si="31"/>
        <v>1.3123720815638333</v>
      </c>
      <c r="AD180" s="30">
        <f t="shared" si="32"/>
        <v>1.1827235053215714</v>
      </c>
      <c r="AE180" s="30">
        <f t="shared" si="33"/>
        <v>1.0118650501442701</v>
      </c>
      <c r="AF180" s="32" t="str">
        <f t="shared" si="27"/>
        <v>1D6+2</v>
      </c>
      <c r="AG180" s="33" t="str">
        <f t="shared" si="34"/>
        <v>-</v>
      </c>
      <c r="AH180" s="33" t="str">
        <f t="shared" si="35"/>
        <v>-</v>
      </c>
      <c r="AI180" s="33" t="str">
        <f t="shared" si="36"/>
        <v>-</v>
      </c>
      <c r="AJ180" s="33" t="str">
        <f t="shared" si="37"/>
        <v>-</v>
      </c>
      <c r="AK180">
        <v>1994</v>
      </c>
    </row>
    <row r="181" spans="1:37">
      <c r="A181" t="s">
        <v>572</v>
      </c>
      <c r="B181" t="s">
        <v>371</v>
      </c>
      <c r="C181" t="s">
        <v>681</v>
      </c>
      <c r="D181" t="s">
        <v>681</v>
      </c>
      <c r="F181" t="s">
        <v>62</v>
      </c>
      <c r="G181" t="s">
        <v>61</v>
      </c>
      <c r="H181">
        <v>6.2</v>
      </c>
      <c r="I181">
        <v>25.6</v>
      </c>
      <c r="J181" s="9">
        <v>100</v>
      </c>
      <c r="K181" s="9">
        <v>200</v>
      </c>
      <c r="L181" s="9">
        <v>600</v>
      </c>
      <c r="M181" s="10">
        <v>1200</v>
      </c>
      <c r="N181" s="10">
        <v>2</v>
      </c>
      <c r="O181" s="10"/>
      <c r="P181" s="18">
        <v>10</v>
      </c>
      <c r="Q181" s="22" t="s">
        <v>699</v>
      </c>
      <c r="R181">
        <v>1</v>
      </c>
      <c r="S181" s="26">
        <f>VLOOKUP($F181,Munition!$B:$P,10,FALSE)</f>
        <v>24</v>
      </c>
      <c r="T181" s="26">
        <f>VLOOKUP($F181,Munition!$B:$P,11,FALSE)</f>
        <v>786</v>
      </c>
      <c r="U181" s="28">
        <f t="shared" si="26"/>
        <v>798.78468009905441</v>
      </c>
      <c r="V181" s="26">
        <f>VLOOKUP($F181,Munition!$B:$P,5,FALSE)</f>
        <v>11</v>
      </c>
      <c r="W181" s="30">
        <f t="shared" si="28"/>
        <v>3509.3133083852176</v>
      </c>
      <c r="X181" s="26">
        <f>VLOOKUP($F181,Munition!$B:$P,15,FALSE)</f>
        <v>241.2086406143315</v>
      </c>
      <c r="Y181" s="26">
        <f>VLOOKUP($F181,Munition!$B:$P,9,FALSE)</f>
        <v>1</v>
      </c>
      <c r="Z181" s="26">
        <f>VLOOKUP($F181,Munition!$B:$P,14,FALSE)</f>
        <v>6.9830624463123905E-6</v>
      </c>
      <c r="AA181" s="30">
        <f t="shared" si="29"/>
        <v>15.390485320097829</v>
      </c>
      <c r="AB181" s="30">
        <f t="shared" si="30"/>
        <v>13.555396183481394</v>
      </c>
      <c r="AC181" s="30">
        <f t="shared" si="31"/>
        <v>11.93911445087385</v>
      </c>
      <c r="AD181" s="30">
        <f t="shared" si="32"/>
        <v>7.1847509153481761</v>
      </c>
      <c r="AE181" s="30">
        <f t="shared" si="33"/>
        <v>3.3540622431306359</v>
      </c>
      <c r="AF181" s="32" t="str">
        <f t="shared" si="27"/>
        <v>4D6+2</v>
      </c>
      <c r="AG181" s="33" t="str">
        <f t="shared" si="34"/>
        <v>2</v>
      </c>
      <c r="AH181" s="33" t="str">
        <f t="shared" si="35"/>
        <v>2+1</v>
      </c>
      <c r="AI181" s="33" t="str">
        <f t="shared" si="36"/>
        <v>2+2</v>
      </c>
      <c r="AJ181" s="33" t="str">
        <f t="shared" si="37"/>
        <v>4+2</v>
      </c>
      <c r="AK181">
        <v>1998</v>
      </c>
    </row>
    <row r="182" spans="1:37">
      <c r="A182" t="s">
        <v>572</v>
      </c>
      <c r="B182" t="s">
        <v>372</v>
      </c>
      <c r="C182" t="s">
        <v>681</v>
      </c>
      <c r="D182" t="s">
        <v>681</v>
      </c>
      <c r="F182" t="s">
        <v>62</v>
      </c>
      <c r="G182" t="s">
        <v>61</v>
      </c>
      <c r="H182">
        <v>4.3</v>
      </c>
      <c r="I182">
        <v>24.4</v>
      </c>
      <c r="J182" s="9">
        <v>108</v>
      </c>
      <c r="K182" s="9">
        <v>216</v>
      </c>
      <c r="L182" s="9">
        <v>648</v>
      </c>
      <c r="M182" s="10">
        <v>1296</v>
      </c>
      <c r="N182" s="10">
        <v>2</v>
      </c>
      <c r="O182" s="10"/>
      <c r="P182" s="18">
        <v>10</v>
      </c>
      <c r="Q182" s="22" t="s">
        <v>704</v>
      </c>
      <c r="R182">
        <v>1</v>
      </c>
      <c r="S182" s="26">
        <f>VLOOKUP($F182,Munition!$B:$P,10,FALSE)</f>
        <v>24</v>
      </c>
      <c r="T182" s="26">
        <f>VLOOKUP($F182,Munition!$B:$P,11,FALSE)</f>
        <v>786</v>
      </c>
      <c r="U182" s="28">
        <f t="shared" si="26"/>
        <v>789.25472799963973</v>
      </c>
      <c r="V182" s="26">
        <f>VLOOKUP($F182,Munition!$B:$P,5,FALSE)</f>
        <v>11</v>
      </c>
      <c r="W182" s="30">
        <f t="shared" si="28"/>
        <v>3426.076641183819</v>
      </c>
      <c r="X182" s="26">
        <f>VLOOKUP($F182,Munition!$B:$P,15,FALSE)</f>
        <v>241.2086406143315</v>
      </c>
      <c r="Y182" s="26">
        <f>VLOOKUP($F182,Munition!$B:$P,9,FALSE)</f>
        <v>1</v>
      </c>
      <c r="Z182" s="26">
        <f>VLOOKUP($F182,Munition!$B:$P,14,FALSE)</f>
        <v>6.9830624463123905E-6</v>
      </c>
      <c r="AA182" s="30">
        <f t="shared" si="29"/>
        <v>15.025441622917523</v>
      </c>
      <c r="AB182" s="30">
        <f t="shared" si="30"/>
        <v>13.100140024437797</v>
      </c>
      <c r="AC182" s="30">
        <f t="shared" si="31"/>
        <v>11.42153907796785</v>
      </c>
      <c r="AD182" s="30">
        <f t="shared" si="32"/>
        <v>6.5996271273623259</v>
      </c>
      <c r="AE182" s="30">
        <f t="shared" si="33"/>
        <v>2.8987552787656115</v>
      </c>
      <c r="AF182" s="32" t="str">
        <f t="shared" si="27"/>
        <v>4D6+2</v>
      </c>
      <c r="AG182" s="33" t="str">
        <f t="shared" si="34"/>
        <v>2</v>
      </c>
      <c r="AH182" s="33" t="str">
        <f t="shared" si="35"/>
        <v>2+1</v>
      </c>
      <c r="AI182" s="33" t="str">
        <f t="shared" si="36"/>
        <v>2+2</v>
      </c>
      <c r="AJ182" s="33" t="str">
        <f t="shared" si="37"/>
        <v>-</v>
      </c>
      <c r="AK182">
        <v>1963</v>
      </c>
    </row>
    <row r="183" spans="1:37">
      <c r="A183" t="s">
        <v>572</v>
      </c>
      <c r="B183" t="s">
        <v>373</v>
      </c>
      <c r="C183" t="s">
        <v>681</v>
      </c>
      <c r="D183" t="s">
        <v>681</v>
      </c>
      <c r="F183" t="s">
        <v>62</v>
      </c>
      <c r="G183" t="s">
        <v>61</v>
      </c>
      <c r="H183">
        <v>4.2</v>
      </c>
      <c r="I183">
        <v>20</v>
      </c>
      <c r="J183" s="9">
        <v>100</v>
      </c>
      <c r="K183" s="9">
        <v>200</v>
      </c>
      <c r="L183" s="9">
        <v>600</v>
      </c>
      <c r="M183" s="10">
        <v>1200</v>
      </c>
      <c r="N183" s="10">
        <v>2</v>
      </c>
      <c r="O183" s="10"/>
      <c r="P183" s="18">
        <v>30</v>
      </c>
      <c r="Q183" s="22" t="s">
        <v>701</v>
      </c>
      <c r="R183">
        <v>1</v>
      </c>
      <c r="S183" s="26">
        <f>VLOOKUP($F183,Munition!$B:$P,10,FALSE)</f>
        <v>24</v>
      </c>
      <c r="T183" s="26">
        <f>VLOOKUP($F183,Munition!$B:$P,11,FALSE)</f>
        <v>786</v>
      </c>
      <c r="U183" s="28">
        <f t="shared" si="26"/>
        <v>750.97803467263225</v>
      </c>
      <c r="V183" s="26">
        <f>VLOOKUP($F183,Munition!$B:$P,5,FALSE)</f>
        <v>11</v>
      </c>
      <c r="W183" s="30">
        <f t="shared" si="28"/>
        <v>3101.8240470842306</v>
      </c>
      <c r="X183" s="26">
        <f>VLOOKUP($F183,Munition!$B:$P,15,FALSE)</f>
        <v>241.2086406143315</v>
      </c>
      <c r="Y183" s="26">
        <f>VLOOKUP($F183,Munition!$B:$P,9,FALSE)</f>
        <v>1</v>
      </c>
      <c r="Z183" s="26">
        <f>VLOOKUP($F183,Munition!$B:$P,14,FALSE)</f>
        <v>6.9830624463123905E-6</v>
      </c>
      <c r="AA183" s="30">
        <f t="shared" si="29"/>
        <v>13.603395669491482</v>
      </c>
      <c r="AB183" s="30">
        <f t="shared" si="30"/>
        <v>11.98139070376242</v>
      </c>
      <c r="AC183" s="30">
        <f t="shared" si="31"/>
        <v>10.552785986969001</v>
      </c>
      <c r="AD183" s="30">
        <f t="shared" si="32"/>
        <v>6.3504826167236859</v>
      </c>
      <c r="AE183" s="30">
        <f t="shared" si="33"/>
        <v>2.964600195799294</v>
      </c>
      <c r="AF183" s="32" t="str">
        <f t="shared" si="27"/>
        <v>4D6+1</v>
      </c>
      <c r="AG183" s="33" t="str">
        <f t="shared" si="34"/>
        <v>2+1</v>
      </c>
      <c r="AH183" s="33" t="str">
        <f t="shared" si="35"/>
        <v>2+2</v>
      </c>
      <c r="AI183" s="33" t="str">
        <f t="shared" si="36"/>
        <v>3</v>
      </c>
      <c r="AJ183" s="33" t="str">
        <f t="shared" si="37"/>
        <v>-</v>
      </c>
      <c r="AK183">
        <v>1993</v>
      </c>
    </row>
    <row r="184" spans="1:37">
      <c r="A184" t="s">
        <v>577</v>
      </c>
      <c r="B184" t="s">
        <v>374</v>
      </c>
      <c r="C184" t="s">
        <v>681</v>
      </c>
      <c r="D184" t="s">
        <v>681</v>
      </c>
      <c r="F184" t="s">
        <v>182</v>
      </c>
      <c r="G184" t="s">
        <v>226</v>
      </c>
      <c r="H184">
        <v>1.65</v>
      </c>
      <c r="I184">
        <v>7.8</v>
      </c>
      <c r="J184" s="9">
        <v>6</v>
      </c>
      <c r="K184" s="9">
        <v>12</v>
      </c>
      <c r="L184" s="9">
        <v>36</v>
      </c>
      <c r="M184" s="10">
        <v>72</v>
      </c>
      <c r="N184" s="10">
        <v>2</v>
      </c>
      <c r="O184" s="10">
        <v>5</v>
      </c>
      <c r="P184" s="19">
        <v>25</v>
      </c>
      <c r="Q184" s="22" t="s">
        <v>729</v>
      </c>
      <c r="R184">
        <v>5</v>
      </c>
      <c r="S184" s="26">
        <f>VLOOKUP($F184,Munition!$B:$P,10,FALSE)</f>
        <v>4.5</v>
      </c>
      <c r="T184" s="26">
        <f>VLOOKUP($F184,Munition!$B:$P,11,FALSE)</f>
        <v>450</v>
      </c>
      <c r="U184" s="28">
        <f t="shared" si="26"/>
        <v>516.33674901635197</v>
      </c>
      <c r="V184" s="26">
        <f>VLOOKUP($F184,Munition!$B:$P,5,FALSE)</f>
        <v>6.75</v>
      </c>
      <c r="W184" s="30">
        <f t="shared" si="28"/>
        <v>899.78727954861654</v>
      </c>
      <c r="X184" s="26">
        <f>VLOOKUP($F184,Munition!$B:$P,15,FALSE)</f>
        <v>106.1032953945969</v>
      </c>
      <c r="Y184" s="26">
        <f>VLOOKUP($F184,Munition!$B:$P,9,FALSE)</f>
        <v>1</v>
      </c>
      <c r="Z184" s="26">
        <f>VLOOKUP($F184,Munition!$B:$P,14,FALSE)</f>
        <v>1.5586226552622361E-5</v>
      </c>
      <c r="AA184" s="30">
        <f t="shared" si="29"/>
        <v>2.82875245968141</v>
      </c>
      <c r="AB184" s="30">
        <f t="shared" si="30"/>
        <v>2.7514469592193236</v>
      </c>
      <c r="AC184" s="30">
        <f t="shared" si="31"/>
        <v>2.6762541004559623</v>
      </c>
      <c r="AD184" s="30">
        <f t="shared" si="32"/>
        <v>2.3954777864534194</v>
      </c>
      <c r="AE184" s="30">
        <f t="shared" si="33"/>
        <v>2.0285669768495946</v>
      </c>
      <c r="AF184" s="32" t="str">
        <f t="shared" si="27"/>
        <v>2D6+1</v>
      </c>
      <c r="AG184" s="33" t="str">
        <f t="shared" si="34"/>
        <v>-</v>
      </c>
      <c r="AH184" s="33" t="str">
        <f t="shared" si="35"/>
        <v>-</v>
      </c>
      <c r="AI184" s="33" t="str">
        <f t="shared" si="36"/>
        <v>-</v>
      </c>
      <c r="AJ184" s="33" t="str">
        <f t="shared" si="37"/>
        <v>-</v>
      </c>
      <c r="AK184">
        <v>1983</v>
      </c>
    </row>
    <row r="185" spans="1:37">
      <c r="A185" t="s">
        <v>575</v>
      </c>
      <c r="B185" t="s">
        <v>375</v>
      </c>
      <c r="C185" t="s">
        <v>681</v>
      </c>
      <c r="D185" t="s">
        <v>681</v>
      </c>
      <c r="F185" t="s">
        <v>10</v>
      </c>
      <c r="G185" t="s">
        <v>11</v>
      </c>
      <c r="H185">
        <v>6.1</v>
      </c>
      <c r="J185" s="9">
        <v>50</v>
      </c>
      <c r="K185" s="9">
        <v>100</v>
      </c>
      <c r="L185" s="9">
        <v>300</v>
      </c>
      <c r="M185" s="10">
        <v>600</v>
      </c>
      <c r="N185" s="10">
        <v>1</v>
      </c>
      <c r="O185" s="10">
        <v>2</v>
      </c>
      <c r="P185" s="19">
        <v>30</v>
      </c>
      <c r="Q185" s="22" t="s">
        <v>719</v>
      </c>
      <c r="R185">
        <v>3</v>
      </c>
      <c r="S185" s="26">
        <f>VLOOKUP($F185,Munition!$B:$P,10,FALSE)</f>
        <v>20</v>
      </c>
      <c r="T185" s="26">
        <f>VLOOKUP($F185,Munition!$B:$P,11,FALSE)</f>
        <v>878</v>
      </c>
      <c r="U185" s="28">
        <f t="shared" si="26"/>
        <v>0</v>
      </c>
      <c r="V185" s="26">
        <f>VLOOKUP($F185,Munition!$B:$P,5,FALSE)</f>
        <v>3.56</v>
      </c>
      <c r="W185" s="30">
        <f t="shared" si="28"/>
        <v>0</v>
      </c>
      <c r="X185" s="26">
        <f>VLOOKUP($F185,Munition!$B:$P,15,FALSE)</f>
        <v>146.62584685242678</v>
      </c>
      <c r="Y185" s="26">
        <f>VLOOKUP($F185,Munition!$B:$P,9,FALSE)</f>
        <v>1</v>
      </c>
      <c r="Z185" s="26">
        <f>VLOOKUP($F185,Munition!$B:$P,14,FALSE)</f>
        <v>3.7177960891755132E-6</v>
      </c>
      <c r="AA185" s="30">
        <f t="shared" si="29"/>
        <v>0</v>
      </c>
      <c r="AB185" s="30">
        <f t="shared" si="30"/>
        <v>0</v>
      </c>
      <c r="AC185" s="30">
        <f t="shared" si="31"/>
        <v>0</v>
      </c>
      <c r="AD185" s="30">
        <f t="shared" si="32"/>
        <v>0</v>
      </c>
      <c r="AE185" s="30">
        <f t="shared" si="33"/>
        <v>0</v>
      </c>
      <c r="AF185" s="32">
        <f t="shared" si="27"/>
        <v>0</v>
      </c>
      <c r="AG185" s="33" t="e">
        <f t="shared" si="34"/>
        <v>#DIV/0!</v>
      </c>
      <c r="AH185" s="33" t="e">
        <f t="shared" si="35"/>
        <v>#DIV/0!</v>
      </c>
      <c r="AI185" s="33" t="e">
        <f t="shared" si="36"/>
        <v>#DIV/0!</v>
      </c>
      <c r="AJ185" s="33" t="e">
        <f t="shared" si="37"/>
        <v>#DIV/0!</v>
      </c>
      <c r="AK185">
        <v>2009</v>
      </c>
    </row>
    <row r="186" spans="1:37">
      <c r="A186" t="s">
        <v>575</v>
      </c>
      <c r="B186" t="s">
        <v>376</v>
      </c>
      <c r="C186" t="s">
        <v>681</v>
      </c>
      <c r="D186" t="s">
        <v>681</v>
      </c>
      <c r="F186" t="s">
        <v>37</v>
      </c>
      <c r="G186" t="s">
        <v>38</v>
      </c>
      <c r="H186">
        <v>2.9</v>
      </c>
      <c r="I186">
        <v>12.4</v>
      </c>
      <c r="J186" s="9">
        <v>50</v>
      </c>
      <c r="K186" s="9">
        <v>100</v>
      </c>
      <c r="L186" s="9">
        <v>300</v>
      </c>
      <c r="M186" s="10">
        <v>600</v>
      </c>
      <c r="N186" s="10">
        <v>2</v>
      </c>
      <c r="O186" s="10">
        <v>8</v>
      </c>
      <c r="P186" s="19">
        <v>30</v>
      </c>
      <c r="Q186" s="22" t="s">
        <v>746</v>
      </c>
      <c r="R186">
        <v>8</v>
      </c>
      <c r="S186" s="26">
        <f>VLOOKUP($F186,Munition!$B:$P,10,FALSE)</f>
        <v>16</v>
      </c>
      <c r="T186" s="26">
        <f>VLOOKUP($F186,Munition!$B:$P,11,FALSE)</f>
        <v>725</v>
      </c>
      <c r="U186" s="28">
        <f t="shared" si="26"/>
        <v>680.24198315413901</v>
      </c>
      <c r="V186" s="26">
        <f>VLOOKUP($F186,Munition!$B:$P,5,FALSE)</f>
        <v>7.9</v>
      </c>
      <c r="W186" s="30">
        <f t="shared" si="28"/>
        <v>1827.7801647996303</v>
      </c>
      <c r="X186" s="26">
        <f>VLOOKUP($F186,Munition!$B:$P,15,FALSE)</f>
        <v>173.23166007756538</v>
      </c>
      <c r="Y186" s="26">
        <f>VLOOKUP($F186,Munition!$B:$P,9,FALSE)</f>
        <v>1</v>
      </c>
      <c r="Z186" s="26">
        <f>VLOOKUP($F186,Munition!$B:$P,14,FALSE)</f>
        <v>7.8210299398698787E-6</v>
      </c>
      <c r="AA186" s="30">
        <f t="shared" si="29"/>
        <v>8.0159339798755926</v>
      </c>
      <c r="AB186" s="30">
        <f t="shared" si="30"/>
        <v>7.260370998693233</v>
      </c>
      <c r="AC186" s="30">
        <f t="shared" si="31"/>
        <v>6.5760255973919417</v>
      </c>
      <c r="AD186" s="30">
        <f t="shared" si="32"/>
        <v>4.4257025505835221</v>
      </c>
      <c r="AE186" s="30">
        <f t="shared" si="33"/>
        <v>2.4434885710654859</v>
      </c>
      <c r="AF186" s="32" t="str">
        <f t="shared" si="27"/>
        <v>3D6+1</v>
      </c>
      <c r="AG186" s="33" t="str">
        <f t="shared" si="34"/>
        <v>3</v>
      </c>
      <c r="AH186" s="33" t="str">
        <f t="shared" si="35"/>
        <v>3+1</v>
      </c>
      <c r="AI186" s="33" t="str">
        <f t="shared" si="36"/>
        <v>-</v>
      </c>
      <c r="AJ186" s="33" t="str">
        <f t="shared" si="37"/>
        <v>-</v>
      </c>
      <c r="AK186">
        <v>1996</v>
      </c>
    </row>
    <row r="187" spans="1:37">
      <c r="A187" t="s">
        <v>575</v>
      </c>
      <c r="B187" t="s">
        <v>377</v>
      </c>
      <c r="C187" t="s">
        <v>681</v>
      </c>
      <c r="D187" t="s">
        <v>681</v>
      </c>
      <c r="F187" t="s">
        <v>5</v>
      </c>
      <c r="G187" t="s">
        <v>6</v>
      </c>
      <c r="H187">
        <v>3</v>
      </c>
      <c r="I187">
        <v>12.4</v>
      </c>
      <c r="J187" s="9">
        <v>50</v>
      </c>
      <c r="K187" s="9">
        <v>100</v>
      </c>
      <c r="L187" s="9">
        <v>300</v>
      </c>
      <c r="M187" s="10">
        <v>600</v>
      </c>
      <c r="N187" s="10">
        <v>2</v>
      </c>
      <c r="O187" s="10">
        <v>8</v>
      </c>
      <c r="P187" s="19">
        <v>30</v>
      </c>
      <c r="Q187" s="22" t="s">
        <v>746</v>
      </c>
      <c r="R187">
        <v>8</v>
      </c>
      <c r="S187" s="26">
        <f>VLOOKUP($F187,Munition!$B:$P,10,FALSE)</f>
        <v>16</v>
      </c>
      <c r="T187" s="26">
        <f>VLOOKUP($F187,Munition!$B:$P,11,FALSE)</f>
        <v>900</v>
      </c>
      <c r="U187" s="28">
        <f t="shared" si="26"/>
        <v>844.4383239154829</v>
      </c>
      <c r="V187" s="26">
        <f>VLOOKUP($F187,Munition!$B:$P,5,FALSE)</f>
        <v>3.43</v>
      </c>
      <c r="W187" s="30">
        <f t="shared" si="28"/>
        <v>1222.9254821686809</v>
      </c>
      <c r="X187" s="26">
        <f>VLOOKUP($F187,Munition!$B:$P,15,FALSE)</f>
        <v>147.03178649748705</v>
      </c>
      <c r="Y187" s="26">
        <f>VLOOKUP($F187,Munition!$B:$P,9,FALSE)</f>
        <v>1</v>
      </c>
      <c r="Z187" s="26">
        <f>VLOOKUP($F187,Munition!$B:$P,14,FALSE)</f>
        <v>3.5721442452103835E-6</v>
      </c>
      <c r="AA187" s="30">
        <f t="shared" si="29"/>
        <v>10.4844850377004</v>
      </c>
      <c r="AB187" s="30">
        <f t="shared" si="30"/>
        <v>9.4475212155555113</v>
      </c>
      <c r="AC187" s="30">
        <f t="shared" si="31"/>
        <v>8.5131178877573426</v>
      </c>
      <c r="AD187" s="30">
        <f t="shared" si="32"/>
        <v>5.6126987609104093</v>
      </c>
      <c r="AE187" s="30">
        <f t="shared" si="33"/>
        <v>3.0046671121612651</v>
      </c>
      <c r="AF187" s="32" t="str">
        <f t="shared" si="27"/>
        <v>2D6+2</v>
      </c>
      <c r="AG187" s="33" t="str">
        <f t="shared" si="34"/>
        <v>1+2</v>
      </c>
      <c r="AH187" s="33" t="str">
        <f t="shared" si="35"/>
        <v>2</v>
      </c>
      <c r="AI187" s="33" t="str">
        <f t="shared" si="36"/>
        <v>2+1</v>
      </c>
      <c r="AJ187" s="33" t="str">
        <f t="shared" si="37"/>
        <v>-</v>
      </c>
      <c r="AK187">
        <v>1996</v>
      </c>
    </row>
    <row r="188" spans="1:37">
      <c r="A188" t="s">
        <v>575</v>
      </c>
      <c r="B188" t="s">
        <v>378</v>
      </c>
      <c r="C188" t="s">
        <v>681</v>
      </c>
      <c r="D188" t="s">
        <v>681</v>
      </c>
      <c r="F188" t="s">
        <v>5</v>
      </c>
      <c r="G188" t="s">
        <v>6</v>
      </c>
      <c r="H188">
        <v>3.8</v>
      </c>
      <c r="I188">
        <v>16.3</v>
      </c>
      <c r="J188" s="9">
        <v>50</v>
      </c>
      <c r="K188" s="9">
        <v>100</v>
      </c>
      <c r="L188" s="9">
        <v>300</v>
      </c>
      <c r="M188" s="10">
        <v>600</v>
      </c>
      <c r="N188" s="10">
        <v>2</v>
      </c>
      <c r="O188" s="10">
        <v>3</v>
      </c>
      <c r="P188" s="19">
        <v>30</v>
      </c>
      <c r="Q188" s="22" t="s">
        <v>747</v>
      </c>
      <c r="R188">
        <v>3</v>
      </c>
      <c r="S188" s="26">
        <f>VLOOKUP($F188,Munition!$B:$P,10,FALSE)</f>
        <v>16</v>
      </c>
      <c r="T188" s="26">
        <f>VLOOKUP($F188,Munition!$B:$P,11,FALSE)</f>
        <v>900</v>
      </c>
      <c r="U188" s="28">
        <f t="shared" si="26"/>
        <v>904.18940722978334</v>
      </c>
      <c r="V188" s="26">
        <f>VLOOKUP($F188,Munition!$B:$P,5,FALSE)</f>
        <v>3.43</v>
      </c>
      <c r="W188" s="30">
        <f t="shared" si="28"/>
        <v>1402.1128003113281</v>
      </c>
      <c r="X188" s="26">
        <f>VLOOKUP($F188,Munition!$B:$P,15,FALSE)</f>
        <v>147.03178649748705</v>
      </c>
      <c r="Y188" s="26">
        <f>VLOOKUP($F188,Munition!$B:$P,9,FALSE)</f>
        <v>1</v>
      </c>
      <c r="Z188" s="26">
        <f>VLOOKUP($F188,Munition!$B:$P,14,FALSE)</f>
        <v>3.5721442452103835E-6</v>
      </c>
      <c r="AA188" s="30">
        <f t="shared" si="29"/>
        <v>12.020708449024424</v>
      </c>
      <c r="AB188" s="30">
        <f t="shared" si="30"/>
        <v>10.831805061460075</v>
      </c>
      <c r="AC188" s="30">
        <f t="shared" si="31"/>
        <v>9.7604896905218776</v>
      </c>
      <c r="AD188" s="30">
        <f t="shared" si="32"/>
        <v>6.4350910106218064</v>
      </c>
      <c r="AE188" s="30">
        <f t="shared" si="33"/>
        <v>3.4449214445714613</v>
      </c>
      <c r="AF188" s="32" t="str">
        <f t="shared" si="27"/>
        <v>3D6</v>
      </c>
      <c r="AG188" s="33" t="str">
        <f t="shared" si="34"/>
        <v>1+2</v>
      </c>
      <c r="AH188" s="33" t="str">
        <f t="shared" si="35"/>
        <v>2</v>
      </c>
      <c r="AI188" s="33" t="str">
        <f t="shared" si="36"/>
        <v>2</v>
      </c>
      <c r="AJ188" s="33" t="str">
        <f t="shared" si="37"/>
        <v>-</v>
      </c>
      <c r="AK188">
        <v>1998</v>
      </c>
    </row>
    <row r="189" spans="1:37">
      <c r="A189" t="s">
        <v>575</v>
      </c>
      <c r="B189" t="s">
        <v>379</v>
      </c>
      <c r="C189" t="s">
        <v>681</v>
      </c>
      <c r="D189" t="s">
        <v>681</v>
      </c>
      <c r="F189" t="s">
        <v>10</v>
      </c>
      <c r="G189" t="s">
        <v>11</v>
      </c>
      <c r="H189">
        <v>3.45</v>
      </c>
      <c r="I189">
        <v>16.3</v>
      </c>
      <c r="J189" s="9">
        <v>50</v>
      </c>
      <c r="K189" s="9">
        <v>100</v>
      </c>
      <c r="L189" s="9">
        <v>300</v>
      </c>
      <c r="M189" s="10">
        <v>600</v>
      </c>
      <c r="N189" s="10">
        <v>2</v>
      </c>
      <c r="O189" s="10">
        <v>3</v>
      </c>
      <c r="P189" s="19">
        <v>30</v>
      </c>
      <c r="Q189" s="22" t="s">
        <v>747</v>
      </c>
      <c r="R189">
        <v>3</v>
      </c>
      <c r="S189" s="26">
        <f>VLOOKUP($F189,Munition!$B:$P,10,FALSE)</f>
        <v>20</v>
      </c>
      <c r="T189" s="26">
        <f>VLOOKUP($F189,Munition!$B:$P,11,FALSE)</f>
        <v>878</v>
      </c>
      <c r="U189" s="28">
        <f t="shared" si="26"/>
        <v>834.22637818554915</v>
      </c>
      <c r="V189" s="26">
        <f>VLOOKUP($F189,Munition!$B:$P,5,FALSE)</f>
        <v>3.56</v>
      </c>
      <c r="W189" s="30">
        <f t="shared" si="28"/>
        <v>1238.7618971078305</v>
      </c>
      <c r="X189" s="26">
        <f>VLOOKUP($F189,Munition!$B:$P,15,FALSE)</f>
        <v>146.62584685242678</v>
      </c>
      <c r="Y189" s="26">
        <f>VLOOKUP($F189,Munition!$B:$P,9,FALSE)</f>
        <v>1</v>
      </c>
      <c r="Z189" s="26">
        <f>VLOOKUP($F189,Munition!$B:$P,14,FALSE)</f>
        <v>3.7177960891755132E-6</v>
      </c>
      <c r="AA189" s="30">
        <f t="shared" si="29"/>
        <v>10.20418607932328</v>
      </c>
      <c r="AB189" s="30">
        <f t="shared" si="30"/>
        <v>9.192294342400535</v>
      </c>
      <c r="AC189" s="30">
        <f t="shared" si="31"/>
        <v>8.2807462173340376</v>
      </c>
      <c r="AD189" s="30">
        <f t="shared" si="32"/>
        <v>5.4532032567216433</v>
      </c>
      <c r="AE189" s="30">
        <f t="shared" si="33"/>
        <v>2.9142378949141685</v>
      </c>
      <c r="AF189" s="32" t="str">
        <f t="shared" si="27"/>
        <v>2D6+2</v>
      </c>
      <c r="AG189" s="33" t="str">
        <f t="shared" si="34"/>
        <v>2</v>
      </c>
      <c r="AH189" s="33" t="str">
        <f t="shared" si="35"/>
        <v>2</v>
      </c>
      <c r="AI189" s="33" t="str">
        <f t="shared" si="36"/>
        <v>2+1</v>
      </c>
      <c r="AJ189" s="33" t="str">
        <f t="shared" si="37"/>
        <v>-</v>
      </c>
      <c r="AK189">
        <v>1998</v>
      </c>
    </row>
    <row r="190" spans="1:37">
      <c r="A190" t="s">
        <v>575</v>
      </c>
      <c r="B190" t="s">
        <v>380</v>
      </c>
      <c r="C190" t="s">
        <v>681</v>
      </c>
      <c r="D190" t="s">
        <v>681</v>
      </c>
      <c r="F190" t="s">
        <v>5</v>
      </c>
      <c r="G190" t="s">
        <v>6</v>
      </c>
      <c r="H190">
        <v>2.9</v>
      </c>
      <c r="I190">
        <v>16.3</v>
      </c>
      <c r="J190" s="9">
        <v>50</v>
      </c>
      <c r="K190" s="9">
        <v>100</v>
      </c>
      <c r="L190" s="9">
        <v>300</v>
      </c>
      <c r="M190" s="10">
        <v>600</v>
      </c>
      <c r="N190" s="10">
        <v>2</v>
      </c>
      <c r="O190" s="10">
        <v>3</v>
      </c>
      <c r="P190" s="19">
        <v>30</v>
      </c>
      <c r="Q190" s="22" t="s">
        <v>747</v>
      </c>
      <c r="R190">
        <v>3</v>
      </c>
      <c r="S190" s="26">
        <f>VLOOKUP($F190,Munition!$B:$P,10,FALSE)</f>
        <v>16</v>
      </c>
      <c r="T190" s="26">
        <f>VLOOKUP($F190,Munition!$B:$P,11,FALSE)</f>
        <v>900</v>
      </c>
      <c r="U190" s="28">
        <f t="shared" si="26"/>
        <v>904.18940722978334</v>
      </c>
      <c r="V190" s="26">
        <f>VLOOKUP($F190,Munition!$B:$P,5,FALSE)</f>
        <v>3.43</v>
      </c>
      <c r="W190" s="30">
        <f t="shared" si="28"/>
        <v>1402.1128003113281</v>
      </c>
      <c r="X190" s="26">
        <f>VLOOKUP($F190,Munition!$B:$P,15,FALSE)</f>
        <v>147.03178649748705</v>
      </c>
      <c r="Y190" s="26">
        <f>VLOOKUP($F190,Munition!$B:$P,9,FALSE)</f>
        <v>1</v>
      </c>
      <c r="Z190" s="26">
        <f>VLOOKUP($F190,Munition!$B:$P,14,FALSE)</f>
        <v>3.5721442452103835E-6</v>
      </c>
      <c r="AA190" s="30">
        <f t="shared" si="29"/>
        <v>12.020708449024424</v>
      </c>
      <c r="AB190" s="30">
        <f t="shared" si="30"/>
        <v>10.831805061460075</v>
      </c>
      <c r="AC190" s="30">
        <f t="shared" si="31"/>
        <v>9.7604896905218776</v>
      </c>
      <c r="AD190" s="30">
        <f t="shared" si="32"/>
        <v>6.4350910106218064</v>
      </c>
      <c r="AE190" s="30">
        <f t="shared" si="33"/>
        <v>3.4449214445714613</v>
      </c>
      <c r="AF190" s="32" t="str">
        <f t="shared" si="27"/>
        <v>3D6</v>
      </c>
      <c r="AG190" s="33" t="str">
        <f t="shared" si="34"/>
        <v>1+2</v>
      </c>
      <c r="AH190" s="33" t="str">
        <f t="shared" si="35"/>
        <v>2</v>
      </c>
      <c r="AI190" s="33" t="str">
        <f t="shared" si="36"/>
        <v>2</v>
      </c>
      <c r="AJ190" s="33" t="str">
        <f t="shared" si="37"/>
        <v>-</v>
      </c>
      <c r="AK190">
        <v>2012</v>
      </c>
    </row>
    <row r="191" spans="1:37">
      <c r="A191" t="s">
        <v>575</v>
      </c>
      <c r="B191" t="s">
        <v>381</v>
      </c>
      <c r="C191" t="s">
        <v>681</v>
      </c>
      <c r="D191" t="s">
        <v>681</v>
      </c>
      <c r="F191" t="s">
        <v>37</v>
      </c>
      <c r="G191" t="s">
        <v>38</v>
      </c>
      <c r="H191">
        <v>3.3</v>
      </c>
      <c r="I191">
        <v>16.3</v>
      </c>
      <c r="J191" s="9">
        <v>50</v>
      </c>
      <c r="K191" s="9">
        <v>100</v>
      </c>
      <c r="L191" s="9">
        <v>300</v>
      </c>
      <c r="M191" s="10">
        <v>600</v>
      </c>
      <c r="N191" s="10">
        <v>2</v>
      </c>
      <c r="O191" s="10">
        <v>3</v>
      </c>
      <c r="P191" s="19">
        <v>30</v>
      </c>
      <c r="Q191" s="22" t="s">
        <v>748</v>
      </c>
      <c r="R191">
        <v>4</v>
      </c>
      <c r="S191" s="26">
        <f>VLOOKUP($F191,Munition!$B:$P,10,FALSE)</f>
        <v>16</v>
      </c>
      <c r="T191" s="26">
        <f>VLOOKUP($F191,Munition!$B:$P,11,FALSE)</f>
        <v>725</v>
      </c>
      <c r="U191" s="28">
        <f t="shared" si="26"/>
        <v>728.37480026843662</v>
      </c>
      <c r="V191" s="26">
        <f>VLOOKUP($F191,Munition!$B:$P,5,FALSE)</f>
        <v>7.9</v>
      </c>
      <c r="W191" s="30">
        <f t="shared" si="28"/>
        <v>2095.5929061810357</v>
      </c>
      <c r="X191" s="26">
        <f>VLOOKUP($F191,Munition!$B:$P,15,FALSE)</f>
        <v>173.23166007756538</v>
      </c>
      <c r="Y191" s="26">
        <f>VLOOKUP($F191,Munition!$B:$P,9,FALSE)</f>
        <v>1</v>
      </c>
      <c r="Z191" s="26">
        <f>VLOOKUP($F191,Munition!$B:$P,14,FALSE)</f>
        <v>7.8210299398698787E-6</v>
      </c>
      <c r="AA191" s="30">
        <f t="shared" si="29"/>
        <v>9.1904566578357088</v>
      </c>
      <c r="AB191" s="30">
        <f t="shared" si="30"/>
        <v>8.3241859464931736</v>
      </c>
      <c r="AC191" s="30">
        <f t="shared" si="31"/>
        <v>7.5395678638793857</v>
      </c>
      <c r="AD191" s="30">
        <f t="shared" si="32"/>
        <v>5.0741719647049877</v>
      </c>
      <c r="AE191" s="30">
        <f t="shared" si="33"/>
        <v>2.8015170612274409</v>
      </c>
      <c r="AF191" s="32" t="str">
        <f t="shared" si="27"/>
        <v>3D6+2</v>
      </c>
      <c r="AG191" s="33" t="str">
        <f t="shared" si="34"/>
        <v>2+2</v>
      </c>
      <c r="AH191" s="33" t="str">
        <f t="shared" si="35"/>
        <v>3</v>
      </c>
      <c r="AI191" s="33" t="str">
        <f t="shared" si="36"/>
        <v>3+1</v>
      </c>
      <c r="AJ191" s="33" t="str">
        <f t="shared" si="37"/>
        <v>-</v>
      </c>
      <c r="AK191">
        <v>2016</v>
      </c>
    </row>
    <row r="192" spans="1:37">
      <c r="A192" t="s">
        <v>575</v>
      </c>
      <c r="B192" t="s">
        <v>382</v>
      </c>
      <c r="C192" t="s">
        <v>681</v>
      </c>
      <c r="D192" t="s">
        <v>681</v>
      </c>
      <c r="F192" t="s">
        <v>37</v>
      </c>
      <c r="G192" t="s">
        <v>38</v>
      </c>
      <c r="H192">
        <v>4.3</v>
      </c>
      <c r="I192">
        <v>16.3</v>
      </c>
      <c r="J192" s="9">
        <v>50</v>
      </c>
      <c r="K192" s="9">
        <v>100</v>
      </c>
      <c r="L192" s="9">
        <v>300</v>
      </c>
      <c r="M192" s="10">
        <v>600</v>
      </c>
      <c r="N192" s="10">
        <v>2</v>
      </c>
      <c r="O192" s="10">
        <v>10</v>
      </c>
      <c r="P192" s="19">
        <v>30</v>
      </c>
      <c r="Q192" s="22" t="s">
        <v>695</v>
      </c>
      <c r="R192">
        <v>10</v>
      </c>
      <c r="S192" s="26">
        <f>VLOOKUP($F192,Munition!$B:$P,10,FALSE)</f>
        <v>16</v>
      </c>
      <c r="T192" s="26">
        <f>VLOOKUP($F192,Munition!$B:$P,11,FALSE)</f>
        <v>725</v>
      </c>
      <c r="U192" s="28">
        <f t="shared" si="26"/>
        <v>728.37480026843662</v>
      </c>
      <c r="V192" s="26">
        <f>VLOOKUP($F192,Munition!$B:$P,5,FALSE)</f>
        <v>7.9</v>
      </c>
      <c r="W192" s="30">
        <f t="shared" si="28"/>
        <v>2095.5929061810357</v>
      </c>
      <c r="X192" s="26">
        <f>VLOOKUP($F192,Munition!$B:$P,15,FALSE)</f>
        <v>173.23166007756538</v>
      </c>
      <c r="Y192" s="26">
        <f>VLOOKUP($F192,Munition!$B:$P,9,FALSE)</f>
        <v>1</v>
      </c>
      <c r="Z192" s="26">
        <f>VLOOKUP($F192,Munition!$B:$P,14,FALSE)</f>
        <v>7.8210299398698787E-6</v>
      </c>
      <c r="AA192" s="30">
        <f t="shared" si="29"/>
        <v>9.1904566578357088</v>
      </c>
      <c r="AB192" s="30">
        <f t="shared" si="30"/>
        <v>8.3241859464931736</v>
      </c>
      <c r="AC192" s="30">
        <f t="shared" si="31"/>
        <v>7.5395678638793857</v>
      </c>
      <c r="AD192" s="30">
        <f t="shared" si="32"/>
        <v>5.0741719647049877</v>
      </c>
      <c r="AE192" s="30">
        <f t="shared" si="33"/>
        <v>2.8015170612274409</v>
      </c>
      <c r="AF192" s="32" t="str">
        <f t="shared" si="27"/>
        <v>3D6+2</v>
      </c>
      <c r="AG192" s="33" t="str">
        <f t="shared" si="34"/>
        <v>2+2</v>
      </c>
      <c r="AH192" s="33" t="str">
        <f t="shared" si="35"/>
        <v>3</v>
      </c>
      <c r="AI192" s="33" t="str">
        <f t="shared" si="36"/>
        <v>3+1</v>
      </c>
      <c r="AJ192" s="33" t="str">
        <f t="shared" si="37"/>
        <v>-</v>
      </c>
      <c r="AK192">
        <v>1947</v>
      </c>
    </row>
    <row r="193" spans="1:37">
      <c r="A193" t="s">
        <v>575</v>
      </c>
      <c r="B193" t="s">
        <v>383</v>
      </c>
      <c r="C193" t="s">
        <v>681</v>
      </c>
      <c r="D193" t="s">
        <v>681</v>
      </c>
      <c r="F193" t="s">
        <v>5</v>
      </c>
      <c r="G193" t="s">
        <v>6</v>
      </c>
      <c r="H193">
        <v>3.6</v>
      </c>
      <c r="I193">
        <v>16.3</v>
      </c>
      <c r="J193" s="9">
        <v>50</v>
      </c>
      <c r="K193" s="9">
        <v>100</v>
      </c>
      <c r="L193" s="9">
        <v>300</v>
      </c>
      <c r="M193" s="10">
        <v>600</v>
      </c>
      <c r="N193" s="10">
        <v>2</v>
      </c>
      <c r="O193" s="10">
        <v>5</v>
      </c>
      <c r="P193" s="19">
        <v>30</v>
      </c>
      <c r="Q193" s="22" t="s">
        <v>734</v>
      </c>
      <c r="R193">
        <v>5</v>
      </c>
      <c r="S193" s="26">
        <f>VLOOKUP($F193,Munition!$B:$P,10,FALSE)</f>
        <v>16</v>
      </c>
      <c r="T193" s="26">
        <f>VLOOKUP($F193,Munition!$B:$P,11,FALSE)</f>
        <v>900</v>
      </c>
      <c r="U193" s="28">
        <f t="shared" si="26"/>
        <v>904.18940722978334</v>
      </c>
      <c r="V193" s="26">
        <f>VLOOKUP($F193,Munition!$B:$P,5,FALSE)</f>
        <v>3.43</v>
      </c>
      <c r="W193" s="30">
        <f t="shared" si="28"/>
        <v>1402.1128003113281</v>
      </c>
      <c r="X193" s="26">
        <f>VLOOKUP($F193,Munition!$B:$P,15,FALSE)</f>
        <v>147.03178649748705</v>
      </c>
      <c r="Y193" s="26">
        <f>VLOOKUP($F193,Munition!$B:$P,9,FALSE)</f>
        <v>1</v>
      </c>
      <c r="Z193" s="26">
        <f>VLOOKUP($F193,Munition!$B:$P,14,FALSE)</f>
        <v>3.5721442452103835E-6</v>
      </c>
      <c r="AA193" s="30">
        <f t="shared" si="29"/>
        <v>12.020708449024424</v>
      </c>
      <c r="AB193" s="30">
        <f t="shared" si="30"/>
        <v>10.831805061460075</v>
      </c>
      <c r="AC193" s="30">
        <f t="shared" si="31"/>
        <v>9.7604896905218776</v>
      </c>
      <c r="AD193" s="30">
        <f t="shared" si="32"/>
        <v>6.4350910106218064</v>
      </c>
      <c r="AE193" s="30">
        <f t="shared" si="33"/>
        <v>3.4449214445714613</v>
      </c>
      <c r="AF193" s="32" t="str">
        <f t="shared" si="27"/>
        <v>3D6</v>
      </c>
      <c r="AG193" s="33" t="str">
        <f t="shared" si="34"/>
        <v>1+2</v>
      </c>
      <c r="AH193" s="33" t="str">
        <f t="shared" si="35"/>
        <v>2</v>
      </c>
      <c r="AI193" s="33" t="str">
        <f t="shared" si="36"/>
        <v>2</v>
      </c>
      <c r="AJ193" s="33" t="str">
        <f t="shared" si="37"/>
        <v>-</v>
      </c>
      <c r="AK193">
        <v>1974</v>
      </c>
    </row>
    <row r="194" spans="1:37">
      <c r="A194" t="s">
        <v>575</v>
      </c>
      <c r="B194" t="s">
        <v>384</v>
      </c>
      <c r="C194" t="s">
        <v>681</v>
      </c>
      <c r="D194" t="s">
        <v>681</v>
      </c>
      <c r="F194" t="s">
        <v>113</v>
      </c>
      <c r="G194" t="s">
        <v>112</v>
      </c>
      <c r="H194">
        <v>3.1</v>
      </c>
      <c r="I194">
        <v>16.3</v>
      </c>
      <c r="J194" s="9">
        <v>66</v>
      </c>
      <c r="K194" s="9">
        <v>132</v>
      </c>
      <c r="L194" s="9">
        <v>396</v>
      </c>
      <c r="M194" s="10">
        <v>792</v>
      </c>
      <c r="N194" s="10">
        <v>1</v>
      </c>
      <c r="O194" s="10">
        <v>2</v>
      </c>
      <c r="P194" s="19">
        <v>20</v>
      </c>
      <c r="Q194" s="22" t="s">
        <v>733</v>
      </c>
      <c r="R194">
        <v>3</v>
      </c>
      <c r="S194" s="26">
        <f>VLOOKUP($F194,Munition!$B:$P,10,FALSE)</f>
        <v>12</v>
      </c>
      <c r="T194" s="26">
        <f>VLOOKUP($F194,Munition!$B:$P,11,FALSE)</f>
        <v>280</v>
      </c>
      <c r="U194" s="28">
        <f t="shared" ref="U194:U255" si="38">T194 * POWER(I194/S194,0.25)</f>
        <v>302.28014434565961</v>
      </c>
      <c r="V194" s="26">
        <f>VLOOKUP($F194,Munition!$B:$P,5,FALSE)</f>
        <v>16.8</v>
      </c>
      <c r="W194" s="30">
        <f t="shared" si="28"/>
        <v>767.53559959131564</v>
      </c>
      <c r="X194" s="26">
        <f>VLOOKUP($F194,Munition!$B:$P,15,FALSE)</f>
        <v>247.31673432247348</v>
      </c>
      <c r="Y194" s="26">
        <f>VLOOKUP($F194,Munition!$B:$P,9,FALSE)</f>
        <v>1</v>
      </c>
      <c r="Z194" s="26">
        <f>VLOOKUP($F194,Munition!$B:$P,14,FALSE)</f>
        <v>1.4562298058262588E-5</v>
      </c>
      <c r="AA194" s="30">
        <f t="shared" si="29"/>
        <v>2.2598142615138781</v>
      </c>
      <c r="AB194" s="30">
        <f t="shared" si="30"/>
        <v>2.0154944875924872</v>
      </c>
      <c r="AC194" s="30">
        <f t="shared" si="31"/>
        <v>1.7975893411675228</v>
      </c>
      <c r="AD194" s="30">
        <f t="shared" si="32"/>
        <v>1.1374333624934139</v>
      </c>
      <c r="AE194" s="30">
        <f t="shared" si="33"/>
        <v>0.57250486296443281</v>
      </c>
      <c r="AF194" s="32" t="str">
        <f t="shared" ref="AF194:AF255" si="39">IF(INT(SQRT(W194)/12)=0, MOD(INT(SQRT(W194)/4),3), INT(SQRT(W194)/12) &amp; "D6" &amp; IF(MOD(INT(SQRT(W194)/4),3)=0, "", "+" &amp; MOD(INT(SQRT(W194)/4),3)))</f>
        <v>2D6</v>
      </c>
      <c r="AG194" s="33" t="str">
        <f t="shared" si="34"/>
        <v>-</v>
      </c>
      <c r="AH194" s="33" t="str">
        <f t="shared" si="35"/>
        <v>-</v>
      </c>
      <c r="AI194" s="33" t="str">
        <f t="shared" si="36"/>
        <v>-</v>
      </c>
      <c r="AJ194" s="33" t="str">
        <f t="shared" si="37"/>
        <v>-</v>
      </c>
      <c r="AK194">
        <v>2006</v>
      </c>
    </row>
    <row r="195" spans="1:37">
      <c r="A195" t="s">
        <v>575</v>
      </c>
      <c r="B195" t="s">
        <v>385</v>
      </c>
      <c r="C195" t="s">
        <v>681</v>
      </c>
      <c r="D195" t="s">
        <v>681</v>
      </c>
      <c r="F195" t="s">
        <v>37</v>
      </c>
      <c r="G195" t="s">
        <v>38</v>
      </c>
      <c r="H195">
        <v>3.15</v>
      </c>
      <c r="I195">
        <v>16.3</v>
      </c>
      <c r="J195" s="9">
        <v>50</v>
      </c>
      <c r="K195" s="9">
        <v>100</v>
      </c>
      <c r="L195" s="9">
        <v>300</v>
      </c>
      <c r="M195" s="10">
        <v>600</v>
      </c>
      <c r="N195" s="10">
        <v>2</v>
      </c>
      <c r="O195" s="10">
        <v>5</v>
      </c>
      <c r="P195" s="19">
        <v>30</v>
      </c>
      <c r="Q195" s="22" t="s">
        <v>734</v>
      </c>
      <c r="R195">
        <v>5</v>
      </c>
      <c r="S195" s="26">
        <f>VLOOKUP($F195,Munition!$B:$P,10,FALSE)</f>
        <v>16</v>
      </c>
      <c r="T195" s="26">
        <f>VLOOKUP($F195,Munition!$B:$P,11,FALSE)</f>
        <v>725</v>
      </c>
      <c r="U195" s="28">
        <f t="shared" si="38"/>
        <v>728.37480026843662</v>
      </c>
      <c r="V195" s="26">
        <f>VLOOKUP($F195,Munition!$B:$P,5,FALSE)</f>
        <v>7.9</v>
      </c>
      <c r="W195" s="30">
        <f t="shared" ref="W195:W256" si="40">0.5 * (V195/1000) * (U195^2)</f>
        <v>2095.5929061810357</v>
      </c>
      <c r="X195" s="26">
        <f>VLOOKUP($F195,Munition!$B:$P,15,FALSE)</f>
        <v>173.23166007756538</v>
      </c>
      <c r="Y195" s="26">
        <f>VLOOKUP($F195,Munition!$B:$P,9,FALSE)</f>
        <v>1</v>
      </c>
      <c r="Z195" s="26">
        <f>VLOOKUP($F195,Munition!$B:$P,14,FALSE)</f>
        <v>7.8210299398698787E-6</v>
      </c>
      <c r="AA195" s="30">
        <f t="shared" ref="AA195:AA256" si="41">0.0000001 * X195 * (2 * W195 / (V195/1000)) * Y195</f>
        <v>9.1904566578357088</v>
      </c>
      <c r="AB195" s="30">
        <f t="shared" ref="AB195:AB256" si="42">0.0000001 * $X195 * (2 * $W195 * EXP(-(2*$Z195/($V195/1000)) * J195) / ($V195/1000))  * $Y195</f>
        <v>8.3241859464931736</v>
      </c>
      <c r="AC195" s="30">
        <f t="shared" ref="AC195:AC256" si="43">0.0000001 * $X195 * (2 * $W195 * EXP(-(2*$Z195/($V195/1000)) * K195) / ($V195/1000))  * $Y195</f>
        <v>7.5395678638793857</v>
      </c>
      <c r="AD195" s="30">
        <f t="shared" ref="AD195:AD256" si="44">0.0000001 * $X195 * (2 * $W195 * EXP(-(2*$Z195/($V195/1000)) * L195) / ($V195/1000))  * $Y195</f>
        <v>5.0741719647049877</v>
      </c>
      <c r="AE195" s="30">
        <f t="shared" ref="AE195:AE256" si="45">0.0000001 * $X195 * (2 * $W195 * EXP(-(2*$Z195/($V195/1000)) * M195) / ($V195/1000))  * $Y195</f>
        <v>2.8015170612274409</v>
      </c>
      <c r="AF195" s="32" t="str">
        <f t="shared" si="39"/>
        <v>3D6+2</v>
      </c>
      <c r="AG195" s="33" t="str">
        <f t="shared" ref="AG195:AG256" si="46">IF((SQRT($W195)*(7/AA195))&gt;=(SQRT($W195)),"-",IF(INT(SQRT($W195)*(7/AA195)/12)=0, MOD(INT(SQRT($W195)*(7/AA195)/4),3), INT(SQRT($W195)*(7/AA195)/12)  &amp; IF(MOD(INT(SQRT($W195)*(7/AA195)/4),3)=0, "", "+" &amp; MOD(INT(SQRT($W195)*(7/AA195)/4),3))))</f>
        <v>2+2</v>
      </c>
      <c r="AH195" s="33" t="str">
        <f t="shared" ref="AH195:AH256" si="47">IF((SQRT($W195)*(7/AB195))&gt;=(SQRT($W195)),"-",IF(INT(SQRT($W195)*(7/AB195)/12)=0, MOD(INT(SQRT($W195)*(7/AB195)/4),3), INT(SQRT($W195)*(7/AB195)/12)  &amp; IF(MOD(INT(SQRT($W195)*(7/AB195)/4),3)=0, "", "+" &amp; MOD(INT(SQRT($W195)*(7/AB195)/4),3))))</f>
        <v>3</v>
      </c>
      <c r="AI195" s="33" t="str">
        <f t="shared" ref="AI195:AI256" si="48">IF((SQRT($W195)*(7/AC195))&gt;=(SQRT($W195)),"-",IF(INT(SQRT($W195)*(7/AC195)/12)=0, MOD(INT(SQRT($W195)*(7/AC195)/4),3), INT(SQRT($W195)*(7/AC195)/12)  &amp; IF(MOD(INT(SQRT($W195)*(7/AC195)/4),3)=0, "", "+" &amp; MOD(INT(SQRT($W195)*(7/AC195)/4),3))))</f>
        <v>3+1</v>
      </c>
      <c r="AJ195" s="33" t="str">
        <f t="shared" ref="AJ195:AJ256" si="49">IF((SQRT($W195)*(7/AD195))&gt;=(SQRT($W195)),"-",IF(INT(SQRT($W195)*(7/AD195)/12)=0, MOD(INT(SQRT($W195)*(7/AD195)/4),3), INT(SQRT($W195)*(7/AD195)/12)  &amp; IF(MOD(INT(SQRT($W195)*(7/AD195)/4),3)=0, "", "+" &amp; MOD(INT(SQRT($W195)*(7/AD195)/4),3))))</f>
        <v>-</v>
      </c>
      <c r="AK195">
        <v>1959</v>
      </c>
    </row>
    <row r="196" spans="1:37">
      <c r="A196" t="s">
        <v>575</v>
      </c>
      <c r="B196" t="s">
        <v>386</v>
      </c>
      <c r="C196" t="s">
        <v>681</v>
      </c>
      <c r="D196" t="s">
        <v>681</v>
      </c>
      <c r="F196" t="s">
        <v>37</v>
      </c>
      <c r="G196" t="s">
        <v>38</v>
      </c>
      <c r="H196">
        <v>3.46</v>
      </c>
      <c r="I196">
        <v>16.3</v>
      </c>
      <c r="J196" s="9">
        <v>50</v>
      </c>
      <c r="K196" s="9">
        <v>100</v>
      </c>
      <c r="L196" s="9">
        <v>300</v>
      </c>
      <c r="M196" s="10">
        <v>600</v>
      </c>
      <c r="N196" s="10">
        <v>2</v>
      </c>
      <c r="O196" s="10">
        <v>5</v>
      </c>
      <c r="P196" s="19">
        <v>30</v>
      </c>
      <c r="Q196" s="22" t="s">
        <v>734</v>
      </c>
      <c r="R196">
        <v>5</v>
      </c>
      <c r="S196" s="26">
        <f>VLOOKUP($F196,Munition!$B:$P,10,FALSE)</f>
        <v>16</v>
      </c>
      <c r="T196" s="26">
        <f>VLOOKUP($F196,Munition!$B:$P,11,FALSE)</f>
        <v>725</v>
      </c>
      <c r="U196" s="28">
        <f t="shared" si="38"/>
        <v>728.37480026843662</v>
      </c>
      <c r="V196" s="26">
        <f>VLOOKUP($F196,Munition!$B:$P,5,FALSE)</f>
        <v>7.9</v>
      </c>
      <c r="W196" s="30">
        <f t="shared" si="40"/>
        <v>2095.5929061810357</v>
      </c>
      <c r="X196" s="26">
        <f>VLOOKUP($F196,Munition!$B:$P,15,FALSE)</f>
        <v>173.23166007756538</v>
      </c>
      <c r="Y196" s="26">
        <f>VLOOKUP($F196,Munition!$B:$P,9,FALSE)</f>
        <v>1</v>
      </c>
      <c r="Z196" s="26">
        <f>VLOOKUP($F196,Munition!$B:$P,14,FALSE)</f>
        <v>7.8210299398698787E-6</v>
      </c>
      <c r="AA196" s="30">
        <f t="shared" si="41"/>
        <v>9.1904566578357088</v>
      </c>
      <c r="AB196" s="30">
        <f t="shared" si="42"/>
        <v>8.3241859464931736</v>
      </c>
      <c r="AC196" s="30">
        <f t="shared" si="43"/>
        <v>7.5395678638793857</v>
      </c>
      <c r="AD196" s="30">
        <f t="shared" si="44"/>
        <v>5.0741719647049877</v>
      </c>
      <c r="AE196" s="30">
        <f t="shared" si="45"/>
        <v>2.8015170612274409</v>
      </c>
      <c r="AF196" s="32" t="str">
        <f t="shared" si="39"/>
        <v>3D6+2</v>
      </c>
      <c r="AG196" s="33" t="str">
        <f t="shared" si="46"/>
        <v>2+2</v>
      </c>
      <c r="AH196" s="33" t="str">
        <f t="shared" si="47"/>
        <v>3</v>
      </c>
      <c r="AI196" s="33" t="str">
        <f t="shared" si="48"/>
        <v>3+1</v>
      </c>
      <c r="AJ196" s="33" t="str">
        <f t="shared" si="49"/>
        <v>-</v>
      </c>
      <c r="AK196">
        <v>1959</v>
      </c>
    </row>
    <row r="197" spans="1:37">
      <c r="A197" t="s">
        <v>577</v>
      </c>
      <c r="B197" t="s">
        <v>387</v>
      </c>
      <c r="C197" t="s">
        <v>681</v>
      </c>
      <c r="D197" t="s">
        <v>681</v>
      </c>
      <c r="F197" t="s">
        <v>5</v>
      </c>
      <c r="G197" t="s">
        <v>6</v>
      </c>
      <c r="H197">
        <v>2.5</v>
      </c>
      <c r="I197">
        <v>16</v>
      </c>
      <c r="J197" s="9">
        <v>16</v>
      </c>
      <c r="K197" s="9">
        <v>32</v>
      </c>
      <c r="L197" s="9">
        <v>96</v>
      </c>
      <c r="M197" s="10">
        <v>192</v>
      </c>
      <c r="N197" s="10">
        <v>2</v>
      </c>
      <c r="O197" s="10">
        <v>5</v>
      </c>
      <c r="P197" s="19">
        <v>30</v>
      </c>
      <c r="Q197" s="22" t="s">
        <v>749</v>
      </c>
      <c r="R197">
        <v>10</v>
      </c>
      <c r="S197" s="26">
        <f>VLOOKUP($F197,Munition!$B:$P,10,FALSE)</f>
        <v>16</v>
      </c>
      <c r="T197" s="26">
        <f>VLOOKUP($F197,Munition!$B:$P,11,FALSE)</f>
        <v>900</v>
      </c>
      <c r="U197" s="28">
        <f t="shared" si="38"/>
        <v>900</v>
      </c>
      <c r="V197" s="26">
        <f>VLOOKUP($F197,Munition!$B:$P,5,FALSE)</f>
        <v>3.43</v>
      </c>
      <c r="W197" s="30">
        <f t="shared" si="40"/>
        <v>1389.15</v>
      </c>
      <c r="X197" s="26">
        <f>VLOOKUP($F197,Munition!$B:$P,15,FALSE)</f>
        <v>147.03178649748705</v>
      </c>
      <c r="Y197" s="26">
        <f>VLOOKUP($F197,Munition!$B:$P,9,FALSE)</f>
        <v>1</v>
      </c>
      <c r="Z197" s="26">
        <f>VLOOKUP($F197,Munition!$B:$P,14,FALSE)</f>
        <v>3.5721442452103835E-6</v>
      </c>
      <c r="AA197" s="30">
        <f t="shared" si="41"/>
        <v>11.90957470629645</v>
      </c>
      <c r="AB197" s="30">
        <f t="shared" si="42"/>
        <v>11.519215416035079</v>
      </c>
      <c r="AC197" s="30">
        <f t="shared" si="43"/>
        <v>11.141650904701688</v>
      </c>
      <c r="AD197" s="30">
        <f t="shared" si="44"/>
        <v>9.7511566754841628</v>
      </c>
      <c r="AE197" s="30">
        <f t="shared" si="45"/>
        <v>7.9839170461367548</v>
      </c>
      <c r="AF197" s="32" t="str">
        <f t="shared" si="39"/>
        <v>3D6</v>
      </c>
      <c r="AG197" s="33" t="str">
        <f t="shared" si="46"/>
        <v>1+2</v>
      </c>
      <c r="AH197" s="33" t="str">
        <f t="shared" si="47"/>
        <v>1+2</v>
      </c>
      <c r="AI197" s="33" t="str">
        <f t="shared" si="48"/>
        <v>1+2</v>
      </c>
      <c r="AJ197" s="33" t="str">
        <f t="shared" si="49"/>
        <v>2</v>
      </c>
      <c r="AK197">
        <v>1980</v>
      </c>
    </row>
    <row r="198" spans="1:37">
      <c r="A198" t="s">
        <v>575</v>
      </c>
      <c r="B198" t="s">
        <v>388</v>
      </c>
      <c r="C198" t="s">
        <v>681</v>
      </c>
      <c r="D198" t="s">
        <v>681</v>
      </c>
      <c r="F198" t="s">
        <v>5</v>
      </c>
      <c r="G198" t="s">
        <v>6</v>
      </c>
      <c r="H198">
        <v>2.68</v>
      </c>
      <c r="I198">
        <v>8.1</v>
      </c>
      <c r="J198" s="9">
        <v>45</v>
      </c>
      <c r="K198" s="9">
        <v>90</v>
      </c>
      <c r="L198" s="9">
        <v>270</v>
      </c>
      <c r="M198" s="10">
        <v>540</v>
      </c>
      <c r="N198" s="10">
        <v>2</v>
      </c>
      <c r="O198" s="10">
        <v>10</v>
      </c>
      <c r="P198" s="19">
        <v>30</v>
      </c>
      <c r="Q198" s="22" t="s">
        <v>750</v>
      </c>
      <c r="R198">
        <v>12</v>
      </c>
      <c r="S198" s="26">
        <f>VLOOKUP($F198,Munition!$B:$P,10,FALSE)</f>
        <v>16</v>
      </c>
      <c r="T198" s="26">
        <f>VLOOKUP($F198,Munition!$B:$P,11,FALSE)</f>
        <v>900</v>
      </c>
      <c r="U198" s="28">
        <f t="shared" si="38"/>
        <v>759.1607890069713</v>
      </c>
      <c r="V198" s="26">
        <f>VLOOKUP($F198,Munition!$B:$P,5,FALSE)</f>
        <v>3.43</v>
      </c>
      <c r="W198" s="30">
        <f t="shared" si="40"/>
        <v>988.39755261515359</v>
      </c>
      <c r="X198" s="26">
        <f>VLOOKUP($F198,Munition!$B:$P,15,FALSE)</f>
        <v>147.03178649748705</v>
      </c>
      <c r="Y198" s="26">
        <f>VLOOKUP($F198,Munition!$B:$P,9,FALSE)</f>
        <v>1</v>
      </c>
      <c r="Z198" s="26">
        <f>VLOOKUP($F198,Munition!$B:$P,14,FALSE)</f>
        <v>3.5721442452103835E-6</v>
      </c>
      <c r="AA198" s="30">
        <f t="shared" si="41"/>
        <v>8.4738109580612235</v>
      </c>
      <c r="AB198" s="30">
        <f t="shared" si="42"/>
        <v>7.715649053936354</v>
      </c>
      <c r="AC198" s="30">
        <f t="shared" si="43"/>
        <v>7.025320793459084</v>
      </c>
      <c r="AD198" s="30">
        <f t="shared" si="44"/>
        <v>4.8288191201963668</v>
      </c>
      <c r="AE198" s="30">
        <f t="shared" si="45"/>
        <v>2.7517128020647954</v>
      </c>
      <c r="AF198" s="32" t="str">
        <f t="shared" si="39"/>
        <v>2D6+1</v>
      </c>
      <c r="AG198" s="33" t="str">
        <f t="shared" si="46"/>
        <v>2</v>
      </c>
      <c r="AH198" s="33" t="str">
        <f t="shared" si="47"/>
        <v>2+1</v>
      </c>
      <c r="AI198" s="33" t="str">
        <f t="shared" si="48"/>
        <v>2+1</v>
      </c>
      <c r="AJ198" s="33" t="str">
        <f t="shared" si="49"/>
        <v>-</v>
      </c>
      <c r="AK198">
        <v>1979</v>
      </c>
    </row>
    <row r="199" spans="1:37">
      <c r="A199" t="s">
        <v>577</v>
      </c>
      <c r="B199" t="s">
        <v>389</v>
      </c>
      <c r="C199" t="s">
        <v>681</v>
      </c>
      <c r="D199" t="s">
        <v>681</v>
      </c>
      <c r="F199" t="s">
        <v>182</v>
      </c>
      <c r="G199" t="s">
        <v>79</v>
      </c>
      <c r="I199">
        <v>9</v>
      </c>
      <c r="J199" s="9">
        <v>50</v>
      </c>
      <c r="K199" s="9">
        <v>100</v>
      </c>
      <c r="L199" s="9">
        <v>300</v>
      </c>
      <c r="M199" s="10">
        <v>600</v>
      </c>
      <c r="N199" s="10">
        <v>9</v>
      </c>
      <c r="O199" s="10"/>
      <c r="P199" s="18">
        <v>30</v>
      </c>
      <c r="Q199" s="22" t="s">
        <v>701</v>
      </c>
      <c r="R199">
        <v>1</v>
      </c>
      <c r="S199" s="26">
        <f>VLOOKUP($F199,Munition!$B:$P,10,FALSE)</f>
        <v>4.5</v>
      </c>
      <c r="T199" s="26">
        <f>VLOOKUP($F199,Munition!$B:$P,11,FALSE)</f>
        <v>450</v>
      </c>
      <c r="U199" s="28">
        <f t="shared" si="38"/>
        <v>535.14320175122441</v>
      </c>
      <c r="V199" s="26">
        <f>VLOOKUP($F199,Munition!$B:$P,5,FALSE)</f>
        <v>6.75</v>
      </c>
      <c r="W199" s="30">
        <f t="shared" si="40"/>
        <v>966.52658153436187</v>
      </c>
      <c r="X199" s="26">
        <f>VLOOKUP($F199,Munition!$B:$P,15,FALSE)</f>
        <v>106.1032953945969</v>
      </c>
      <c r="Y199" s="26">
        <f>VLOOKUP($F199,Munition!$B:$P,9,FALSE)</f>
        <v>1</v>
      </c>
      <c r="Z199" s="26">
        <f>VLOOKUP($F199,Munition!$B:$P,14,FALSE)</f>
        <v>1.5586226552622361E-5</v>
      </c>
      <c r="AA199" s="30">
        <f t="shared" si="41"/>
        <v>3.0385675670302321</v>
      </c>
      <c r="AB199" s="30">
        <f t="shared" si="42"/>
        <v>2.4120551640626768</v>
      </c>
      <c r="AC199" s="30">
        <f t="shared" si="43"/>
        <v>1.9147213238268406</v>
      </c>
      <c r="AD199" s="30">
        <f t="shared" si="44"/>
        <v>0.76028938311541716</v>
      </c>
      <c r="AE199" s="30">
        <f t="shared" si="45"/>
        <v>0.1902343565928907</v>
      </c>
      <c r="AF199" s="32" t="str">
        <f t="shared" si="39"/>
        <v>2D6+1</v>
      </c>
      <c r="AG199" s="33" t="str">
        <f t="shared" si="46"/>
        <v>-</v>
      </c>
      <c r="AH199" s="33" t="str">
        <f t="shared" si="47"/>
        <v>-</v>
      </c>
      <c r="AI199" s="33" t="str">
        <f t="shared" si="48"/>
        <v>-</v>
      </c>
      <c r="AJ199" s="33" t="str">
        <f t="shared" si="49"/>
        <v>-</v>
      </c>
      <c r="AK199">
        <v>2015</v>
      </c>
    </row>
    <row r="200" spans="1:37">
      <c r="A200" t="s">
        <v>575</v>
      </c>
      <c r="B200" t="s">
        <v>390</v>
      </c>
      <c r="C200" t="s">
        <v>681</v>
      </c>
      <c r="D200" t="s">
        <v>681</v>
      </c>
      <c r="F200" t="s">
        <v>391</v>
      </c>
      <c r="G200" t="s">
        <v>392</v>
      </c>
      <c r="I200">
        <v>18.25</v>
      </c>
      <c r="J200" s="9">
        <v>8</v>
      </c>
      <c r="K200" s="9">
        <v>16</v>
      </c>
      <c r="L200" s="9">
        <v>48</v>
      </c>
      <c r="M200" s="10">
        <v>96</v>
      </c>
      <c r="N200" s="10">
        <v>14</v>
      </c>
      <c r="O200" s="10"/>
      <c r="P200" s="18">
        <v>10</v>
      </c>
      <c r="Q200" s="22" t="s">
        <v>701</v>
      </c>
      <c r="R200">
        <v>1</v>
      </c>
      <c r="S200" s="26">
        <f>VLOOKUP($F200,Munition!$B:$P,10,FALSE)</f>
        <v>20</v>
      </c>
      <c r="T200" s="26">
        <f>VLOOKUP($F200,Munition!$B:$P,11,FALSE)</f>
        <v>408</v>
      </c>
      <c r="U200" s="28">
        <f t="shared" si="38"/>
        <v>398.76623819771231</v>
      </c>
      <c r="V200" s="26">
        <f>VLOOKUP($F200,Munition!$B:$P,5,FALSE)</f>
        <v>38</v>
      </c>
      <c r="W200" s="30">
        <f t="shared" si="40"/>
        <v>3021.2757418007382</v>
      </c>
      <c r="X200" s="26">
        <f>VLOOKUP($F200,Munition!$B:$P,15,FALSE)</f>
        <v>141.36772154838914</v>
      </c>
      <c r="Y200" s="26">
        <f>VLOOKUP($F200,Munition!$B:$P,9,FALSE)</f>
        <v>1</v>
      </c>
      <c r="Z200" s="26">
        <f>VLOOKUP($F200,Munition!$B:$P,14,FALSE)</f>
        <v>9.8784926622870443E-5</v>
      </c>
      <c r="AA200" s="30">
        <f t="shared" si="41"/>
        <v>2.2479519357252085</v>
      </c>
      <c r="AB200" s="30">
        <f t="shared" si="42"/>
        <v>2.1563692348335883</v>
      </c>
      <c r="AC200" s="30">
        <f t="shared" si="43"/>
        <v>2.0685176595809591</v>
      </c>
      <c r="AD200" s="30">
        <f t="shared" si="44"/>
        <v>1.7514738456639727</v>
      </c>
      <c r="AE200" s="30">
        <f t="shared" si="45"/>
        <v>1.3646468962670646</v>
      </c>
      <c r="AF200" s="32" t="str">
        <f t="shared" si="39"/>
        <v>4D6+1</v>
      </c>
      <c r="AG200" s="33" t="str">
        <f t="shared" si="46"/>
        <v>-</v>
      </c>
      <c r="AH200" s="33" t="str">
        <f t="shared" si="47"/>
        <v>-</v>
      </c>
      <c r="AI200" s="33" t="str">
        <f t="shared" si="48"/>
        <v>-</v>
      </c>
      <c r="AJ200" s="33" t="str">
        <f t="shared" si="49"/>
        <v>-</v>
      </c>
      <c r="AK200">
        <v>2015</v>
      </c>
    </row>
    <row r="201" spans="1:37">
      <c r="A201" t="s">
        <v>574</v>
      </c>
      <c r="B201" t="s">
        <v>393</v>
      </c>
      <c r="C201" t="s">
        <v>681</v>
      </c>
      <c r="D201" t="s">
        <v>681</v>
      </c>
      <c r="F201" t="s">
        <v>136</v>
      </c>
      <c r="G201" t="s">
        <v>135</v>
      </c>
      <c r="H201">
        <v>50</v>
      </c>
      <c r="I201">
        <v>53.5</v>
      </c>
      <c r="J201" s="9">
        <v>250</v>
      </c>
      <c r="K201" s="9">
        <v>500</v>
      </c>
      <c r="L201" s="9">
        <v>1500</v>
      </c>
      <c r="M201" s="10">
        <v>3000</v>
      </c>
      <c r="N201" s="10"/>
      <c r="O201" s="10">
        <v>5</v>
      </c>
      <c r="P201" s="18">
        <v>50</v>
      </c>
      <c r="Q201" s="22">
        <v>75</v>
      </c>
      <c r="R201">
        <v>10</v>
      </c>
      <c r="S201" s="26">
        <f>VLOOKUP($F201,Munition!$B:$P,10,FALSE)</f>
        <v>40</v>
      </c>
      <c r="T201" s="26">
        <f>VLOOKUP($F201,Munition!$B:$P,11,FALSE)</f>
        <v>1000</v>
      </c>
      <c r="U201" s="28">
        <f t="shared" si="38"/>
        <v>1075.4084575741617</v>
      </c>
      <c r="V201" s="26">
        <f>VLOOKUP($F201,Munition!$B:$P,5,FALSE)</f>
        <v>65.5</v>
      </c>
      <c r="W201" s="30">
        <f t="shared" si="40"/>
        <v>37875.484732871737</v>
      </c>
      <c r="X201" s="26">
        <f>VLOOKUP($F201,Munition!$B:$P,15,FALSE)</f>
        <v>396.65726601737526</v>
      </c>
      <c r="Y201" s="26">
        <f>VLOOKUP($F201,Munition!$B:$P,9,FALSE)</f>
        <v>1.5</v>
      </c>
      <c r="Z201" s="26">
        <f>VLOOKUP($F201,Munition!$B:$P,14,FALSE)</f>
        <v>3.2365472915445451E-5</v>
      </c>
      <c r="AA201" s="30">
        <f t="shared" si="41"/>
        <v>68.810318579650698</v>
      </c>
      <c r="AB201" s="30">
        <f t="shared" si="42"/>
        <v>53.747063572441832</v>
      </c>
      <c r="AC201" s="30">
        <f t="shared" si="43"/>
        <v>41.981303128487383</v>
      </c>
      <c r="AD201" s="30">
        <f t="shared" si="44"/>
        <v>15.626460145772004</v>
      </c>
      <c r="AE201" s="30">
        <f t="shared" si="45"/>
        <v>3.5486866174692295</v>
      </c>
      <c r="AF201" s="32" t="str">
        <f t="shared" si="39"/>
        <v>16D6</v>
      </c>
      <c r="AG201" s="33" t="str">
        <f t="shared" si="46"/>
        <v>1+1</v>
      </c>
      <c r="AH201" s="33" t="str">
        <f t="shared" si="47"/>
        <v>2</v>
      </c>
      <c r="AI201" s="33" t="str">
        <f t="shared" si="48"/>
        <v>2+2</v>
      </c>
      <c r="AJ201" s="33" t="str">
        <f t="shared" si="49"/>
        <v>7</v>
      </c>
      <c r="AK201">
        <v>1949</v>
      </c>
    </row>
    <row r="202" spans="1:37">
      <c r="A202" t="s">
        <v>572</v>
      </c>
      <c r="B202" t="s">
        <v>394</v>
      </c>
      <c r="C202" t="s">
        <v>681</v>
      </c>
      <c r="D202" t="s">
        <v>681</v>
      </c>
      <c r="F202" t="s">
        <v>51</v>
      </c>
      <c r="G202" t="s">
        <v>52</v>
      </c>
      <c r="H202">
        <v>4.43</v>
      </c>
      <c r="I202">
        <v>27.6</v>
      </c>
      <c r="J202" s="9">
        <v>100</v>
      </c>
      <c r="K202" s="9">
        <v>200</v>
      </c>
      <c r="L202" s="9">
        <v>600</v>
      </c>
      <c r="M202" s="10">
        <v>1200</v>
      </c>
      <c r="N202" s="10">
        <v>2</v>
      </c>
      <c r="O202" s="10"/>
      <c r="P202" s="18">
        <v>10</v>
      </c>
      <c r="Q202" s="22" t="s">
        <v>712</v>
      </c>
      <c r="R202">
        <v>1</v>
      </c>
      <c r="S202" s="26">
        <f>VLOOKUP($F202,Munition!$B:$P,10,FALSE)</f>
        <v>22</v>
      </c>
      <c r="T202" s="26">
        <f>VLOOKUP($F202,Munition!$B:$P,11,FALSE)</f>
        <v>832</v>
      </c>
      <c r="U202" s="28">
        <f t="shared" si="38"/>
        <v>880.53156008596693</v>
      </c>
      <c r="V202" s="26">
        <f>VLOOKUP($F202,Munition!$B:$P,5,FALSE)</f>
        <v>9.4499999999999993</v>
      </c>
      <c r="W202" s="30">
        <f t="shared" si="40"/>
        <v>3663.4617887525915</v>
      </c>
      <c r="X202" s="26">
        <f>VLOOKUP($F202,Munition!$B:$P,15,FALSE)</f>
        <v>207.22015034594844</v>
      </c>
      <c r="Y202" s="26">
        <f>VLOOKUP($F202,Munition!$B:$P,9,FALSE)</f>
        <v>1</v>
      </c>
      <c r="Z202" s="26">
        <f>VLOOKUP($F202,Munition!$B:$P,14,FALSE)</f>
        <v>6.9830624463123905E-6</v>
      </c>
      <c r="AA202" s="30">
        <f t="shared" si="41"/>
        <v>16.066520691046541</v>
      </c>
      <c r="AB202" s="30">
        <f t="shared" si="42"/>
        <v>13.859181890001901</v>
      </c>
      <c r="AC202" s="30">
        <f t="shared" si="43"/>
        <v>11.955103805841187</v>
      </c>
      <c r="AD202" s="30">
        <f t="shared" si="44"/>
        <v>6.6193657573151734</v>
      </c>
      <c r="AE202" s="30">
        <f t="shared" si="45"/>
        <v>2.7271618959501431</v>
      </c>
      <c r="AF202" s="32" t="str">
        <f t="shared" si="39"/>
        <v>5D6</v>
      </c>
      <c r="AG202" s="33" t="str">
        <f t="shared" si="46"/>
        <v>2</v>
      </c>
      <c r="AH202" s="33" t="str">
        <f t="shared" si="47"/>
        <v>2+1</v>
      </c>
      <c r="AI202" s="33" t="str">
        <f t="shared" si="48"/>
        <v>2+2</v>
      </c>
      <c r="AJ202" s="33" t="str">
        <f t="shared" si="49"/>
        <v>-</v>
      </c>
      <c r="AK202">
        <v>1970</v>
      </c>
    </row>
    <row r="203" spans="1:37">
      <c r="A203" t="s">
        <v>572</v>
      </c>
      <c r="B203" t="s">
        <v>394</v>
      </c>
      <c r="C203" t="s">
        <v>681</v>
      </c>
      <c r="D203" t="s">
        <v>681</v>
      </c>
      <c r="F203" t="s">
        <v>51</v>
      </c>
      <c r="G203" t="s">
        <v>52</v>
      </c>
      <c r="H203">
        <v>4.42</v>
      </c>
      <c r="I203">
        <v>20.399999999999999</v>
      </c>
      <c r="J203" s="9">
        <v>100</v>
      </c>
      <c r="K203" s="9">
        <v>200</v>
      </c>
      <c r="L203" s="9">
        <v>600</v>
      </c>
      <c r="M203" s="10">
        <v>1200</v>
      </c>
      <c r="N203" s="10">
        <v>2</v>
      </c>
      <c r="O203" s="10"/>
      <c r="P203" s="18">
        <v>10</v>
      </c>
      <c r="Q203" s="22" t="s">
        <v>701</v>
      </c>
      <c r="R203">
        <v>1</v>
      </c>
      <c r="S203" s="26">
        <f>VLOOKUP($F203,Munition!$B:$P,10,FALSE)</f>
        <v>22</v>
      </c>
      <c r="T203" s="26">
        <f>VLOOKUP($F203,Munition!$B:$P,11,FALSE)</f>
        <v>832</v>
      </c>
      <c r="U203" s="28">
        <f t="shared" si="38"/>
        <v>816.44173687044724</v>
      </c>
      <c r="V203" s="26">
        <f>VLOOKUP($F203,Munition!$B:$P,5,FALSE)</f>
        <v>9.4499999999999993</v>
      </c>
      <c r="W203" s="30">
        <f t="shared" si="40"/>
        <v>3149.5768433515545</v>
      </c>
      <c r="X203" s="26">
        <f>VLOOKUP($F203,Munition!$B:$P,15,FALSE)</f>
        <v>207.22015034594844</v>
      </c>
      <c r="Y203" s="26">
        <f>VLOOKUP($F203,Munition!$B:$P,9,FALSE)</f>
        <v>1</v>
      </c>
      <c r="Z203" s="26">
        <f>VLOOKUP($F203,Munition!$B:$P,14,FALSE)</f>
        <v>6.9830624463123905E-6</v>
      </c>
      <c r="AA203" s="30">
        <f t="shared" si="41"/>
        <v>13.81282088900374</v>
      </c>
      <c r="AB203" s="30">
        <f t="shared" si="42"/>
        <v>11.91511222597199</v>
      </c>
      <c r="AC203" s="30">
        <f t="shared" si="43"/>
        <v>10.278124975219807</v>
      </c>
      <c r="AD203" s="30">
        <f t="shared" si="44"/>
        <v>5.6908471574403698</v>
      </c>
      <c r="AE203" s="30">
        <f t="shared" si="45"/>
        <v>2.3446145888367473</v>
      </c>
      <c r="AF203" s="32" t="str">
        <f t="shared" si="39"/>
        <v>4D6+2</v>
      </c>
      <c r="AG203" s="33" t="str">
        <f t="shared" si="46"/>
        <v>2+1</v>
      </c>
      <c r="AH203" s="33" t="str">
        <f t="shared" si="47"/>
        <v>2+2</v>
      </c>
      <c r="AI203" s="33" t="str">
        <f t="shared" si="48"/>
        <v>3</v>
      </c>
      <c r="AJ203" s="33" t="str">
        <f t="shared" si="49"/>
        <v>-</v>
      </c>
      <c r="AK203">
        <v>1970</v>
      </c>
    </row>
    <row r="204" spans="1:37">
      <c r="A204" t="s">
        <v>574</v>
      </c>
      <c r="B204" t="s">
        <v>395</v>
      </c>
      <c r="C204" t="s">
        <v>681</v>
      </c>
      <c r="D204" t="s">
        <v>681</v>
      </c>
      <c r="F204" t="s">
        <v>10</v>
      </c>
      <c r="G204" t="s">
        <v>11</v>
      </c>
      <c r="H204">
        <v>4.5999999999999996</v>
      </c>
      <c r="I204">
        <v>20.399999999999999</v>
      </c>
      <c r="J204" s="9">
        <v>66</v>
      </c>
      <c r="K204" s="9">
        <v>132</v>
      </c>
      <c r="L204" s="9">
        <v>396</v>
      </c>
      <c r="M204" s="10">
        <v>792</v>
      </c>
      <c r="N204" s="10">
        <v>1</v>
      </c>
      <c r="O204" s="10">
        <v>5</v>
      </c>
      <c r="P204" s="19">
        <v>30</v>
      </c>
      <c r="Q204" s="22" t="s">
        <v>751</v>
      </c>
      <c r="R204">
        <v>10</v>
      </c>
      <c r="S204" s="26">
        <f>VLOOKUP($F204,Munition!$B:$P,10,FALSE)</f>
        <v>20</v>
      </c>
      <c r="T204" s="26">
        <f>VLOOKUP($F204,Munition!$B:$P,11,FALSE)</f>
        <v>878</v>
      </c>
      <c r="U204" s="28">
        <f t="shared" si="38"/>
        <v>882.35745392127296</v>
      </c>
      <c r="V204" s="26">
        <f>VLOOKUP($F204,Munition!$B:$P,5,FALSE)</f>
        <v>3.56</v>
      </c>
      <c r="W204" s="30">
        <f t="shared" si="40"/>
        <v>1385.8273241529678</v>
      </c>
      <c r="X204" s="26">
        <f>VLOOKUP($F204,Munition!$B:$P,15,FALSE)</f>
        <v>146.62584685242678</v>
      </c>
      <c r="Y204" s="26">
        <f>VLOOKUP($F204,Munition!$B:$P,9,FALSE)</f>
        <v>1</v>
      </c>
      <c r="Z204" s="26">
        <f>VLOOKUP($F204,Munition!$B:$P,14,FALSE)</f>
        <v>3.7177960891755132E-6</v>
      </c>
      <c r="AA204" s="30">
        <f t="shared" si="41"/>
        <v>11.415623876132665</v>
      </c>
      <c r="AB204" s="30">
        <f t="shared" si="42"/>
        <v>9.9456181409167588</v>
      </c>
      <c r="AC204" s="30">
        <f t="shared" si="43"/>
        <v>8.6649070850819427</v>
      </c>
      <c r="AD204" s="30">
        <f t="shared" si="44"/>
        <v>4.9922051959708575</v>
      </c>
      <c r="AE204" s="30">
        <f t="shared" si="45"/>
        <v>2.1831581864557221</v>
      </c>
      <c r="AF204" s="32" t="str">
        <f t="shared" si="39"/>
        <v>3D6</v>
      </c>
      <c r="AG204" s="33" t="str">
        <f t="shared" si="46"/>
        <v>1+2</v>
      </c>
      <c r="AH204" s="33" t="str">
        <f t="shared" si="47"/>
        <v>2</v>
      </c>
      <c r="AI204" s="33" t="str">
        <f t="shared" si="48"/>
        <v>2+1</v>
      </c>
      <c r="AJ204" s="33" t="str">
        <f t="shared" si="49"/>
        <v>-</v>
      </c>
      <c r="AK204">
        <v>1985</v>
      </c>
    </row>
    <row r="205" spans="1:37">
      <c r="A205" t="s">
        <v>574</v>
      </c>
      <c r="B205" t="s">
        <v>396</v>
      </c>
      <c r="C205" t="s">
        <v>681</v>
      </c>
      <c r="D205" t="s">
        <v>681</v>
      </c>
      <c r="F205" t="s">
        <v>10</v>
      </c>
      <c r="G205" t="s">
        <v>11</v>
      </c>
      <c r="H205">
        <v>6.4</v>
      </c>
      <c r="I205">
        <v>25.4</v>
      </c>
      <c r="J205" s="9">
        <v>66</v>
      </c>
      <c r="K205" s="9">
        <v>132</v>
      </c>
      <c r="L205" s="9">
        <v>396</v>
      </c>
      <c r="M205" s="10">
        <v>792</v>
      </c>
      <c r="N205" s="10">
        <v>1</v>
      </c>
      <c r="O205" s="10">
        <v>5</v>
      </c>
      <c r="P205" s="19">
        <v>30</v>
      </c>
      <c r="Q205" s="22" t="s">
        <v>751</v>
      </c>
      <c r="R205">
        <v>10</v>
      </c>
      <c r="S205" s="26">
        <f>VLOOKUP($F205,Munition!$B:$P,10,FALSE)</f>
        <v>20</v>
      </c>
      <c r="T205" s="26">
        <f>VLOOKUP($F205,Munition!$B:$P,11,FALSE)</f>
        <v>878</v>
      </c>
      <c r="U205" s="28">
        <f t="shared" si="38"/>
        <v>932.06338194567491</v>
      </c>
      <c r="V205" s="26">
        <f>VLOOKUP($F205,Munition!$B:$P,5,FALSE)</f>
        <v>3.56</v>
      </c>
      <c r="W205" s="30">
        <f t="shared" si="40"/>
        <v>1546.3610233759362</v>
      </c>
      <c r="X205" s="26">
        <f>VLOOKUP($F205,Munition!$B:$P,15,FALSE)</f>
        <v>146.62584685242678</v>
      </c>
      <c r="Y205" s="26">
        <f>VLOOKUP($F205,Munition!$B:$P,9,FALSE)</f>
        <v>1</v>
      </c>
      <c r="Z205" s="26">
        <f>VLOOKUP($F205,Munition!$B:$P,14,FALSE)</f>
        <v>3.7177960891755132E-6</v>
      </c>
      <c r="AA205" s="30">
        <f t="shared" si="41"/>
        <v>12.738005314161905</v>
      </c>
      <c r="AB205" s="30">
        <f t="shared" si="42"/>
        <v>11.097714685265307</v>
      </c>
      <c r="AC205" s="30">
        <f t="shared" si="43"/>
        <v>9.668646557921182</v>
      </c>
      <c r="AD205" s="30">
        <f t="shared" si="44"/>
        <v>5.5705003077945188</v>
      </c>
      <c r="AE205" s="30">
        <f t="shared" si="45"/>
        <v>2.4360543832274635</v>
      </c>
      <c r="AF205" s="32" t="str">
        <f t="shared" si="39"/>
        <v>3D6</v>
      </c>
      <c r="AG205" s="33" t="str">
        <f t="shared" si="46"/>
        <v>1+2</v>
      </c>
      <c r="AH205" s="33" t="str">
        <f t="shared" si="47"/>
        <v>2</v>
      </c>
      <c r="AI205" s="33" t="str">
        <f t="shared" si="48"/>
        <v>2+1</v>
      </c>
      <c r="AJ205" s="33" t="str">
        <f t="shared" si="49"/>
        <v>-</v>
      </c>
      <c r="AK205">
        <v>1985</v>
      </c>
    </row>
    <row r="206" spans="1:37">
      <c r="A206" t="s">
        <v>574</v>
      </c>
      <c r="B206" t="s">
        <v>397</v>
      </c>
      <c r="C206" t="s">
        <v>681</v>
      </c>
      <c r="D206" t="s">
        <v>681</v>
      </c>
      <c r="F206" t="s">
        <v>51</v>
      </c>
      <c r="G206" t="s">
        <v>52</v>
      </c>
      <c r="H206">
        <v>6</v>
      </c>
      <c r="I206">
        <v>27</v>
      </c>
      <c r="J206" s="9">
        <v>66</v>
      </c>
      <c r="K206" s="9">
        <v>132</v>
      </c>
      <c r="L206" s="9">
        <v>396</v>
      </c>
      <c r="M206" s="10">
        <v>792</v>
      </c>
      <c r="N206" s="10">
        <v>2</v>
      </c>
      <c r="O206" s="10"/>
      <c r="P206" s="18">
        <v>20</v>
      </c>
      <c r="Q206" s="22" t="s">
        <v>712</v>
      </c>
      <c r="R206">
        <v>1</v>
      </c>
      <c r="S206" s="26">
        <f>VLOOKUP($F206,Munition!$B:$P,10,FALSE)</f>
        <v>22</v>
      </c>
      <c r="T206" s="26">
        <f>VLOOKUP($F206,Munition!$B:$P,11,FALSE)</f>
        <v>832</v>
      </c>
      <c r="U206" s="28">
        <f t="shared" si="38"/>
        <v>875.70654803141588</v>
      </c>
      <c r="V206" s="26">
        <f>VLOOKUP($F206,Munition!$B:$P,5,FALSE)</f>
        <v>9.4499999999999993</v>
      </c>
      <c r="W206" s="30">
        <f t="shared" si="40"/>
        <v>3623.4227528025904</v>
      </c>
      <c r="X206" s="26">
        <f>VLOOKUP($F206,Munition!$B:$P,15,FALSE)</f>
        <v>207.22015034594844</v>
      </c>
      <c r="Y206" s="26">
        <f>VLOOKUP($F206,Munition!$B:$P,9,FALSE)</f>
        <v>1</v>
      </c>
      <c r="Z206" s="26">
        <f>VLOOKUP($F206,Munition!$B:$P,14,FALSE)</f>
        <v>6.9830624463123905E-6</v>
      </c>
      <c r="AA206" s="30">
        <f t="shared" si="41"/>
        <v>15.890925028628214</v>
      </c>
      <c r="AB206" s="30">
        <f t="shared" si="42"/>
        <v>14.414101577830349</v>
      </c>
      <c r="AC206" s="30">
        <f t="shared" si="43"/>
        <v>13.074526745404123</v>
      </c>
      <c r="AD206" s="30">
        <f t="shared" si="44"/>
        <v>8.8507398554428427</v>
      </c>
      <c r="AE206" s="30">
        <f t="shared" si="45"/>
        <v>4.9295806158294324</v>
      </c>
      <c r="AF206" s="32" t="str">
        <f t="shared" si="39"/>
        <v>5D6</v>
      </c>
      <c r="AG206" s="33" t="str">
        <f t="shared" si="46"/>
        <v>2</v>
      </c>
      <c r="AH206" s="33" t="str">
        <f t="shared" si="47"/>
        <v>2+1</v>
      </c>
      <c r="AI206" s="33" t="str">
        <f t="shared" si="48"/>
        <v>2+2</v>
      </c>
      <c r="AJ206" s="33" t="str">
        <f t="shared" si="49"/>
        <v>3+2</v>
      </c>
      <c r="AK206">
        <v>1982</v>
      </c>
    </row>
    <row r="207" spans="1:37">
      <c r="A207" t="s">
        <v>579</v>
      </c>
      <c r="B207" t="s">
        <v>398</v>
      </c>
      <c r="C207" t="s">
        <v>681</v>
      </c>
      <c r="D207" t="s">
        <v>681</v>
      </c>
      <c r="E207" t="s">
        <v>782</v>
      </c>
      <c r="F207" t="s">
        <v>353</v>
      </c>
      <c r="G207" t="s">
        <v>70</v>
      </c>
      <c r="H207">
        <v>3</v>
      </c>
      <c r="I207">
        <v>17.7</v>
      </c>
      <c r="J207" s="9">
        <v>50</v>
      </c>
      <c r="K207" s="9">
        <v>100</v>
      </c>
      <c r="L207" s="9">
        <v>300</v>
      </c>
      <c r="M207" s="10">
        <v>600</v>
      </c>
      <c r="N207" s="10">
        <v>3</v>
      </c>
      <c r="O207" s="10"/>
      <c r="P207" s="18">
        <v>5</v>
      </c>
      <c r="Q207" s="22" t="s">
        <v>699</v>
      </c>
      <c r="R207">
        <v>1</v>
      </c>
      <c r="S207" s="26">
        <f>VLOOKUP($F207,Munition!$B:$P,10,FALSE)</f>
        <v>24</v>
      </c>
      <c r="T207" s="26">
        <f>VLOOKUP($F207,Munition!$B:$P,11,FALSE)</f>
        <v>735</v>
      </c>
      <c r="U207" s="28">
        <f t="shared" si="38"/>
        <v>681.12660651526221</v>
      </c>
      <c r="V207" s="26">
        <f>VLOOKUP($F207,Munition!$B:$P,5,FALSE)</f>
        <v>12.5</v>
      </c>
      <c r="W207" s="30">
        <f t="shared" si="40"/>
        <v>2899.5840881437307</v>
      </c>
      <c r="X207" s="26">
        <f>VLOOKUP($F207,Munition!$B:$P,15,FALSE)</f>
        <v>248.67959858108651</v>
      </c>
      <c r="Y207" s="26">
        <f>VLOOKUP($F207,Munition!$B:$P,9,FALSE)</f>
        <v>1</v>
      </c>
      <c r="Z207" s="26">
        <f>VLOOKUP($F207,Munition!$B:$P,14,FALSE)</f>
        <v>9.2362824015539926E-6</v>
      </c>
      <c r="AA207" s="30">
        <f t="shared" si="41"/>
        <v>11.537078513467019</v>
      </c>
      <c r="AB207" s="30">
        <f t="shared" si="42"/>
        <v>10.715334089763161</v>
      </c>
      <c r="AC207" s="30">
        <f t="shared" si="43"/>
        <v>9.9521195527286324</v>
      </c>
      <c r="AD207" s="30">
        <f t="shared" si="44"/>
        <v>7.4055114387292873</v>
      </c>
      <c r="AE207" s="30">
        <f t="shared" si="45"/>
        <v>4.7535084038073165</v>
      </c>
      <c r="AF207" s="32" t="str">
        <f t="shared" si="39"/>
        <v>4D6+1</v>
      </c>
      <c r="AG207" s="33" t="str">
        <f t="shared" si="46"/>
        <v>2+2</v>
      </c>
      <c r="AH207" s="33" t="str">
        <f t="shared" si="47"/>
        <v>2+2</v>
      </c>
      <c r="AI207" s="33" t="str">
        <f t="shared" si="48"/>
        <v>3</v>
      </c>
      <c r="AJ207" s="33" t="str">
        <f t="shared" si="49"/>
        <v>4</v>
      </c>
      <c r="AK207">
        <v>1916</v>
      </c>
    </row>
    <row r="208" spans="1:37">
      <c r="A208" t="s">
        <v>579</v>
      </c>
      <c r="B208" t="s">
        <v>399</v>
      </c>
      <c r="C208" t="s">
        <v>681</v>
      </c>
      <c r="D208" t="s">
        <v>681</v>
      </c>
      <c r="F208" t="s">
        <v>49</v>
      </c>
      <c r="G208" t="s">
        <v>50</v>
      </c>
      <c r="H208">
        <v>4.12</v>
      </c>
      <c r="I208">
        <v>25.2</v>
      </c>
      <c r="J208" s="9">
        <v>66</v>
      </c>
      <c r="K208" s="9">
        <v>132</v>
      </c>
      <c r="L208" s="9">
        <v>396</v>
      </c>
      <c r="M208" s="10">
        <v>792</v>
      </c>
      <c r="N208" s="10">
        <v>2</v>
      </c>
      <c r="O208" s="10"/>
      <c r="P208" s="18">
        <v>10</v>
      </c>
      <c r="Q208" s="22" t="s">
        <v>699</v>
      </c>
      <c r="R208">
        <v>1</v>
      </c>
      <c r="S208" s="26">
        <f>VLOOKUP($F208,Munition!$B:$P,10,FALSE)</f>
        <v>25</v>
      </c>
      <c r="T208" s="26">
        <f>VLOOKUP($F208,Munition!$B:$P,11,FALSE)</f>
        <v>735</v>
      </c>
      <c r="U208" s="28">
        <f t="shared" si="38"/>
        <v>736.46561046748479</v>
      </c>
      <c r="V208" s="26">
        <f>VLOOKUP($F208,Munition!$B:$P,5,FALSE)</f>
        <v>11.3</v>
      </c>
      <c r="W208" s="30">
        <f t="shared" si="40"/>
        <v>3064.4560140170347</v>
      </c>
      <c r="X208" s="26">
        <f>VLOOKUP($F208,Munition!$B:$P,15,FALSE)</f>
        <v>242.66498322663753</v>
      </c>
      <c r="Y208" s="26">
        <f>VLOOKUP($F208,Munition!$B:$P,9,FALSE)</f>
        <v>1</v>
      </c>
      <c r="Z208" s="26">
        <f>VLOOKUP($F208,Munition!$B:$P,14,FALSE)</f>
        <v>7.4156764444226801E-6</v>
      </c>
      <c r="AA208" s="30">
        <f t="shared" si="41"/>
        <v>13.161702075048002</v>
      </c>
      <c r="AB208" s="30">
        <f t="shared" si="42"/>
        <v>12.069548813612787</v>
      </c>
      <c r="AC208" s="30">
        <f t="shared" si="43"/>
        <v>11.068022033438298</v>
      </c>
      <c r="AD208" s="30">
        <f t="shared" si="44"/>
        <v>7.8268305790510544</v>
      </c>
      <c r="AE208" s="30">
        <f t="shared" si="45"/>
        <v>4.6543582709795706</v>
      </c>
      <c r="AF208" s="32" t="str">
        <f t="shared" si="39"/>
        <v>4D6+1</v>
      </c>
      <c r="AG208" s="33" t="str">
        <f t="shared" si="46"/>
        <v>2+1</v>
      </c>
      <c r="AH208" s="33" t="str">
        <f t="shared" si="47"/>
        <v>2+2</v>
      </c>
      <c r="AI208" s="33" t="str">
        <f t="shared" si="48"/>
        <v>2+2</v>
      </c>
      <c r="AJ208" s="33" t="str">
        <f t="shared" si="49"/>
        <v>4</v>
      </c>
      <c r="AK208">
        <v>1941</v>
      </c>
    </row>
    <row r="209" spans="1:37">
      <c r="A209" t="s">
        <v>574</v>
      </c>
      <c r="B209" t="s">
        <v>400</v>
      </c>
      <c r="C209" t="s">
        <v>681</v>
      </c>
      <c r="D209" t="s">
        <v>681</v>
      </c>
      <c r="F209" t="s">
        <v>49</v>
      </c>
      <c r="G209" t="s">
        <v>50</v>
      </c>
      <c r="H209">
        <v>12.7</v>
      </c>
      <c r="I209">
        <v>26.3</v>
      </c>
      <c r="J209" s="9">
        <v>33</v>
      </c>
      <c r="K209" s="9">
        <v>66</v>
      </c>
      <c r="L209" s="9">
        <v>198</v>
      </c>
      <c r="M209" s="10">
        <v>396</v>
      </c>
      <c r="N209" s="10"/>
      <c r="O209" s="10">
        <v>5</v>
      </c>
      <c r="P209" s="19">
        <v>47</v>
      </c>
      <c r="Q209" s="22" t="s">
        <v>752</v>
      </c>
      <c r="R209">
        <v>10</v>
      </c>
      <c r="S209" s="26">
        <f>VLOOKUP($F209,Munition!$B:$P,10,FALSE)</f>
        <v>25</v>
      </c>
      <c r="T209" s="26">
        <f>VLOOKUP($F209,Munition!$B:$P,11,FALSE)</f>
        <v>735</v>
      </c>
      <c r="U209" s="28">
        <f t="shared" si="38"/>
        <v>744.37413480015448</v>
      </c>
      <c r="V209" s="26">
        <f>VLOOKUP($F209,Munition!$B:$P,5,FALSE)</f>
        <v>11.3</v>
      </c>
      <c r="W209" s="30">
        <f t="shared" si="40"/>
        <v>3130.6246169610545</v>
      </c>
      <c r="X209" s="26">
        <f>VLOOKUP($F209,Munition!$B:$P,15,FALSE)</f>
        <v>242.66498322663753</v>
      </c>
      <c r="Y209" s="26">
        <f>VLOOKUP($F209,Munition!$B:$P,9,FALSE)</f>
        <v>1</v>
      </c>
      <c r="Z209" s="26">
        <f>VLOOKUP($F209,Munition!$B:$P,14,FALSE)</f>
        <v>7.4156764444226801E-6</v>
      </c>
      <c r="AA209" s="30">
        <f t="shared" si="41"/>
        <v>13.445893277234561</v>
      </c>
      <c r="AB209" s="30">
        <f t="shared" si="42"/>
        <v>12.875946087893313</v>
      </c>
      <c r="AC209" s="30">
        <f t="shared" si="43"/>
        <v>12.330157932982894</v>
      </c>
      <c r="AD209" s="30">
        <f t="shared" si="44"/>
        <v>10.368754656493087</v>
      </c>
      <c r="AE209" s="30">
        <f t="shared" si="45"/>
        <v>7.9958297236060654</v>
      </c>
      <c r="AF209" s="32" t="str">
        <f t="shared" si="39"/>
        <v>4D6+1</v>
      </c>
      <c r="AG209" s="33" t="str">
        <f t="shared" si="46"/>
        <v>2+1</v>
      </c>
      <c r="AH209" s="33" t="str">
        <f t="shared" si="47"/>
        <v>2+1</v>
      </c>
      <c r="AI209" s="33" t="str">
        <f t="shared" si="48"/>
        <v>2+1</v>
      </c>
      <c r="AJ209" s="33" t="str">
        <f t="shared" si="49"/>
        <v>3</v>
      </c>
      <c r="AK209">
        <v>1914</v>
      </c>
    </row>
    <row r="210" spans="1:37">
      <c r="A210" t="s">
        <v>577</v>
      </c>
      <c r="B210" t="s">
        <v>401</v>
      </c>
      <c r="C210" t="s">
        <v>681</v>
      </c>
      <c r="D210" t="s">
        <v>681</v>
      </c>
      <c r="F210" t="s">
        <v>182</v>
      </c>
      <c r="G210" t="s">
        <v>79</v>
      </c>
      <c r="H210">
        <v>4.3</v>
      </c>
      <c r="I210">
        <v>8.1999999999999993</v>
      </c>
      <c r="J210" s="9">
        <v>15</v>
      </c>
      <c r="K210" s="9">
        <v>30</v>
      </c>
      <c r="L210" s="9">
        <v>90</v>
      </c>
      <c r="M210" s="10">
        <v>180</v>
      </c>
      <c r="N210" s="10">
        <v>1</v>
      </c>
      <c r="O210" s="10">
        <v>5</v>
      </c>
      <c r="P210" s="19">
        <v>34</v>
      </c>
      <c r="Q210" s="22" t="s">
        <v>716</v>
      </c>
      <c r="R210">
        <v>10</v>
      </c>
      <c r="S210" s="26">
        <f>VLOOKUP($F210,Munition!$B:$P,10,FALSE)</f>
        <v>4.5</v>
      </c>
      <c r="T210" s="26">
        <f>VLOOKUP($F210,Munition!$B:$P,11,FALSE)</f>
        <v>450</v>
      </c>
      <c r="U210" s="28">
        <f t="shared" si="38"/>
        <v>522.83282784535822</v>
      </c>
      <c r="V210" s="26">
        <f>VLOOKUP($F210,Munition!$B:$P,5,FALSE)</f>
        <v>6.75</v>
      </c>
      <c r="W210" s="30">
        <f t="shared" si="40"/>
        <v>922.57030982061212</v>
      </c>
      <c r="X210" s="26">
        <f>VLOOKUP($F210,Munition!$B:$P,15,FALSE)</f>
        <v>106.1032953945969</v>
      </c>
      <c r="Y210" s="26">
        <f>VLOOKUP($F210,Munition!$B:$P,9,FALSE)</f>
        <v>1</v>
      </c>
      <c r="Z210" s="26">
        <f>VLOOKUP($F210,Munition!$B:$P,14,FALSE)</f>
        <v>1.5586226552622361E-5</v>
      </c>
      <c r="AA210" s="30">
        <f t="shared" si="41"/>
        <v>2.900377780894257</v>
      </c>
      <c r="AB210" s="30">
        <f t="shared" si="42"/>
        <v>2.7062634419816995</v>
      </c>
      <c r="AC210" s="30">
        <f t="shared" si="43"/>
        <v>2.5251406439710449</v>
      </c>
      <c r="AD210" s="30">
        <f t="shared" si="44"/>
        <v>1.9140248758096841</v>
      </c>
      <c r="AE210" s="30">
        <f t="shared" si="45"/>
        <v>1.2631082920821206</v>
      </c>
      <c r="AF210" s="32" t="str">
        <f t="shared" si="39"/>
        <v>2D6+1</v>
      </c>
      <c r="AG210" s="33" t="str">
        <f t="shared" si="46"/>
        <v>-</v>
      </c>
      <c r="AH210" s="33" t="str">
        <f t="shared" si="47"/>
        <v>-</v>
      </c>
      <c r="AI210" s="33" t="str">
        <f t="shared" si="48"/>
        <v>-</v>
      </c>
      <c r="AJ210" s="33" t="str">
        <f t="shared" si="49"/>
        <v>-</v>
      </c>
      <c r="AK210">
        <v>1962</v>
      </c>
    </row>
    <row r="211" spans="1:37">
      <c r="A211" t="s">
        <v>571</v>
      </c>
      <c r="B211" t="s">
        <v>402</v>
      </c>
      <c r="C211" t="s">
        <v>681</v>
      </c>
      <c r="D211" t="s">
        <v>681</v>
      </c>
      <c r="F211" t="s">
        <v>182</v>
      </c>
      <c r="G211" t="s">
        <v>79</v>
      </c>
      <c r="H211">
        <v>1.1200000000000001</v>
      </c>
      <c r="I211">
        <v>5</v>
      </c>
      <c r="J211" s="9">
        <v>6</v>
      </c>
      <c r="K211" s="9">
        <v>12</v>
      </c>
      <c r="L211" s="9">
        <v>36</v>
      </c>
      <c r="M211" s="10">
        <v>72</v>
      </c>
      <c r="N211" s="10">
        <v>3</v>
      </c>
      <c r="O211" s="10"/>
      <c r="P211" s="18">
        <v>17</v>
      </c>
      <c r="Q211" s="22" t="s">
        <v>701</v>
      </c>
      <c r="R211">
        <v>1</v>
      </c>
      <c r="S211" s="26">
        <f>VLOOKUP($F211,Munition!$B:$P,10,FALSE)</f>
        <v>4.5</v>
      </c>
      <c r="T211" s="26">
        <f>VLOOKUP($F211,Munition!$B:$P,11,FALSE)</f>
        <v>450</v>
      </c>
      <c r="U211" s="28">
        <f t="shared" si="38"/>
        <v>462.01054323615341</v>
      </c>
      <c r="V211" s="26">
        <f>VLOOKUP($F211,Munition!$B:$P,5,FALSE)</f>
        <v>6.75</v>
      </c>
      <c r="W211" s="30">
        <f t="shared" si="40"/>
        <v>720.40637945710876</v>
      </c>
      <c r="X211" s="26">
        <f>VLOOKUP($F211,Munition!$B:$P,15,FALSE)</f>
        <v>106.1032953945969</v>
      </c>
      <c r="Y211" s="26">
        <f>VLOOKUP($F211,Munition!$B:$P,9,FALSE)</f>
        <v>1</v>
      </c>
      <c r="Z211" s="26">
        <f>VLOOKUP($F211,Munition!$B:$P,14,FALSE)</f>
        <v>1.5586226552622361E-5</v>
      </c>
      <c r="AA211" s="30">
        <f t="shared" si="41"/>
        <v>2.2648145447019159</v>
      </c>
      <c r="AB211" s="30">
        <f t="shared" si="42"/>
        <v>2.2029206093620552</v>
      </c>
      <c r="AC211" s="30">
        <f t="shared" si="43"/>
        <v>2.1427181410965361</v>
      </c>
      <c r="AD211" s="30">
        <f t="shared" si="44"/>
        <v>1.9179171771294132</v>
      </c>
      <c r="AE211" s="30">
        <f t="shared" si="45"/>
        <v>1.624153424364462</v>
      </c>
      <c r="AF211" s="32" t="str">
        <f t="shared" si="39"/>
        <v>2D6</v>
      </c>
      <c r="AG211" s="33" t="str">
        <f t="shared" si="46"/>
        <v>-</v>
      </c>
      <c r="AH211" s="33" t="str">
        <f t="shared" si="47"/>
        <v>-</v>
      </c>
      <c r="AI211" s="33" t="str">
        <f t="shared" si="48"/>
        <v>-</v>
      </c>
      <c r="AJ211" s="33" t="str">
        <f t="shared" si="49"/>
        <v>-</v>
      </c>
      <c r="AK211">
        <v>1960</v>
      </c>
    </row>
    <row r="212" spans="1:37">
      <c r="A212" t="s">
        <v>571</v>
      </c>
      <c r="B212" t="s">
        <v>403</v>
      </c>
      <c r="C212" t="s">
        <v>681</v>
      </c>
      <c r="D212" t="s">
        <v>681</v>
      </c>
      <c r="E212" t="s">
        <v>781</v>
      </c>
      <c r="F212" t="s">
        <v>182</v>
      </c>
      <c r="G212" t="s">
        <v>79</v>
      </c>
      <c r="H212">
        <v>0.87</v>
      </c>
      <c r="I212">
        <v>4</v>
      </c>
      <c r="J212" s="9">
        <v>5</v>
      </c>
      <c r="K212" s="9">
        <v>10</v>
      </c>
      <c r="L212" s="9">
        <v>30</v>
      </c>
      <c r="M212" s="10">
        <v>60</v>
      </c>
      <c r="N212" s="10">
        <v>3</v>
      </c>
      <c r="O212" s="10"/>
      <c r="P212" s="18">
        <v>8</v>
      </c>
      <c r="Q212" s="22" t="s">
        <v>701</v>
      </c>
      <c r="R212">
        <v>1</v>
      </c>
      <c r="S212" s="26">
        <f>VLOOKUP($F212,Munition!$B:$P,10,FALSE)</f>
        <v>4.5</v>
      </c>
      <c r="T212" s="26">
        <f>VLOOKUP($F212,Munition!$B:$P,11,FALSE)</f>
        <v>450</v>
      </c>
      <c r="U212" s="28">
        <f t="shared" si="38"/>
        <v>436.94259453659112</v>
      </c>
      <c r="V212" s="26">
        <f>VLOOKUP($F212,Munition!$B:$P,5,FALSE)</f>
        <v>6.75</v>
      </c>
      <c r="W212" s="30">
        <f t="shared" si="40"/>
        <v>644.35105435624143</v>
      </c>
      <c r="X212" s="26">
        <f>VLOOKUP($F212,Munition!$B:$P,15,FALSE)</f>
        <v>106.1032953945969</v>
      </c>
      <c r="Y212" s="26">
        <f>VLOOKUP($F212,Munition!$B:$P,9,FALSE)</f>
        <v>1</v>
      </c>
      <c r="Z212" s="26">
        <f>VLOOKUP($F212,Munition!$B:$P,14,FALSE)</f>
        <v>1.5586226552622361E-5</v>
      </c>
      <c r="AA212" s="30">
        <f t="shared" si="41"/>
        <v>2.0257117113534884</v>
      </c>
      <c r="AB212" s="30">
        <f t="shared" si="42"/>
        <v>1.9794725002622475</v>
      </c>
      <c r="AC212" s="30">
        <f t="shared" si="43"/>
        <v>1.9342887526065766</v>
      </c>
      <c r="AD212" s="30">
        <f t="shared" si="44"/>
        <v>1.7636347268284795</v>
      </c>
      <c r="AE212" s="30">
        <f t="shared" si="45"/>
        <v>1.53546402098704</v>
      </c>
      <c r="AF212" s="32" t="str">
        <f t="shared" si="39"/>
        <v>2D6</v>
      </c>
      <c r="AG212" s="33" t="str">
        <f t="shared" si="46"/>
        <v>-</v>
      </c>
      <c r="AH212" s="33" t="str">
        <f t="shared" si="47"/>
        <v>-</v>
      </c>
      <c r="AI212" s="33" t="str">
        <f t="shared" si="48"/>
        <v>-</v>
      </c>
      <c r="AJ212" s="33" t="str">
        <f t="shared" si="49"/>
        <v>-</v>
      </c>
      <c r="AK212">
        <v>1908</v>
      </c>
    </row>
    <row r="213" spans="1:37">
      <c r="A213" t="s">
        <v>577</v>
      </c>
      <c r="B213" t="s">
        <v>404</v>
      </c>
      <c r="C213" t="s">
        <v>681</v>
      </c>
      <c r="D213" t="s">
        <v>681</v>
      </c>
      <c r="F213" t="s">
        <v>182</v>
      </c>
      <c r="G213" t="s">
        <v>79</v>
      </c>
      <c r="H213">
        <v>3.9</v>
      </c>
      <c r="I213">
        <v>8</v>
      </c>
      <c r="J213" s="9">
        <v>5</v>
      </c>
      <c r="K213" s="9">
        <v>10</v>
      </c>
      <c r="L213" s="9">
        <v>30</v>
      </c>
      <c r="M213" s="10">
        <v>60</v>
      </c>
      <c r="N213" s="10">
        <v>1</v>
      </c>
      <c r="O213" s="10">
        <v>3</v>
      </c>
      <c r="P213" s="19">
        <v>40</v>
      </c>
      <c r="Q213" s="22" t="s">
        <v>753</v>
      </c>
      <c r="R213">
        <v>5</v>
      </c>
      <c r="S213" s="26">
        <f>VLOOKUP($F213,Munition!$B:$P,10,FALSE)</f>
        <v>4.5</v>
      </c>
      <c r="T213" s="26">
        <f>VLOOKUP($F213,Munition!$B:$P,11,FALSE)</f>
        <v>450</v>
      </c>
      <c r="U213" s="28">
        <f t="shared" si="38"/>
        <v>519.6152422706632</v>
      </c>
      <c r="V213" s="26">
        <f>VLOOKUP($F213,Munition!$B:$P,5,FALSE)</f>
        <v>6.75</v>
      </c>
      <c r="W213" s="30">
        <f t="shared" si="40"/>
        <v>911.25</v>
      </c>
      <c r="X213" s="26">
        <f>VLOOKUP($F213,Munition!$B:$P,15,FALSE)</f>
        <v>106.1032953945969</v>
      </c>
      <c r="Y213" s="26">
        <f>VLOOKUP($F213,Munition!$B:$P,9,FALSE)</f>
        <v>1</v>
      </c>
      <c r="Z213" s="26">
        <f>VLOOKUP($F213,Munition!$B:$P,14,FALSE)</f>
        <v>1.5586226552622361E-5</v>
      </c>
      <c r="AA213" s="30">
        <f t="shared" si="41"/>
        <v>2.8647889756541161</v>
      </c>
      <c r="AB213" s="30">
        <f t="shared" si="42"/>
        <v>2.7993968562154508</v>
      </c>
      <c r="AC213" s="30">
        <f t="shared" si="43"/>
        <v>2.7354973874819573</v>
      </c>
      <c r="AD213" s="30">
        <f t="shared" si="44"/>
        <v>2.4941561497530045</v>
      </c>
      <c r="AE213" s="30">
        <f t="shared" si="45"/>
        <v>2.1714740430157988</v>
      </c>
      <c r="AF213" s="32" t="str">
        <f t="shared" si="39"/>
        <v>2D6+1</v>
      </c>
      <c r="AG213" s="33" t="str">
        <f t="shared" si="46"/>
        <v>-</v>
      </c>
      <c r="AH213" s="33" t="str">
        <f t="shared" si="47"/>
        <v>-</v>
      </c>
      <c r="AI213" s="33" t="str">
        <f t="shared" si="48"/>
        <v>-</v>
      </c>
      <c r="AJ213" s="33" t="str">
        <f t="shared" si="49"/>
        <v>-</v>
      </c>
      <c r="AK213">
        <v>1945</v>
      </c>
    </row>
    <row r="214" spans="1:37">
      <c r="A214" t="s">
        <v>577</v>
      </c>
      <c r="B214" t="s">
        <v>405</v>
      </c>
      <c r="C214" t="s">
        <v>681</v>
      </c>
      <c r="D214" t="s">
        <v>681</v>
      </c>
      <c r="F214" t="s">
        <v>182</v>
      </c>
      <c r="G214" t="s">
        <v>79</v>
      </c>
      <c r="H214">
        <v>4.5640000000000001</v>
      </c>
      <c r="I214">
        <v>8</v>
      </c>
      <c r="J214" s="9">
        <v>5</v>
      </c>
      <c r="K214" s="9">
        <v>10</v>
      </c>
      <c r="L214" s="9">
        <v>30</v>
      </c>
      <c r="M214" s="10">
        <v>60</v>
      </c>
      <c r="N214" s="10">
        <v>1</v>
      </c>
      <c r="O214" s="10">
        <v>3</v>
      </c>
      <c r="P214" s="19">
        <v>40</v>
      </c>
      <c r="Q214" s="22" t="s">
        <v>754</v>
      </c>
      <c r="R214">
        <v>5</v>
      </c>
      <c r="S214" s="26">
        <f>VLOOKUP($F214,Munition!$B:$P,10,FALSE)</f>
        <v>4.5</v>
      </c>
      <c r="T214" s="26">
        <f>VLOOKUP($F214,Munition!$B:$P,11,FALSE)</f>
        <v>450</v>
      </c>
      <c r="U214" s="28">
        <f t="shared" si="38"/>
        <v>519.6152422706632</v>
      </c>
      <c r="V214" s="26">
        <f>VLOOKUP($F214,Munition!$B:$P,5,FALSE)</f>
        <v>6.75</v>
      </c>
      <c r="W214" s="30">
        <f t="shared" si="40"/>
        <v>911.25</v>
      </c>
      <c r="X214" s="26">
        <f>VLOOKUP($F214,Munition!$B:$P,15,FALSE)</f>
        <v>106.1032953945969</v>
      </c>
      <c r="Y214" s="26">
        <f>VLOOKUP($F214,Munition!$B:$P,9,FALSE)</f>
        <v>1</v>
      </c>
      <c r="Z214" s="26">
        <f>VLOOKUP($F214,Munition!$B:$P,14,FALSE)</f>
        <v>1.5586226552622361E-5</v>
      </c>
      <c r="AA214" s="30">
        <f t="shared" si="41"/>
        <v>2.8647889756541161</v>
      </c>
      <c r="AB214" s="30">
        <f t="shared" si="42"/>
        <v>2.7993968562154508</v>
      </c>
      <c r="AC214" s="30">
        <f t="shared" si="43"/>
        <v>2.7354973874819573</v>
      </c>
      <c r="AD214" s="30">
        <f t="shared" si="44"/>
        <v>2.4941561497530045</v>
      </c>
      <c r="AE214" s="30">
        <f t="shared" si="45"/>
        <v>2.1714740430157988</v>
      </c>
      <c r="AF214" s="32" t="str">
        <f t="shared" si="39"/>
        <v>2D6+1</v>
      </c>
      <c r="AG214" s="33" t="str">
        <f t="shared" si="46"/>
        <v>-</v>
      </c>
      <c r="AH214" s="33" t="str">
        <f t="shared" si="47"/>
        <v>-</v>
      </c>
      <c r="AI214" s="33" t="str">
        <f t="shared" si="48"/>
        <v>-</v>
      </c>
      <c r="AJ214" s="33" t="str">
        <f t="shared" si="49"/>
        <v>-</v>
      </c>
      <c r="AK214">
        <v>1954</v>
      </c>
    </row>
    <row r="215" spans="1:37">
      <c r="A215" t="s">
        <v>574</v>
      </c>
      <c r="B215" t="s">
        <v>406</v>
      </c>
      <c r="C215" t="s">
        <v>681</v>
      </c>
      <c r="D215" t="s">
        <v>681</v>
      </c>
      <c r="F215" t="s">
        <v>51</v>
      </c>
      <c r="G215" t="s">
        <v>317</v>
      </c>
      <c r="H215">
        <v>16.3</v>
      </c>
      <c r="I215">
        <v>22</v>
      </c>
      <c r="J215" s="9">
        <v>100</v>
      </c>
      <c r="K215" s="9">
        <v>200</v>
      </c>
      <c r="L215" s="9">
        <v>600</v>
      </c>
      <c r="M215" s="10">
        <v>1200</v>
      </c>
      <c r="N215" s="10"/>
      <c r="O215" s="10">
        <v>50</v>
      </c>
      <c r="P215" s="18">
        <v>1000</v>
      </c>
      <c r="Q215" s="22">
        <v>100</v>
      </c>
      <c r="R215">
        <v>100</v>
      </c>
      <c r="S215" s="26">
        <f>VLOOKUP($F215,Munition!$B:$P,10,FALSE)</f>
        <v>22</v>
      </c>
      <c r="T215" s="26">
        <f>VLOOKUP($F215,Munition!$B:$P,11,FALSE)</f>
        <v>832</v>
      </c>
      <c r="U215" s="28">
        <f t="shared" si="38"/>
        <v>832</v>
      </c>
      <c r="V215" s="26">
        <f>VLOOKUP($F215,Munition!$B:$P,5,FALSE)</f>
        <v>9.4499999999999993</v>
      </c>
      <c r="W215" s="30">
        <f t="shared" si="40"/>
        <v>3270.7584000000002</v>
      </c>
      <c r="X215" s="26">
        <f>VLOOKUP($F215,Munition!$B:$P,15,FALSE)</f>
        <v>207.22015034594844</v>
      </c>
      <c r="Y215" s="26">
        <f>VLOOKUP($F215,Munition!$B:$P,9,FALSE)</f>
        <v>1</v>
      </c>
      <c r="Z215" s="26">
        <f>VLOOKUP($F215,Munition!$B:$P,14,FALSE)</f>
        <v>6.9830624463123905E-6</v>
      </c>
      <c r="AA215" s="30">
        <f t="shared" si="41"/>
        <v>14.34427613530738</v>
      </c>
      <c r="AB215" s="30">
        <f t="shared" si="42"/>
        <v>12.373552174891518</v>
      </c>
      <c r="AC215" s="30">
        <f t="shared" si="43"/>
        <v>10.673581014513966</v>
      </c>
      <c r="AD215" s="30">
        <f t="shared" si="44"/>
        <v>5.9098053703961</v>
      </c>
      <c r="AE215" s="30">
        <f t="shared" si="45"/>
        <v>2.4348248169871254</v>
      </c>
      <c r="AF215" s="32" t="str">
        <f t="shared" si="39"/>
        <v>4D6+2</v>
      </c>
      <c r="AG215" s="33" t="str">
        <f t="shared" si="46"/>
        <v>2</v>
      </c>
      <c r="AH215" s="33" t="str">
        <f t="shared" si="47"/>
        <v>2+2</v>
      </c>
      <c r="AI215" s="33" t="str">
        <f t="shared" si="48"/>
        <v>3</v>
      </c>
      <c r="AJ215" s="33" t="str">
        <f t="shared" si="49"/>
        <v>-</v>
      </c>
      <c r="AK215">
        <v>1963</v>
      </c>
    </row>
    <row r="216" spans="1:37">
      <c r="A216" t="s">
        <v>579</v>
      </c>
      <c r="B216" t="s">
        <v>407</v>
      </c>
      <c r="C216" t="s">
        <v>681</v>
      </c>
      <c r="D216" t="s">
        <v>681</v>
      </c>
      <c r="F216" t="s">
        <v>51</v>
      </c>
      <c r="G216" t="s">
        <v>317</v>
      </c>
      <c r="H216">
        <v>4.17</v>
      </c>
      <c r="I216">
        <v>22</v>
      </c>
      <c r="J216" s="9">
        <v>100</v>
      </c>
      <c r="K216" s="9">
        <v>200</v>
      </c>
      <c r="L216" s="9">
        <v>600</v>
      </c>
      <c r="M216" s="10">
        <v>1200</v>
      </c>
      <c r="N216" s="10">
        <v>2</v>
      </c>
      <c r="O216" s="10"/>
      <c r="P216" s="18">
        <v>10</v>
      </c>
      <c r="Q216" s="22" t="s">
        <v>701</v>
      </c>
      <c r="R216">
        <v>1</v>
      </c>
      <c r="S216" s="26">
        <f>VLOOKUP($F216,Munition!$B:$P,10,FALSE)</f>
        <v>22</v>
      </c>
      <c r="T216" s="26">
        <f>VLOOKUP($F216,Munition!$B:$P,11,FALSE)</f>
        <v>832</v>
      </c>
      <c r="U216" s="28">
        <f t="shared" si="38"/>
        <v>832</v>
      </c>
      <c r="V216" s="26">
        <f>VLOOKUP($F216,Munition!$B:$P,5,FALSE)</f>
        <v>9.4499999999999993</v>
      </c>
      <c r="W216" s="30">
        <f t="shared" si="40"/>
        <v>3270.7584000000002</v>
      </c>
      <c r="X216" s="26">
        <f>VLOOKUP($F216,Munition!$B:$P,15,FALSE)</f>
        <v>207.22015034594844</v>
      </c>
      <c r="Y216" s="26">
        <f>VLOOKUP($F216,Munition!$B:$P,9,FALSE)</f>
        <v>1</v>
      </c>
      <c r="Z216" s="26">
        <f>VLOOKUP($F216,Munition!$B:$P,14,FALSE)</f>
        <v>6.9830624463123905E-6</v>
      </c>
      <c r="AA216" s="30">
        <f t="shared" si="41"/>
        <v>14.34427613530738</v>
      </c>
      <c r="AB216" s="30">
        <f t="shared" si="42"/>
        <v>12.373552174891518</v>
      </c>
      <c r="AC216" s="30">
        <f t="shared" si="43"/>
        <v>10.673581014513966</v>
      </c>
      <c r="AD216" s="30">
        <f t="shared" si="44"/>
        <v>5.9098053703961</v>
      </c>
      <c r="AE216" s="30">
        <f t="shared" si="45"/>
        <v>2.4348248169871254</v>
      </c>
      <c r="AF216" s="32" t="str">
        <f t="shared" si="39"/>
        <v>4D6+2</v>
      </c>
      <c r="AG216" s="33" t="str">
        <f t="shared" si="46"/>
        <v>2</v>
      </c>
      <c r="AH216" s="33" t="str">
        <f t="shared" si="47"/>
        <v>2+2</v>
      </c>
      <c r="AI216" s="33" t="str">
        <f t="shared" si="48"/>
        <v>3</v>
      </c>
      <c r="AJ216" s="33" t="str">
        <f t="shared" si="49"/>
        <v>-</v>
      </c>
      <c r="AK216">
        <v>1957</v>
      </c>
    </row>
    <row r="217" spans="1:37">
      <c r="A217" t="s">
        <v>572</v>
      </c>
      <c r="B217" t="s">
        <v>408</v>
      </c>
      <c r="C217" t="s">
        <v>681</v>
      </c>
      <c r="D217" t="s">
        <v>681</v>
      </c>
      <c r="F217" t="s">
        <v>51</v>
      </c>
      <c r="G217" t="s">
        <v>52</v>
      </c>
      <c r="H217">
        <v>6.57</v>
      </c>
      <c r="I217">
        <v>24</v>
      </c>
      <c r="J217" s="9">
        <v>116</v>
      </c>
      <c r="K217" s="9">
        <v>232</v>
      </c>
      <c r="L217" s="9">
        <v>696</v>
      </c>
      <c r="M217" s="10">
        <v>1392</v>
      </c>
      <c r="N217" s="10">
        <v>2</v>
      </c>
      <c r="O217" s="10"/>
      <c r="P217" s="18">
        <v>5</v>
      </c>
      <c r="Q217" s="22" t="s">
        <v>712</v>
      </c>
      <c r="R217">
        <v>1</v>
      </c>
      <c r="S217" s="26">
        <f>VLOOKUP($F217,Munition!$B:$P,10,FALSE)</f>
        <v>22</v>
      </c>
      <c r="T217" s="26">
        <f>VLOOKUP($F217,Munition!$B:$P,11,FALSE)</f>
        <v>832</v>
      </c>
      <c r="U217" s="28">
        <f t="shared" si="38"/>
        <v>850.29664699895284</v>
      </c>
      <c r="V217" s="26">
        <f>VLOOKUP($F217,Munition!$B:$P,5,FALSE)</f>
        <v>9.4499999999999993</v>
      </c>
      <c r="W217" s="30">
        <f t="shared" si="40"/>
        <v>3416.1957328164517</v>
      </c>
      <c r="X217" s="26">
        <f>VLOOKUP($F217,Munition!$B:$P,15,FALSE)</f>
        <v>207.22015034594844</v>
      </c>
      <c r="Y217" s="26">
        <f>VLOOKUP($F217,Munition!$B:$P,9,FALSE)</f>
        <v>1</v>
      </c>
      <c r="Z217" s="26">
        <f>VLOOKUP($F217,Munition!$B:$P,14,FALSE)</f>
        <v>6.9830624463123905E-6</v>
      </c>
      <c r="AA217" s="30">
        <f t="shared" si="41"/>
        <v>14.982107796093388</v>
      </c>
      <c r="AB217" s="30">
        <f t="shared" si="42"/>
        <v>12.621739004351939</v>
      </c>
      <c r="AC217" s="30">
        <f t="shared" si="43"/>
        <v>10.633236501977313</v>
      </c>
      <c r="AD217" s="30">
        <f t="shared" si="44"/>
        <v>5.3561235383318744</v>
      </c>
      <c r="AE217" s="30">
        <f t="shared" si="45"/>
        <v>1.9148213154195315</v>
      </c>
      <c r="AF217" s="32" t="str">
        <f t="shared" si="39"/>
        <v>4D6+2</v>
      </c>
      <c r="AG217" s="33" t="str">
        <f t="shared" si="46"/>
        <v>2</v>
      </c>
      <c r="AH217" s="33" t="str">
        <f t="shared" si="47"/>
        <v>2+2</v>
      </c>
      <c r="AI217" s="33" t="str">
        <f t="shared" si="48"/>
        <v>3</v>
      </c>
      <c r="AJ217" s="33" t="str">
        <f t="shared" si="49"/>
        <v>-</v>
      </c>
      <c r="AK217">
        <v>1966</v>
      </c>
    </row>
    <row r="218" spans="1:37">
      <c r="A218" t="s">
        <v>574</v>
      </c>
      <c r="B218" t="s">
        <v>409</v>
      </c>
      <c r="C218" t="s">
        <v>681</v>
      </c>
      <c r="D218" t="s">
        <v>681</v>
      </c>
      <c r="F218" t="s">
        <v>51</v>
      </c>
      <c r="G218" t="s">
        <v>52</v>
      </c>
      <c r="H218">
        <v>10.51</v>
      </c>
      <c r="I218">
        <v>22</v>
      </c>
      <c r="J218" s="9">
        <v>100</v>
      </c>
      <c r="K218" s="9">
        <v>200</v>
      </c>
      <c r="L218" s="9">
        <v>600</v>
      </c>
      <c r="M218" s="10">
        <v>1200</v>
      </c>
      <c r="N218" s="10">
        <v>1</v>
      </c>
      <c r="O218" s="10">
        <v>3</v>
      </c>
      <c r="P218" s="19">
        <v>50</v>
      </c>
      <c r="Q218" s="22" t="s">
        <v>755</v>
      </c>
      <c r="R218">
        <v>5</v>
      </c>
      <c r="S218" s="26">
        <f>VLOOKUP($F218,Munition!$B:$P,10,FALSE)</f>
        <v>22</v>
      </c>
      <c r="T218" s="26">
        <f>VLOOKUP($F218,Munition!$B:$P,11,FALSE)</f>
        <v>832</v>
      </c>
      <c r="U218" s="28">
        <f t="shared" si="38"/>
        <v>832</v>
      </c>
      <c r="V218" s="26">
        <f>VLOOKUP($F218,Munition!$B:$P,5,FALSE)</f>
        <v>9.4499999999999993</v>
      </c>
      <c r="W218" s="30">
        <f t="shared" si="40"/>
        <v>3270.7584000000002</v>
      </c>
      <c r="X218" s="26">
        <f>VLOOKUP($F218,Munition!$B:$P,15,FALSE)</f>
        <v>207.22015034594844</v>
      </c>
      <c r="Y218" s="26">
        <f>VLOOKUP($F218,Munition!$B:$P,9,FALSE)</f>
        <v>1</v>
      </c>
      <c r="Z218" s="26">
        <f>VLOOKUP($F218,Munition!$B:$P,14,FALSE)</f>
        <v>6.9830624463123905E-6</v>
      </c>
      <c r="AA218" s="30">
        <f t="shared" si="41"/>
        <v>14.34427613530738</v>
      </c>
      <c r="AB218" s="30">
        <f t="shared" si="42"/>
        <v>12.373552174891518</v>
      </c>
      <c r="AC218" s="30">
        <f t="shared" si="43"/>
        <v>10.673581014513966</v>
      </c>
      <c r="AD218" s="30">
        <f t="shared" si="44"/>
        <v>5.9098053703961</v>
      </c>
      <c r="AE218" s="30">
        <f t="shared" si="45"/>
        <v>2.4348248169871254</v>
      </c>
      <c r="AF218" s="32" t="str">
        <f t="shared" si="39"/>
        <v>4D6+2</v>
      </c>
      <c r="AG218" s="33" t="str">
        <f t="shared" si="46"/>
        <v>2</v>
      </c>
      <c r="AH218" s="33" t="str">
        <f t="shared" si="47"/>
        <v>2+2</v>
      </c>
      <c r="AI218" s="33" t="str">
        <f t="shared" si="48"/>
        <v>3</v>
      </c>
      <c r="AJ218" s="33" t="str">
        <f t="shared" si="49"/>
        <v>-</v>
      </c>
      <c r="AK218">
        <v>1957</v>
      </c>
    </row>
    <row r="219" spans="1:37">
      <c r="A219" t="s">
        <v>574</v>
      </c>
      <c r="B219" t="s">
        <v>410</v>
      </c>
      <c r="C219" t="s">
        <v>681</v>
      </c>
      <c r="D219" t="s">
        <v>681</v>
      </c>
      <c r="F219" t="s">
        <v>51</v>
      </c>
      <c r="G219" t="s">
        <v>52</v>
      </c>
      <c r="H219">
        <v>8.5050000000000008</v>
      </c>
      <c r="I219">
        <v>22</v>
      </c>
      <c r="J219" s="9">
        <v>100</v>
      </c>
      <c r="K219" s="9">
        <v>200</v>
      </c>
      <c r="L219" s="9">
        <v>600</v>
      </c>
      <c r="M219" s="10">
        <v>1200</v>
      </c>
      <c r="N219" s="10">
        <v>1</v>
      </c>
      <c r="O219" s="10">
        <v>3</v>
      </c>
      <c r="P219" s="19">
        <v>50</v>
      </c>
      <c r="Q219" s="22" t="s">
        <v>755</v>
      </c>
      <c r="R219">
        <v>5</v>
      </c>
      <c r="S219" s="26">
        <f>VLOOKUP($F219,Munition!$B:$P,10,FALSE)</f>
        <v>22</v>
      </c>
      <c r="T219" s="26">
        <f>VLOOKUP($F219,Munition!$B:$P,11,FALSE)</f>
        <v>832</v>
      </c>
      <c r="U219" s="28">
        <f t="shared" si="38"/>
        <v>832</v>
      </c>
      <c r="V219" s="26">
        <f>VLOOKUP($F219,Munition!$B:$P,5,FALSE)</f>
        <v>9.4499999999999993</v>
      </c>
      <c r="W219" s="30">
        <f t="shared" si="40"/>
        <v>3270.7584000000002</v>
      </c>
      <c r="X219" s="26">
        <f>VLOOKUP($F219,Munition!$B:$P,15,FALSE)</f>
        <v>207.22015034594844</v>
      </c>
      <c r="Y219" s="26">
        <f>VLOOKUP($F219,Munition!$B:$P,9,FALSE)</f>
        <v>1</v>
      </c>
      <c r="Z219" s="26">
        <f>VLOOKUP($F219,Munition!$B:$P,14,FALSE)</f>
        <v>6.9830624463123905E-6</v>
      </c>
      <c r="AA219" s="30">
        <f t="shared" si="41"/>
        <v>14.34427613530738</v>
      </c>
      <c r="AB219" s="30">
        <f t="shared" si="42"/>
        <v>12.373552174891518</v>
      </c>
      <c r="AC219" s="30">
        <f t="shared" si="43"/>
        <v>10.673581014513966</v>
      </c>
      <c r="AD219" s="30">
        <f t="shared" si="44"/>
        <v>5.9098053703961</v>
      </c>
      <c r="AE219" s="30">
        <f t="shared" si="45"/>
        <v>2.4348248169871254</v>
      </c>
      <c r="AF219" s="32" t="str">
        <f t="shared" si="39"/>
        <v>4D6+2</v>
      </c>
      <c r="AG219" s="33" t="str">
        <f t="shared" si="46"/>
        <v>2</v>
      </c>
      <c r="AH219" s="33" t="str">
        <f t="shared" si="47"/>
        <v>2+2</v>
      </c>
      <c r="AI219" s="33" t="str">
        <f t="shared" si="48"/>
        <v>3</v>
      </c>
      <c r="AJ219" s="33" t="str">
        <f t="shared" si="49"/>
        <v>-</v>
      </c>
      <c r="AK219">
        <v>1986</v>
      </c>
    </row>
    <row r="220" spans="1:37">
      <c r="A220" t="s">
        <v>574</v>
      </c>
      <c r="B220" t="s">
        <v>411</v>
      </c>
      <c r="C220" t="s">
        <v>681</v>
      </c>
      <c r="D220" t="s">
        <v>681</v>
      </c>
      <c r="F220" t="s">
        <v>51</v>
      </c>
      <c r="G220" t="s">
        <v>52</v>
      </c>
      <c r="H220">
        <v>8.3919999999999995</v>
      </c>
      <c r="I220">
        <v>22</v>
      </c>
      <c r="J220" s="9">
        <v>100</v>
      </c>
      <c r="K220" s="9">
        <v>200</v>
      </c>
      <c r="L220" s="9">
        <v>600</v>
      </c>
      <c r="M220" s="10">
        <v>1200</v>
      </c>
      <c r="N220" s="10">
        <v>1</v>
      </c>
      <c r="O220" s="10">
        <v>3</v>
      </c>
      <c r="P220" s="19">
        <v>50</v>
      </c>
      <c r="Q220" s="22" t="s">
        <v>755</v>
      </c>
      <c r="R220">
        <v>5</v>
      </c>
      <c r="S220" s="26">
        <f>VLOOKUP($F220,Munition!$B:$P,10,FALSE)</f>
        <v>22</v>
      </c>
      <c r="T220" s="26">
        <f>VLOOKUP($F220,Munition!$B:$P,11,FALSE)</f>
        <v>832</v>
      </c>
      <c r="U220" s="28">
        <f t="shared" si="38"/>
        <v>832</v>
      </c>
      <c r="V220" s="26">
        <f>VLOOKUP($F220,Munition!$B:$P,5,FALSE)</f>
        <v>9.4499999999999993</v>
      </c>
      <c r="W220" s="30">
        <f t="shared" si="40"/>
        <v>3270.7584000000002</v>
      </c>
      <c r="X220" s="26">
        <f>VLOOKUP($F220,Munition!$B:$P,15,FALSE)</f>
        <v>207.22015034594844</v>
      </c>
      <c r="Y220" s="26">
        <f>VLOOKUP($F220,Munition!$B:$P,9,FALSE)</f>
        <v>1</v>
      </c>
      <c r="Z220" s="26">
        <f>VLOOKUP($F220,Munition!$B:$P,14,FALSE)</f>
        <v>6.9830624463123905E-6</v>
      </c>
      <c r="AA220" s="30">
        <f t="shared" si="41"/>
        <v>14.34427613530738</v>
      </c>
      <c r="AB220" s="30">
        <f t="shared" si="42"/>
        <v>12.373552174891518</v>
      </c>
      <c r="AC220" s="30">
        <f t="shared" si="43"/>
        <v>10.673581014513966</v>
      </c>
      <c r="AD220" s="30">
        <f t="shared" si="44"/>
        <v>5.9098053703961</v>
      </c>
      <c r="AE220" s="30">
        <f t="shared" si="45"/>
        <v>2.4348248169871254</v>
      </c>
      <c r="AF220" s="32" t="str">
        <f t="shared" si="39"/>
        <v>4D6+2</v>
      </c>
      <c r="AG220" s="33" t="str">
        <f t="shared" si="46"/>
        <v>2</v>
      </c>
      <c r="AH220" s="33" t="str">
        <f t="shared" si="47"/>
        <v>2+2</v>
      </c>
      <c r="AI220" s="33" t="str">
        <f t="shared" si="48"/>
        <v>3</v>
      </c>
      <c r="AJ220" s="33" t="str">
        <f t="shared" si="49"/>
        <v>-</v>
      </c>
      <c r="AK220">
        <v>1986</v>
      </c>
    </row>
    <row r="221" spans="1:37">
      <c r="A221" t="s">
        <v>571</v>
      </c>
      <c r="B221" t="s">
        <v>412</v>
      </c>
      <c r="C221" t="s">
        <v>681</v>
      </c>
      <c r="D221" t="s">
        <v>681</v>
      </c>
      <c r="F221" t="s">
        <v>26</v>
      </c>
      <c r="G221" t="s">
        <v>27</v>
      </c>
      <c r="H221">
        <v>0.27500000000000002</v>
      </c>
      <c r="I221">
        <v>2.1</v>
      </c>
      <c r="J221" s="9">
        <v>2</v>
      </c>
      <c r="K221" s="9">
        <v>4</v>
      </c>
      <c r="L221" s="9">
        <v>12</v>
      </c>
      <c r="M221" s="10">
        <v>24</v>
      </c>
      <c r="N221" s="10">
        <v>4</v>
      </c>
      <c r="O221" s="10"/>
      <c r="P221" s="18">
        <v>6</v>
      </c>
      <c r="Q221" s="22" t="s">
        <v>701</v>
      </c>
      <c r="R221">
        <v>1</v>
      </c>
      <c r="S221" s="26">
        <f>VLOOKUP($F221,Munition!$B:$P,10,FALSE)</f>
        <v>4</v>
      </c>
      <c r="T221" s="26">
        <f>VLOOKUP($F221,Munition!$B:$P,11,FALSE)</f>
        <v>250</v>
      </c>
      <c r="U221" s="28">
        <f t="shared" si="38"/>
        <v>212.80402329806174</v>
      </c>
      <c r="V221" s="26">
        <f>VLOOKUP($F221,Munition!$B:$P,5,FALSE)</f>
        <v>3.23</v>
      </c>
      <c r="W221" s="30">
        <f t="shared" si="40"/>
        <v>73.136167015924826</v>
      </c>
      <c r="X221" s="26">
        <f>VLOOKUP($F221,Munition!$B:$P,15,FALSE)</f>
        <v>101.99178447503442</v>
      </c>
      <c r="Y221" s="26">
        <f>VLOOKUP($F221,Munition!$B:$P,9,FALSE)</f>
        <v>1</v>
      </c>
      <c r="Z221" s="26">
        <f>VLOOKUP($F221,Munition!$B:$P,14,FALSE)</f>
        <v>8.7288280578904889E-6</v>
      </c>
      <c r="AA221" s="30">
        <f t="shared" si="41"/>
        <v>0.46187542932621223</v>
      </c>
      <c r="AB221" s="30">
        <f t="shared" si="42"/>
        <v>0.4569095851646176</v>
      </c>
      <c r="AC221" s="30">
        <f t="shared" si="43"/>
        <v>0.45199713117420676</v>
      </c>
      <c r="AD221" s="30">
        <f t="shared" si="44"/>
        <v>0.43286982863448142</v>
      </c>
      <c r="AE221" s="30">
        <f t="shared" si="45"/>
        <v>0.40568576859650546</v>
      </c>
      <c r="AF221" s="32">
        <f t="shared" si="39"/>
        <v>2</v>
      </c>
      <c r="AG221" s="33" t="str">
        <f t="shared" si="46"/>
        <v>-</v>
      </c>
      <c r="AH221" s="33" t="str">
        <f t="shared" si="47"/>
        <v>-</v>
      </c>
      <c r="AI221" s="33" t="str">
        <f t="shared" si="48"/>
        <v>-</v>
      </c>
      <c r="AJ221" s="33" t="str">
        <f t="shared" si="49"/>
        <v>-</v>
      </c>
      <c r="AK221">
        <v>1931</v>
      </c>
    </row>
    <row r="222" spans="1:37">
      <c r="A222" t="s">
        <v>571</v>
      </c>
      <c r="B222" t="s">
        <v>413</v>
      </c>
      <c r="C222" t="s">
        <v>681</v>
      </c>
      <c r="D222" t="s">
        <v>681</v>
      </c>
      <c r="F222" t="s">
        <v>64</v>
      </c>
      <c r="G222" t="s">
        <v>65</v>
      </c>
      <c r="H222">
        <v>0.31</v>
      </c>
      <c r="I222">
        <v>3</v>
      </c>
      <c r="J222" s="9">
        <v>4</v>
      </c>
      <c r="K222" s="9">
        <v>8</v>
      </c>
      <c r="L222" s="9">
        <v>24</v>
      </c>
      <c r="M222" s="10">
        <v>48</v>
      </c>
      <c r="N222" s="10">
        <v>5</v>
      </c>
      <c r="O222" s="10"/>
      <c r="P222" s="18">
        <v>6</v>
      </c>
      <c r="Q222" s="22" t="s">
        <v>701</v>
      </c>
      <c r="R222">
        <v>1</v>
      </c>
      <c r="S222" s="26">
        <f>VLOOKUP($F222,Munition!$B:$P,10,FALSE)</f>
        <v>4</v>
      </c>
      <c r="T222" s="26">
        <f>VLOOKUP($F222,Munition!$B:$P,11,FALSE)</f>
        <v>318</v>
      </c>
      <c r="U222" s="28">
        <f t="shared" si="38"/>
        <v>295.93234519446764</v>
      </c>
      <c r="V222" s="26">
        <f>VLOOKUP($F222,Munition!$B:$P,5,FALSE)</f>
        <v>4.7</v>
      </c>
      <c r="W222" s="30">
        <f t="shared" si="40"/>
        <v>205.80348939089927</v>
      </c>
      <c r="X222" s="26">
        <f>VLOOKUP($F222,Munition!$B:$P,15,FALSE)</f>
        <v>102.25513025341134</v>
      </c>
      <c r="Y222" s="26">
        <f>VLOOKUP($F222,Munition!$B:$P,9,FALSE)</f>
        <v>1</v>
      </c>
      <c r="Z222" s="26">
        <f>VLOOKUP($F222,Munition!$B:$P,14,FALSE)</f>
        <v>1.1261048684269658E-5</v>
      </c>
      <c r="AA222" s="30">
        <f t="shared" si="41"/>
        <v>0.89550904741587067</v>
      </c>
      <c r="AB222" s="30">
        <f t="shared" si="42"/>
        <v>0.87850762065296195</v>
      </c>
      <c r="AC222" s="30">
        <f t="shared" si="43"/>
        <v>0.86182896953683064</v>
      </c>
      <c r="AD222" s="30">
        <f t="shared" si="44"/>
        <v>0.79822129417476784</v>
      </c>
      <c r="AE222" s="30">
        <f t="shared" si="45"/>
        <v>0.71150284445774936</v>
      </c>
      <c r="AF222" s="32" t="str">
        <f t="shared" si="39"/>
        <v>1D6</v>
      </c>
      <c r="AG222" s="33" t="str">
        <f t="shared" si="46"/>
        <v>-</v>
      </c>
      <c r="AH222" s="33" t="str">
        <f t="shared" si="47"/>
        <v>-</v>
      </c>
      <c r="AI222" s="33" t="str">
        <f t="shared" si="48"/>
        <v>-</v>
      </c>
      <c r="AJ222" s="33" t="str">
        <f t="shared" si="49"/>
        <v>-</v>
      </c>
      <c r="AK222">
        <v>1946</v>
      </c>
    </row>
    <row r="223" spans="1:37">
      <c r="A223" t="s">
        <v>574</v>
      </c>
      <c r="B223" t="s">
        <v>414</v>
      </c>
      <c r="C223" t="s">
        <v>681</v>
      </c>
      <c r="D223" t="s">
        <v>681</v>
      </c>
      <c r="F223" t="s">
        <v>51</v>
      </c>
      <c r="G223" t="s">
        <v>52</v>
      </c>
      <c r="H223">
        <v>10</v>
      </c>
      <c r="I223">
        <v>23.6</v>
      </c>
      <c r="J223" s="9">
        <v>100</v>
      </c>
      <c r="K223" s="9">
        <v>200</v>
      </c>
      <c r="L223" s="9">
        <v>600</v>
      </c>
      <c r="M223" s="10">
        <v>1200</v>
      </c>
      <c r="N223" s="10"/>
      <c r="O223" s="10">
        <v>5</v>
      </c>
      <c r="P223" s="18">
        <v>100</v>
      </c>
      <c r="Q223" s="22">
        <v>75</v>
      </c>
      <c r="R223">
        <v>10</v>
      </c>
      <c r="S223" s="26">
        <f>VLOOKUP($F223,Munition!$B:$P,10,FALSE)</f>
        <v>22</v>
      </c>
      <c r="T223" s="26">
        <f>VLOOKUP($F223,Munition!$B:$P,11,FALSE)</f>
        <v>832</v>
      </c>
      <c r="U223" s="28">
        <f t="shared" si="38"/>
        <v>846.73138338272611</v>
      </c>
      <c r="V223" s="26">
        <f>VLOOKUP($F223,Munition!$B:$P,5,FALSE)</f>
        <v>9.4499999999999993</v>
      </c>
      <c r="W223" s="30">
        <f t="shared" si="40"/>
        <v>3387.6078182346887</v>
      </c>
      <c r="X223" s="26">
        <f>VLOOKUP($F223,Munition!$B:$P,15,FALSE)</f>
        <v>207.22015034594844</v>
      </c>
      <c r="Y223" s="26">
        <f>VLOOKUP($F223,Munition!$B:$P,9,FALSE)</f>
        <v>1</v>
      </c>
      <c r="Z223" s="26">
        <f>VLOOKUP($F223,Munition!$B:$P,14,FALSE)</f>
        <v>6.9830624463123905E-6</v>
      </c>
      <c r="AA223" s="30">
        <f t="shared" si="41"/>
        <v>14.85673230492492</v>
      </c>
      <c r="AB223" s="30">
        <f t="shared" si="42"/>
        <v>12.815603282406105</v>
      </c>
      <c r="AC223" s="30">
        <f t="shared" si="43"/>
        <v>11.054899834035082</v>
      </c>
      <c r="AD223" s="30">
        <f t="shared" si="44"/>
        <v>6.1209360119656582</v>
      </c>
      <c r="AE223" s="30">
        <f t="shared" si="45"/>
        <v>2.5218101055881812</v>
      </c>
      <c r="AF223" s="32" t="str">
        <f t="shared" si="39"/>
        <v>4D6+2</v>
      </c>
      <c r="AG223" s="33" t="str">
        <f t="shared" si="46"/>
        <v>2</v>
      </c>
      <c r="AH223" s="33" t="str">
        <f t="shared" si="47"/>
        <v>2+1</v>
      </c>
      <c r="AI223" s="33" t="str">
        <f t="shared" si="48"/>
        <v>3</v>
      </c>
      <c r="AJ223" s="33" t="str">
        <f t="shared" si="49"/>
        <v>-</v>
      </c>
      <c r="AK223">
        <v>1952</v>
      </c>
    </row>
    <row r="224" spans="1:37">
      <c r="A224" t="s">
        <v>571</v>
      </c>
      <c r="B224" t="s">
        <v>415</v>
      </c>
      <c r="C224" t="s">
        <v>681</v>
      </c>
      <c r="D224" t="s">
        <v>681</v>
      </c>
      <c r="F224" t="s">
        <v>182</v>
      </c>
      <c r="G224" t="s">
        <v>79</v>
      </c>
      <c r="H224">
        <v>0.86</v>
      </c>
      <c r="I224">
        <v>5</v>
      </c>
      <c r="J224" s="9">
        <v>5</v>
      </c>
      <c r="K224" s="9">
        <v>10</v>
      </c>
      <c r="L224" s="9">
        <v>30</v>
      </c>
      <c r="M224" s="10">
        <v>60</v>
      </c>
      <c r="N224" s="10">
        <v>3</v>
      </c>
      <c r="O224" s="10"/>
      <c r="P224" s="18">
        <v>9</v>
      </c>
      <c r="Q224" s="22" t="s">
        <v>701</v>
      </c>
      <c r="R224">
        <v>1</v>
      </c>
      <c r="S224" s="26">
        <f>VLOOKUP($F224,Munition!$B:$P,10,FALSE)</f>
        <v>4.5</v>
      </c>
      <c r="T224" s="26">
        <f>VLOOKUP($F224,Munition!$B:$P,11,FALSE)</f>
        <v>450</v>
      </c>
      <c r="U224" s="28">
        <f t="shared" si="38"/>
        <v>462.01054323615341</v>
      </c>
      <c r="V224" s="26">
        <f>VLOOKUP($F224,Munition!$B:$P,5,FALSE)</f>
        <v>6.75</v>
      </c>
      <c r="W224" s="30">
        <f t="shared" si="40"/>
        <v>720.40637945710876</v>
      </c>
      <c r="X224" s="26">
        <f>VLOOKUP($F224,Munition!$B:$P,15,FALSE)</f>
        <v>106.1032953945969</v>
      </c>
      <c r="Y224" s="26">
        <f>VLOOKUP($F224,Munition!$B:$P,9,FALSE)</f>
        <v>1</v>
      </c>
      <c r="Z224" s="26">
        <f>VLOOKUP($F224,Munition!$B:$P,14,FALSE)</f>
        <v>1.5586226552622361E-5</v>
      </c>
      <c r="AA224" s="30">
        <f t="shared" si="41"/>
        <v>2.2648145447019159</v>
      </c>
      <c r="AB224" s="30">
        <f t="shared" si="42"/>
        <v>2.2131175350889274</v>
      </c>
      <c r="AC224" s="30">
        <f t="shared" si="43"/>
        <v>2.162600569470789</v>
      </c>
      <c r="AD224" s="30">
        <f t="shared" si="44"/>
        <v>1.9718035683338757</v>
      </c>
      <c r="AE224" s="30">
        <f t="shared" si="45"/>
        <v>1.7167009639660926</v>
      </c>
      <c r="AF224" s="32" t="str">
        <f t="shared" si="39"/>
        <v>2D6</v>
      </c>
      <c r="AG224" s="33" t="str">
        <f t="shared" si="46"/>
        <v>-</v>
      </c>
      <c r="AH224" s="33" t="str">
        <f t="shared" si="47"/>
        <v>-</v>
      </c>
      <c r="AI224" s="33" t="str">
        <f t="shared" si="48"/>
        <v>-</v>
      </c>
      <c r="AJ224" s="33" t="str">
        <f t="shared" si="49"/>
        <v>-</v>
      </c>
      <c r="AK224">
        <v>1989</v>
      </c>
    </row>
    <row r="225" spans="1:37">
      <c r="A225" t="s">
        <v>571</v>
      </c>
      <c r="B225" t="s">
        <v>416</v>
      </c>
      <c r="C225" t="s">
        <v>681</v>
      </c>
      <c r="D225" t="s">
        <v>681</v>
      </c>
      <c r="F225" t="s">
        <v>172</v>
      </c>
      <c r="G225" t="s">
        <v>173</v>
      </c>
      <c r="H225">
        <v>1.78</v>
      </c>
      <c r="I225">
        <v>6</v>
      </c>
      <c r="J225" s="9">
        <v>16</v>
      </c>
      <c r="K225" s="9">
        <v>32</v>
      </c>
      <c r="L225" s="9">
        <v>96</v>
      </c>
      <c r="M225" s="10">
        <v>192</v>
      </c>
      <c r="N225" s="10">
        <v>3</v>
      </c>
      <c r="O225" s="10"/>
      <c r="P225" s="18">
        <v>7</v>
      </c>
      <c r="Q225" s="22" t="s">
        <v>701</v>
      </c>
      <c r="R225">
        <v>1</v>
      </c>
      <c r="S225" s="26">
        <f>VLOOKUP($F225,Munition!$B:$P,10,FALSE)</f>
        <v>12</v>
      </c>
      <c r="T225" s="26">
        <f>VLOOKUP($F225,Munition!$B:$P,11,FALSE)</f>
        <v>425</v>
      </c>
      <c r="U225" s="28">
        <f t="shared" si="38"/>
        <v>357.38097648282866</v>
      </c>
      <c r="V225" s="26">
        <f>VLOOKUP($F225,Munition!$B:$P,5,FALSE)</f>
        <v>21</v>
      </c>
      <c r="W225" s="30">
        <f t="shared" si="40"/>
        <v>1341.0722046941114</v>
      </c>
      <c r="X225" s="26">
        <f>VLOOKUP($F225,Munition!$B:$P,15,FALSE)</f>
        <v>165.77612027675877</v>
      </c>
      <c r="Y225" s="26">
        <f>VLOOKUP($F225,Munition!$B:$P,9,FALSE)</f>
        <v>1</v>
      </c>
      <c r="Z225" s="26">
        <f>VLOOKUP($F225,Munition!$B:$P,14,FALSE)</f>
        <v>3.4915312231561956E-5</v>
      </c>
      <c r="AA225" s="30">
        <f t="shared" si="41"/>
        <v>2.117311877192277</v>
      </c>
      <c r="AB225" s="30">
        <f t="shared" si="42"/>
        <v>2.0076060982019128</v>
      </c>
      <c r="AC225" s="30">
        <f t="shared" si="43"/>
        <v>1.9035845823914461</v>
      </c>
      <c r="AD225" s="30">
        <f t="shared" si="44"/>
        <v>1.5386748974604145</v>
      </c>
      <c r="AE225" s="30">
        <f t="shared" si="45"/>
        <v>1.1181727479913524</v>
      </c>
      <c r="AF225" s="32" t="str">
        <f t="shared" si="39"/>
        <v>3D6</v>
      </c>
      <c r="AG225" s="33" t="str">
        <f t="shared" si="46"/>
        <v>-</v>
      </c>
      <c r="AH225" s="33" t="str">
        <f t="shared" si="47"/>
        <v>-</v>
      </c>
      <c r="AI225" s="33" t="str">
        <f t="shared" si="48"/>
        <v>-</v>
      </c>
      <c r="AJ225" s="33" t="str">
        <f t="shared" si="49"/>
        <v>-</v>
      </c>
      <c r="AK225">
        <v>1995</v>
      </c>
    </row>
    <row r="226" spans="1:37">
      <c r="A226" t="s">
        <v>571</v>
      </c>
      <c r="B226" t="s">
        <v>417</v>
      </c>
      <c r="C226" t="s">
        <v>681</v>
      </c>
      <c r="D226" t="s">
        <v>681</v>
      </c>
      <c r="F226" t="s">
        <v>94</v>
      </c>
      <c r="G226" t="s">
        <v>95</v>
      </c>
      <c r="H226">
        <v>1.64</v>
      </c>
      <c r="I226">
        <v>6</v>
      </c>
      <c r="J226" s="9">
        <v>12</v>
      </c>
      <c r="K226" s="9">
        <v>24</v>
      </c>
      <c r="L226" s="9">
        <v>72</v>
      </c>
      <c r="M226" s="10">
        <v>144</v>
      </c>
      <c r="N226" s="10">
        <v>2</v>
      </c>
      <c r="O226" s="10"/>
      <c r="P226" s="18">
        <v>9</v>
      </c>
      <c r="Q226" s="22" t="s">
        <v>701</v>
      </c>
      <c r="R226">
        <v>1</v>
      </c>
      <c r="S226" s="26">
        <f>VLOOKUP($F226,Munition!$B:$P,10,FALSE)</f>
        <v>6</v>
      </c>
      <c r="T226" s="26">
        <f>VLOOKUP($F226,Munition!$B:$P,11,FALSE)</f>
        <v>395</v>
      </c>
      <c r="U226" s="28">
        <f t="shared" si="38"/>
        <v>395</v>
      </c>
      <c r="V226" s="26">
        <f>VLOOKUP($F226,Munition!$B:$P,5,FALSE)</f>
        <v>10.199999999999999</v>
      </c>
      <c r="W226" s="30">
        <f t="shared" si="40"/>
        <v>795.72749999999996</v>
      </c>
      <c r="X226" s="26">
        <f>VLOOKUP($F226,Munition!$B:$P,15,FALSE)</f>
        <v>160.33386859627976</v>
      </c>
      <c r="Y226" s="26">
        <f>VLOOKUP($F226,Munition!$B:$P,9,FALSE)</f>
        <v>1</v>
      </c>
      <c r="Z226" s="26">
        <f>VLOOKUP($F226,Munition!$B:$P,14,FALSE)</f>
        <v>1.7534504871700157E-5</v>
      </c>
      <c r="AA226" s="30">
        <f t="shared" si="41"/>
        <v>2.5016091847734545</v>
      </c>
      <c r="AB226" s="30">
        <f t="shared" si="42"/>
        <v>2.4004987786351113</v>
      </c>
      <c r="AC226" s="30">
        <f t="shared" si="43"/>
        <v>2.3034750676894808</v>
      </c>
      <c r="AD226" s="30">
        <f t="shared" si="44"/>
        <v>1.9530421768378146</v>
      </c>
      <c r="AE226" s="30">
        <f t="shared" si="45"/>
        <v>1.5247680443949196</v>
      </c>
      <c r="AF226" s="32" t="str">
        <f t="shared" si="39"/>
        <v>2D6+1</v>
      </c>
      <c r="AG226" s="33" t="str">
        <f t="shared" si="46"/>
        <v>-</v>
      </c>
      <c r="AH226" s="33" t="str">
        <f t="shared" si="47"/>
        <v>-</v>
      </c>
      <c r="AI226" s="33" t="str">
        <f t="shared" si="48"/>
        <v>-</v>
      </c>
      <c r="AJ226" s="33" t="str">
        <f t="shared" si="49"/>
        <v>-</v>
      </c>
      <c r="AK226">
        <v>1982</v>
      </c>
    </row>
    <row r="227" spans="1:37">
      <c r="A227" t="s">
        <v>571</v>
      </c>
      <c r="B227" t="s">
        <v>418</v>
      </c>
      <c r="C227" t="s">
        <v>681</v>
      </c>
      <c r="D227" t="s">
        <v>681</v>
      </c>
      <c r="F227" t="s">
        <v>102</v>
      </c>
      <c r="G227" t="s">
        <v>419</v>
      </c>
      <c r="H227">
        <v>1.78</v>
      </c>
      <c r="I227">
        <v>6</v>
      </c>
      <c r="J227" s="9">
        <v>16</v>
      </c>
      <c r="K227" s="9">
        <v>32</v>
      </c>
      <c r="L227" s="9">
        <v>96</v>
      </c>
      <c r="M227" s="10">
        <v>192</v>
      </c>
      <c r="N227" s="10">
        <v>3</v>
      </c>
      <c r="O227" s="10"/>
      <c r="P227" s="18">
        <v>8</v>
      </c>
      <c r="Q227" s="22" t="s">
        <v>701</v>
      </c>
      <c r="R227">
        <v>1</v>
      </c>
      <c r="S227" s="26">
        <f>VLOOKUP($F227,Munition!$B:$P,10,FALSE)</f>
        <v>5</v>
      </c>
      <c r="T227" s="26">
        <f>VLOOKUP($F227,Munition!$B:$P,11,FALSE)</f>
        <v>450</v>
      </c>
      <c r="U227" s="28">
        <f t="shared" si="38"/>
        <v>470.98581272644753</v>
      </c>
      <c r="V227" s="26">
        <f>VLOOKUP($F227,Munition!$B:$P,5,FALSE)</f>
        <v>19</v>
      </c>
      <c r="W227" s="30">
        <f t="shared" si="40"/>
        <v>2107.3625400011269</v>
      </c>
      <c r="X227" s="26">
        <f>VLOOKUP($F227,Munition!$B:$P,15,FALSE)</f>
        <v>185.17026956251715</v>
      </c>
      <c r="Y227" s="26">
        <f>VLOOKUP($F227,Munition!$B:$P,9,FALSE)</f>
        <v>1</v>
      </c>
      <c r="Z227" s="26">
        <f>VLOOKUP($F227,Munition!$B:$P,14,FALSE)</f>
        <v>2.8281402907565187E-5</v>
      </c>
      <c r="AA227" s="30">
        <f t="shared" si="41"/>
        <v>4.1075883115574685</v>
      </c>
      <c r="AB227" s="30">
        <f t="shared" si="42"/>
        <v>3.9165228586091487</v>
      </c>
      <c r="AC227" s="30">
        <f t="shared" si="43"/>
        <v>3.7343448609122785</v>
      </c>
      <c r="AD227" s="30">
        <f t="shared" si="44"/>
        <v>3.086522497783613</v>
      </c>
      <c r="AE227" s="30">
        <f t="shared" si="45"/>
        <v>2.3192735996739167</v>
      </c>
      <c r="AF227" s="32" t="str">
        <f t="shared" si="39"/>
        <v>3D6+2</v>
      </c>
      <c r="AG227" s="33" t="str">
        <f t="shared" si="46"/>
        <v>-</v>
      </c>
      <c r="AH227" s="33" t="str">
        <f t="shared" si="47"/>
        <v>-</v>
      </c>
      <c r="AI227" s="33" t="str">
        <f t="shared" si="48"/>
        <v>-</v>
      </c>
      <c r="AJ227" s="33" t="str">
        <f t="shared" si="49"/>
        <v>-</v>
      </c>
      <c r="AK227">
        <v>1982</v>
      </c>
    </row>
    <row r="228" spans="1:37">
      <c r="A228" t="s">
        <v>571</v>
      </c>
      <c r="B228" t="s">
        <v>420</v>
      </c>
      <c r="C228" t="s">
        <v>681</v>
      </c>
      <c r="D228" t="s">
        <v>681</v>
      </c>
      <c r="F228" t="s">
        <v>75</v>
      </c>
      <c r="G228" t="s">
        <v>76</v>
      </c>
      <c r="H228">
        <v>0.73</v>
      </c>
      <c r="I228">
        <v>3.8</v>
      </c>
      <c r="J228" s="9">
        <v>5</v>
      </c>
      <c r="K228" s="9">
        <v>10</v>
      </c>
      <c r="L228" s="9">
        <v>30</v>
      </c>
      <c r="M228" s="10">
        <v>60</v>
      </c>
      <c r="N228" s="10">
        <v>3</v>
      </c>
      <c r="O228" s="10"/>
      <c r="P228" s="18">
        <v>8</v>
      </c>
      <c r="Q228" s="22" t="s">
        <v>701</v>
      </c>
      <c r="R228">
        <v>1</v>
      </c>
      <c r="S228" s="26">
        <f>VLOOKUP($F228,Munition!$B:$P,10,FALSE)</f>
        <v>3.8</v>
      </c>
      <c r="T228" s="26">
        <f>VLOOKUP($F228,Munition!$B:$P,11,FALSE)</f>
        <v>314</v>
      </c>
      <c r="U228" s="28">
        <f t="shared" si="38"/>
        <v>314</v>
      </c>
      <c r="V228" s="26">
        <f>VLOOKUP($F228,Munition!$B:$P,5,FALSE)</f>
        <v>6.1</v>
      </c>
      <c r="W228" s="30">
        <f t="shared" si="40"/>
        <v>300.71779999999995</v>
      </c>
      <c r="X228" s="26">
        <f>VLOOKUP($F228,Munition!$B:$P,15,FALSE)</f>
        <v>91.76230178266178</v>
      </c>
      <c r="Y228" s="26">
        <f>VLOOKUP($F228,Munition!$B:$P,9,FALSE)</f>
        <v>1</v>
      </c>
      <c r="Z228" s="26">
        <f>VLOOKUP($F228,Munition!$B:$P,14,FALSE)</f>
        <v>1.6286644634740203E-5</v>
      </c>
      <c r="AA228" s="30">
        <f t="shared" si="41"/>
        <v>0.90473959065633203</v>
      </c>
      <c r="AB228" s="30">
        <f t="shared" si="42"/>
        <v>0.8809031955696276</v>
      </c>
      <c r="AC228" s="30">
        <f t="shared" si="43"/>
        <v>0.85769479746304556</v>
      </c>
      <c r="AD228" s="30">
        <f t="shared" si="44"/>
        <v>0.77081673888843583</v>
      </c>
      <c r="AE228" s="30">
        <f t="shared" si="45"/>
        <v>0.65671763575591768</v>
      </c>
      <c r="AF228" s="32" t="str">
        <f t="shared" si="39"/>
        <v>1D6+1</v>
      </c>
      <c r="AG228" s="33" t="str">
        <f t="shared" si="46"/>
        <v>-</v>
      </c>
      <c r="AH228" s="33" t="str">
        <f t="shared" si="47"/>
        <v>-</v>
      </c>
      <c r="AI228" s="33" t="str">
        <f t="shared" si="48"/>
        <v>-</v>
      </c>
      <c r="AJ228" s="33" t="str">
        <f t="shared" si="49"/>
        <v>-</v>
      </c>
      <c r="AK228">
        <v>1951</v>
      </c>
    </row>
    <row r="229" spans="1:37">
      <c r="A229" t="s">
        <v>571</v>
      </c>
      <c r="B229" t="s">
        <v>421</v>
      </c>
      <c r="C229" t="s">
        <v>681</v>
      </c>
      <c r="D229" t="s">
        <v>681</v>
      </c>
      <c r="F229" t="s">
        <v>182</v>
      </c>
      <c r="G229" t="s">
        <v>79</v>
      </c>
      <c r="H229">
        <v>0</v>
      </c>
      <c r="J229" s="9">
        <v>5</v>
      </c>
      <c r="K229" s="9">
        <v>10</v>
      </c>
      <c r="L229" s="9">
        <v>30</v>
      </c>
      <c r="M229" s="10">
        <v>60</v>
      </c>
      <c r="N229" s="10">
        <v>17</v>
      </c>
      <c r="O229" s="10"/>
      <c r="P229" s="18">
        <v>15</v>
      </c>
      <c r="Q229" s="22" t="s">
        <v>701</v>
      </c>
      <c r="R229">
        <v>1</v>
      </c>
      <c r="S229" s="26">
        <f>VLOOKUP($F229,Munition!$B:$P,10,FALSE)</f>
        <v>4.5</v>
      </c>
      <c r="T229" s="26">
        <f>VLOOKUP($F229,Munition!$B:$P,11,FALSE)</f>
        <v>450</v>
      </c>
      <c r="U229" s="28">
        <f t="shared" si="38"/>
        <v>0</v>
      </c>
      <c r="V229" s="26">
        <f>VLOOKUP($F229,Munition!$B:$P,5,FALSE)</f>
        <v>6.75</v>
      </c>
      <c r="W229" s="30">
        <f t="shared" si="40"/>
        <v>0</v>
      </c>
      <c r="X229" s="26">
        <f>VLOOKUP($F229,Munition!$B:$P,15,FALSE)</f>
        <v>106.1032953945969</v>
      </c>
      <c r="Y229" s="26">
        <f>VLOOKUP($F229,Munition!$B:$P,9,FALSE)</f>
        <v>1</v>
      </c>
      <c r="Z229" s="26">
        <f>VLOOKUP($F229,Munition!$B:$P,14,FALSE)</f>
        <v>1.5586226552622361E-5</v>
      </c>
      <c r="AA229" s="30">
        <f t="shared" si="41"/>
        <v>0</v>
      </c>
      <c r="AB229" s="30">
        <f t="shared" si="42"/>
        <v>0</v>
      </c>
      <c r="AC229" s="30">
        <f t="shared" si="43"/>
        <v>0</v>
      </c>
      <c r="AD229" s="30">
        <f t="shared" si="44"/>
        <v>0</v>
      </c>
      <c r="AE229" s="30">
        <f t="shared" si="45"/>
        <v>0</v>
      </c>
      <c r="AF229" s="32">
        <f t="shared" si="39"/>
        <v>0</v>
      </c>
      <c r="AG229" s="33" t="e">
        <f t="shared" si="46"/>
        <v>#DIV/0!</v>
      </c>
      <c r="AH229" s="33" t="e">
        <f t="shared" si="47"/>
        <v>#DIV/0!</v>
      </c>
      <c r="AI229" s="33" t="e">
        <f t="shared" si="48"/>
        <v>#DIV/0!</v>
      </c>
      <c r="AJ229" s="33" t="e">
        <f t="shared" si="49"/>
        <v>#DIV/0!</v>
      </c>
      <c r="AK229">
        <v>1980</v>
      </c>
    </row>
    <row r="230" spans="1:37">
      <c r="A230" t="s">
        <v>571</v>
      </c>
      <c r="B230" t="s">
        <v>422</v>
      </c>
      <c r="C230" t="s">
        <v>681</v>
      </c>
      <c r="D230" t="s">
        <v>681</v>
      </c>
      <c r="F230" t="s">
        <v>182</v>
      </c>
      <c r="G230" t="s">
        <v>79</v>
      </c>
      <c r="H230">
        <v>1.07</v>
      </c>
      <c r="I230">
        <v>4.5</v>
      </c>
      <c r="J230" s="9">
        <v>5</v>
      </c>
      <c r="K230" s="9">
        <v>10</v>
      </c>
      <c r="L230" s="9">
        <v>30</v>
      </c>
      <c r="M230" s="10">
        <v>60</v>
      </c>
      <c r="N230" s="10">
        <v>3</v>
      </c>
      <c r="O230" s="10"/>
      <c r="P230" s="18">
        <v>15</v>
      </c>
      <c r="Q230" s="22" t="s">
        <v>701</v>
      </c>
      <c r="R230">
        <v>1</v>
      </c>
      <c r="S230" s="26">
        <f>VLOOKUP($F230,Munition!$B:$P,10,FALSE)</f>
        <v>4.5</v>
      </c>
      <c r="T230" s="26">
        <f>VLOOKUP($F230,Munition!$B:$P,11,FALSE)</f>
        <v>450</v>
      </c>
      <c r="U230" s="28">
        <f t="shared" si="38"/>
        <v>450</v>
      </c>
      <c r="V230" s="26">
        <f>VLOOKUP($F230,Munition!$B:$P,5,FALSE)</f>
        <v>6.75</v>
      </c>
      <c r="W230" s="30">
        <f t="shared" si="40"/>
        <v>683.4375</v>
      </c>
      <c r="X230" s="26">
        <f>VLOOKUP($F230,Munition!$B:$P,15,FALSE)</f>
        <v>106.1032953945969</v>
      </c>
      <c r="Y230" s="26">
        <f>VLOOKUP($F230,Munition!$B:$P,9,FALSE)</f>
        <v>1</v>
      </c>
      <c r="Z230" s="26">
        <f>VLOOKUP($F230,Munition!$B:$P,14,FALSE)</f>
        <v>1.5586226552622361E-5</v>
      </c>
      <c r="AA230" s="30">
        <f t="shared" si="41"/>
        <v>2.1485917317405869</v>
      </c>
      <c r="AB230" s="30">
        <f t="shared" si="42"/>
        <v>2.0995476421615873</v>
      </c>
      <c r="AC230" s="30">
        <f t="shared" si="43"/>
        <v>2.0516230406114677</v>
      </c>
      <c r="AD230" s="30">
        <f t="shared" si="44"/>
        <v>1.8706171123147532</v>
      </c>
      <c r="AE230" s="30">
        <f t="shared" si="45"/>
        <v>1.6286055322618491</v>
      </c>
      <c r="AF230" s="32" t="str">
        <f t="shared" si="39"/>
        <v>2D6</v>
      </c>
      <c r="AG230" s="33" t="str">
        <f t="shared" si="46"/>
        <v>-</v>
      </c>
      <c r="AH230" s="33" t="str">
        <f t="shared" si="47"/>
        <v>-</v>
      </c>
      <c r="AI230" s="33" t="str">
        <f t="shared" si="48"/>
        <v>-</v>
      </c>
      <c r="AJ230" s="33" t="str">
        <f t="shared" si="49"/>
        <v>-</v>
      </c>
      <c r="AK230">
        <v>1966</v>
      </c>
    </row>
    <row r="231" spans="1:37">
      <c r="A231" t="s">
        <v>580</v>
      </c>
      <c r="B231" t="s">
        <v>423</v>
      </c>
      <c r="C231" t="s">
        <v>681</v>
      </c>
      <c r="D231" t="s">
        <v>681</v>
      </c>
      <c r="F231" t="s">
        <v>94</v>
      </c>
      <c r="G231" t="s">
        <v>95</v>
      </c>
      <c r="H231">
        <v>0.94</v>
      </c>
      <c r="I231">
        <v>4</v>
      </c>
      <c r="J231" s="9">
        <v>8</v>
      </c>
      <c r="K231" s="9">
        <v>16</v>
      </c>
      <c r="L231" s="9">
        <v>48</v>
      </c>
      <c r="M231" s="10">
        <v>96</v>
      </c>
      <c r="N231" s="10">
        <v>3</v>
      </c>
      <c r="O231" s="10"/>
      <c r="P231" s="18">
        <v>6</v>
      </c>
      <c r="Q231" s="22" t="s">
        <v>705</v>
      </c>
      <c r="R231">
        <v>1</v>
      </c>
      <c r="S231" s="26">
        <f>VLOOKUP($F231,Munition!$B:$P,10,FALSE)</f>
        <v>6</v>
      </c>
      <c r="T231" s="26">
        <f>VLOOKUP($F231,Munition!$B:$P,11,FALSE)</f>
        <v>395</v>
      </c>
      <c r="U231" s="28">
        <f t="shared" si="38"/>
        <v>356.9227914258887</v>
      </c>
      <c r="V231" s="26">
        <f>VLOOKUP($F231,Munition!$B:$P,5,FALSE)</f>
        <v>10.199999999999999</v>
      </c>
      <c r="W231" s="30">
        <f t="shared" si="40"/>
        <v>649.70878310016701</v>
      </c>
      <c r="X231" s="26">
        <f>VLOOKUP($F231,Munition!$B:$P,15,FALSE)</f>
        <v>160.33386859627976</v>
      </c>
      <c r="Y231" s="26">
        <f>VLOOKUP($F231,Munition!$B:$P,9,FALSE)</f>
        <v>1</v>
      </c>
      <c r="Z231" s="26">
        <f>VLOOKUP($F231,Munition!$B:$P,14,FALSE)</f>
        <v>1.7534504871700157E-5</v>
      </c>
      <c r="AA231" s="30">
        <f t="shared" si="41"/>
        <v>2.0425553461849217</v>
      </c>
      <c r="AB231" s="30">
        <f t="shared" si="42"/>
        <v>1.9871402382872616</v>
      </c>
      <c r="AC231" s="30">
        <f t="shared" si="43"/>
        <v>1.933228558039209</v>
      </c>
      <c r="AD231" s="30">
        <f t="shared" si="44"/>
        <v>1.7318167648439591</v>
      </c>
      <c r="AE231" s="30">
        <f t="shared" si="45"/>
        <v>1.4683515492475994</v>
      </c>
      <c r="AF231" s="32" t="str">
        <f t="shared" si="39"/>
        <v>2D6</v>
      </c>
      <c r="AG231" s="33" t="str">
        <f t="shared" si="46"/>
        <v>-</v>
      </c>
      <c r="AH231" s="33" t="str">
        <f t="shared" si="47"/>
        <v>-</v>
      </c>
      <c r="AI231" s="33" t="str">
        <f t="shared" si="48"/>
        <v>-</v>
      </c>
      <c r="AJ231" s="33" t="str">
        <f t="shared" si="49"/>
        <v>-</v>
      </c>
      <c r="AK231">
        <v>1988</v>
      </c>
    </row>
    <row r="232" spans="1:37">
      <c r="A232" t="s">
        <v>580</v>
      </c>
      <c r="B232" t="s">
        <v>424</v>
      </c>
      <c r="C232" t="s">
        <v>681</v>
      </c>
      <c r="D232" t="s">
        <v>681</v>
      </c>
      <c r="F232" t="s">
        <v>94</v>
      </c>
      <c r="G232" t="s">
        <v>95</v>
      </c>
      <c r="H232">
        <v>0.91</v>
      </c>
      <c r="I232">
        <v>4</v>
      </c>
      <c r="J232" s="9">
        <v>8</v>
      </c>
      <c r="K232" s="9">
        <v>16</v>
      </c>
      <c r="L232" s="9">
        <v>48</v>
      </c>
      <c r="M232" s="10">
        <v>96</v>
      </c>
      <c r="N232" s="10">
        <v>3</v>
      </c>
      <c r="O232" s="10"/>
      <c r="P232" s="18">
        <v>6</v>
      </c>
      <c r="Q232" s="22" t="s">
        <v>705</v>
      </c>
      <c r="R232">
        <v>1</v>
      </c>
      <c r="S232" s="26">
        <f>VLOOKUP($F232,Munition!$B:$P,10,FALSE)</f>
        <v>6</v>
      </c>
      <c r="T232" s="26">
        <f>VLOOKUP($F232,Munition!$B:$P,11,FALSE)</f>
        <v>395</v>
      </c>
      <c r="U232" s="28">
        <f t="shared" si="38"/>
        <v>356.9227914258887</v>
      </c>
      <c r="V232" s="26">
        <f>VLOOKUP($F232,Munition!$B:$P,5,FALSE)</f>
        <v>10.199999999999999</v>
      </c>
      <c r="W232" s="30">
        <f t="shared" si="40"/>
        <v>649.70878310016701</v>
      </c>
      <c r="X232" s="26">
        <f>VLOOKUP($F232,Munition!$B:$P,15,FALSE)</f>
        <v>160.33386859627976</v>
      </c>
      <c r="Y232" s="26">
        <f>VLOOKUP($F232,Munition!$B:$P,9,FALSE)</f>
        <v>1</v>
      </c>
      <c r="Z232" s="26">
        <f>VLOOKUP($F232,Munition!$B:$P,14,FALSE)</f>
        <v>1.7534504871700157E-5</v>
      </c>
      <c r="AA232" s="30">
        <f t="shared" si="41"/>
        <v>2.0425553461849217</v>
      </c>
      <c r="AB232" s="30">
        <f t="shared" si="42"/>
        <v>1.9871402382872616</v>
      </c>
      <c r="AC232" s="30">
        <f t="shared" si="43"/>
        <v>1.933228558039209</v>
      </c>
      <c r="AD232" s="30">
        <f t="shared" si="44"/>
        <v>1.7318167648439591</v>
      </c>
      <c r="AE232" s="30">
        <f t="shared" si="45"/>
        <v>1.4683515492475994</v>
      </c>
      <c r="AF232" s="32" t="str">
        <f t="shared" si="39"/>
        <v>2D6</v>
      </c>
      <c r="AG232" s="33" t="str">
        <f t="shared" si="46"/>
        <v>-</v>
      </c>
      <c r="AH232" s="33" t="str">
        <f t="shared" si="47"/>
        <v>-</v>
      </c>
      <c r="AI232" s="33" t="str">
        <f t="shared" si="48"/>
        <v>-</v>
      </c>
      <c r="AJ232" s="33" t="str">
        <f t="shared" si="49"/>
        <v>-</v>
      </c>
      <c r="AK232">
        <v>1973</v>
      </c>
    </row>
    <row r="233" spans="1:37">
      <c r="A233" t="s">
        <v>571</v>
      </c>
      <c r="B233" t="s">
        <v>425</v>
      </c>
      <c r="C233" t="s">
        <v>681</v>
      </c>
      <c r="D233" t="s">
        <v>681</v>
      </c>
      <c r="F233" t="s">
        <v>64</v>
      </c>
      <c r="G233" t="s">
        <v>65</v>
      </c>
      <c r="H233">
        <v>0.68</v>
      </c>
      <c r="I233">
        <v>3.3</v>
      </c>
      <c r="J233" s="9">
        <v>5</v>
      </c>
      <c r="K233" s="9">
        <v>10</v>
      </c>
      <c r="L233" s="9">
        <v>30</v>
      </c>
      <c r="M233" s="10">
        <v>60</v>
      </c>
      <c r="N233" s="10">
        <v>3</v>
      </c>
      <c r="O233" s="10"/>
      <c r="P233" s="18">
        <v>8</v>
      </c>
      <c r="Q233" s="22" t="s">
        <v>701</v>
      </c>
      <c r="R233">
        <v>1</v>
      </c>
      <c r="S233" s="26">
        <f>VLOOKUP($F233,Munition!$B:$P,10,FALSE)</f>
        <v>4</v>
      </c>
      <c r="T233" s="26">
        <f>VLOOKUP($F233,Munition!$B:$P,11,FALSE)</f>
        <v>318</v>
      </c>
      <c r="U233" s="28">
        <f t="shared" si="38"/>
        <v>303.06836575651772</v>
      </c>
      <c r="V233" s="26">
        <f>VLOOKUP($F233,Munition!$B:$P,5,FALSE)</f>
        <v>4.7</v>
      </c>
      <c r="W233" s="30">
        <f t="shared" si="40"/>
        <v>215.84852065746705</v>
      </c>
      <c r="X233" s="26">
        <f>VLOOKUP($F233,Munition!$B:$P,15,FALSE)</f>
        <v>102.25513025341134</v>
      </c>
      <c r="Y233" s="26">
        <f>VLOOKUP($F233,Munition!$B:$P,9,FALSE)</f>
        <v>1</v>
      </c>
      <c r="Z233" s="26">
        <f>VLOOKUP($F233,Munition!$B:$P,14,FALSE)</f>
        <v>1.1261048684269658E-5</v>
      </c>
      <c r="AA233" s="30">
        <f t="shared" si="41"/>
        <v>0.93921781254618886</v>
      </c>
      <c r="AB233" s="30">
        <f t="shared" si="42"/>
        <v>0.91698190249041667</v>
      </c>
      <c r="AC233" s="30">
        <f t="shared" si="43"/>
        <v>0.89527242590875844</v>
      </c>
      <c r="AD233" s="30">
        <f t="shared" si="44"/>
        <v>0.81345397313311696</v>
      </c>
      <c r="AE233" s="30">
        <f t="shared" si="45"/>
        <v>0.70453025652504053</v>
      </c>
      <c r="AF233" s="32" t="str">
        <f t="shared" si="39"/>
        <v>1D6</v>
      </c>
      <c r="AG233" s="33" t="str">
        <f t="shared" si="46"/>
        <v>-</v>
      </c>
      <c r="AH233" s="33" t="str">
        <f t="shared" si="47"/>
        <v>-</v>
      </c>
      <c r="AI233" s="33" t="str">
        <f t="shared" si="48"/>
        <v>-</v>
      </c>
      <c r="AJ233" s="33" t="str">
        <f t="shared" si="49"/>
        <v>-</v>
      </c>
      <c r="AK233">
        <v>1931</v>
      </c>
    </row>
    <row r="234" spans="1:37">
      <c r="A234" t="s">
        <v>571</v>
      </c>
      <c r="B234" t="s">
        <v>426</v>
      </c>
      <c r="C234" t="s">
        <v>681</v>
      </c>
      <c r="D234" t="s">
        <v>681</v>
      </c>
      <c r="F234" t="s">
        <v>64</v>
      </c>
      <c r="G234" t="s">
        <v>65</v>
      </c>
      <c r="H234">
        <v>0.56000000000000005</v>
      </c>
      <c r="I234">
        <v>3.3</v>
      </c>
      <c r="J234" s="9">
        <v>4</v>
      </c>
      <c r="K234" s="9">
        <v>8</v>
      </c>
      <c r="L234" s="9">
        <v>24</v>
      </c>
      <c r="M234" s="10">
        <v>48</v>
      </c>
      <c r="N234" s="10">
        <v>3</v>
      </c>
      <c r="O234" s="10"/>
      <c r="P234" s="18">
        <v>7</v>
      </c>
      <c r="Q234" s="22" t="s">
        <v>701</v>
      </c>
      <c r="R234">
        <v>1</v>
      </c>
      <c r="S234" s="26">
        <f>VLOOKUP($F234,Munition!$B:$P,10,FALSE)</f>
        <v>4</v>
      </c>
      <c r="T234" s="26">
        <f>VLOOKUP($F234,Munition!$B:$P,11,FALSE)</f>
        <v>318</v>
      </c>
      <c r="U234" s="28">
        <f t="shared" si="38"/>
        <v>303.06836575651772</v>
      </c>
      <c r="V234" s="26">
        <f>VLOOKUP($F234,Munition!$B:$P,5,FALSE)</f>
        <v>4.7</v>
      </c>
      <c r="W234" s="30">
        <f t="shared" si="40"/>
        <v>215.84852065746705</v>
      </c>
      <c r="X234" s="26">
        <f>VLOOKUP($F234,Munition!$B:$P,15,FALSE)</f>
        <v>102.25513025341134</v>
      </c>
      <c r="Y234" s="26">
        <f>VLOOKUP($F234,Munition!$B:$P,9,FALSE)</f>
        <v>1</v>
      </c>
      <c r="Z234" s="26">
        <f>VLOOKUP($F234,Munition!$B:$P,14,FALSE)</f>
        <v>1.1261048684269658E-5</v>
      </c>
      <c r="AA234" s="30">
        <f t="shared" si="41"/>
        <v>0.93921781254618886</v>
      </c>
      <c r="AB234" s="30">
        <f t="shared" si="42"/>
        <v>0.92138656572573352</v>
      </c>
      <c r="AC234" s="30">
        <f t="shared" si="43"/>
        <v>0.9038938488595919</v>
      </c>
      <c r="AD234" s="30">
        <f t="shared" si="44"/>
        <v>0.83718155612832601</v>
      </c>
      <c r="AE234" s="30">
        <f t="shared" si="45"/>
        <v>0.74623047876551851</v>
      </c>
      <c r="AF234" s="32" t="str">
        <f t="shared" si="39"/>
        <v>1D6</v>
      </c>
      <c r="AG234" s="33" t="str">
        <f t="shared" si="46"/>
        <v>-</v>
      </c>
      <c r="AH234" s="33" t="str">
        <f t="shared" si="47"/>
        <v>-</v>
      </c>
      <c r="AI234" s="33" t="str">
        <f t="shared" si="48"/>
        <v>-</v>
      </c>
      <c r="AJ234" s="33" t="str">
        <f t="shared" si="49"/>
        <v>-</v>
      </c>
      <c r="AK234">
        <v>1931</v>
      </c>
    </row>
    <row r="235" spans="1:37">
      <c r="A235" t="s">
        <v>574</v>
      </c>
      <c r="B235" t="s">
        <v>427</v>
      </c>
      <c r="C235" t="s">
        <v>681</v>
      </c>
      <c r="D235" t="s">
        <v>681</v>
      </c>
      <c r="E235" t="s">
        <v>792</v>
      </c>
      <c r="F235" t="s">
        <v>353</v>
      </c>
      <c r="G235" t="s">
        <v>70</v>
      </c>
      <c r="H235">
        <v>12.3</v>
      </c>
      <c r="I235">
        <v>24</v>
      </c>
      <c r="J235" s="9">
        <v>83</v>
      </c>
      <c r="K235" s="9">
        <v>166</v>
      </c>
      <c r="L235" s="9">
        <v>498</v>
      </c>
      <c r="M235" s="10">
        <v>996</v>
      </c>
      <c r="N235" s="10"/>
      <c r="O235" s="10">
        <v>10</v>
      </c>
      <c r="P235" s="18">
        <v>200</v>
      </c>
      <c r="Q235" s="22">
        <v>60</v>
      </c>
      <c r="R235">
        <v>10</v>
      </c>
      <c r="S235" s="26">
        <f>VLOOKUP($F235,Munition!$B:$P,10,FALSE)</f>
        <v>24</v>
      </c>
      <c r="T235" s="26">
        <f>VLOOKUP($F235,Munition!$B:$P,11,FALSE)</f>
        <v>735</v>
      </c>
      <c r="U235" s="28">
        <f t="shared" si="38"/>
        <v>735</v>
      </c>
      <c r="V235" s="26">
        <f>VLOOKUP($F235,Munition!$B:$P,5,FALSE)</f>
        <v>12.5</v>
      </c>
      <c r="W235" s="30">
        <f t="shared" si="40"/>
        <v>3376.40625</v>
      </c>
      <c r="X235" s="26">
        <f>VLOOKUP($F235,Munition!$B:$P,15,FALSE)</f>
        <v>248.67959858108651</v>
      </c>
      <c r="Y235" s="26">
        <f>VLOOKUP($F235,Munition!$B:$P,9,FALSE)</f>
        <v>1</v>
      </c>
      <c r="Z235" s="26">
        <f>VLOOKUP($F235,Munition!$B:$P,14,FALSE)</f>
        <v>9.2362824015539926E-6</v>
      </c>
      <c r="AA235" s="30">
        <f t="shared" si="41"/>
        <v>13.434293614346744</v>
      </c>
      <c r="AB235" s="30">
        <f t="shared" si="42"/>
        <v>11.883523161399523</v>
      </c>
      <c r="AC235" s="30">
        <f t="shared" si="43"/>
        <v>10.511763906716268</v>
      </c>
      <c r="AD235" s="30">
        <f t="shared" si="44"/>
        <v>6.4357197297755295</v>
      </c>
      <c r="AE235" s="30">
        <f t="shared" si="45"/>
        <v>3.083041775712748</v>
      </c>
      <c r="AF235" s="32" t="str">
        <f t="shared" si="39"/>
        <v>4D6+2</v>
      </c>
      <c r="AG235" s="33" t="str">
        <f t="shared" si="46"/>
        <v>2+1</v>
      </c>
      <c r="AH235" s="33" t="str">
        <f t="shared" si="47"/>
        <v>2+2</v>
      </c>
      <c r="AI235" s="33" t="str">
        <f t="shared" si="48"/>
        <v>3</v>
      </c>
      <c r="AJ235" s="33" t="str">
        <f t="shared" si="49"/>
        <v>-</v>
      </c>
      <c r="AK235">
        <v>1927</v>
      </c>
    </row>
    <row r="236" spans="1:37">
      <c r="A236" t="s">
        <v>575</v>
      </c>
      <c r="B236" t="s">
        <v>428</v>
      </c>
      <c r="C236" t="s">
        <v>681</v>
      </c>
      <c r="D236" t="s">
        <v>681</v>
      </c>
      <c r="F236" t="s">
        <v>12</v>
      </c>
      <c r="G236" t="s">
        <v>11</v>
      </c>
      <c r="H236">
        <v>3.78</v>
      </c>
      <c r="I236">
        <v>19.2</v>
      </c>
      <c r="J236" s="9">
        <v>50</v>
      </c>
      <c r="K236" s="9">
        <v>100</v>
      </c>
      <c r="L236" s="9">
        <v>300</v>
      </c>
      <c r="M236" s="10">
        <v>600</v>
      </c>
      <c r="N236" s="10">
        <v>2</v>
      </c>
      <c r="O236" s="10">
        <v>3</v>
      </c>
      <c r="P236" s="19">
        <v>25</v>
      </c>
      <c r="Q236" s="22" t="s">
        <v>742</v>
      </c>
      <c r="R236">
        <v>3</v>
      </c>
      <c r="S236" s="26">
        <f>VLOOKUP($F236,Munition!$B:$P,10,FALSE)</f>
        <v>20</v>
      </c>
      <c r="T236" s="26">
        <f>VLOOKUP($F236,Munition!$B:$P,11,FALSE)</f>
        <v>922</v>
      </c>
      <c r="U236" s="28">
        <f t="shared" si="38"/>
        <v>912.6383815080527</v>
      </c>
      <c r="V236" s="26">
        <f>VLOOKUP($F236,Munition!$B:$P,5,FALSE)</f>
        <v>4</v>
      </c>
      <c r="W236" s="30">
        <f t="shared" si="40"/>
        <v>1665.817630803276</v>
      </c>
      <c r="X236" s="26">
        <f>VLOOKUP($F236,Munition!$B:$P,15,FALSE)</f>
        <v>164.74814253081658</v>
      </c>
      <c r="Y236" s="26">
        <f>VLOOKUP($F236,Munition!$B:$P,9,FALSE)</f>
        <v>1</v>
      </c>
      <c r="Z236" s="26">
        <f>VLOOKUP($F236,Munition!$B:$P,14,FALSE)</f>
        <v>3.7177960891755132E-6</v>
      </c>
      <c r="AA236" s="30">
        <f t="shared" si="41"/>
        <v>13.722018023496263</v>
      </c>
      <c r="AB236" s="30">
        <f t="shared" si="42"/>
        <v>12.504102563151617</v>
      </c>
      <c r="AC236" s="30">
        <f t="shared" si="43"/>
        <v>11.394284764973472</v>
      </c>
      <c r="AD236" s="30">
        <f t="shared" si="44"/>
        <v>7.8564298395519589</v>
      </c>
      <c r="AE236" s="30">
        <f t="shared" si="45"/>
        <v>4.4981350205278146</v>
      </c>
      <c r="AF236" s="32" t="str">
        <f t="shared" si="39"/>
        <v>3D6+1</v>
      </c>
      <c r="AG236" s="33" t="str">
        <f t="shared" si="46"/>
        <v>1+2</v>
      </c>
      <c r="AH236" s="33" t="str">
        <f t="shared" si="47"/>
        <v>1+2</v>
      </c>
      <c r="AI236" s="33" t="str">
        <f t="shared" si="48"/>
        <v>2</v>
      </c>
      <c r="AJ236" s="33" t="str">
        <f t="shared" si="49"/>
        <v>3</v>
      </c>
      <c r="AK236">
        <v>1980</v>
      </c>
    </row>
    <row r="237" spans="1:37">
      <c r="A237" t="s">
        <v>575</v>
      </c>
      <c r="B237" t="s">
        <v>429</v>
      </c>
      <c r="C237" t="s">
        <v>681</v>
      </c>
      <c r="D237" t="s">
        <v>681</v>
      </c>
      <c r="F237" t="s">
        <v>12</v>
      </c>
      <c r="G237" t="s">
        <v>11</v>
      </c>
      <c r="H237">
        <v>3.12</v>
      </c>
      <c r="I237">
        <v>15.3</v>
      </c>
      <c r="J237" s="9">
        <v>25</v>
      </c>
      <c r="K237" s="9">
        <v>50</v>
      </c>
      <c r="L237" s="9">
        <v>150</v>
      </c>
      <c r="M237" s="10">
        <v>300</v>
      </c>
      <c r="N237" s="10">
        <v>2</v>
      </c>
      <c r="O237" s="10">
        <v>3</v>
      </c>
      <c r="P237" s="19">
        <v>30</v>
      </c>
      <c r="Q237" s="22" t="s">
        <v>741</v>
      </c>
      <c r="R237">
        <v>3</v>
      </c>
      <c r="S237" s="26">
        <f>VLOOKUP($F237,Munition!$B:$P,10,FALSE)</f>
        <v>20</v>
      </c>
      <c r="T237" s="26">
        <f>VLOOKUP($F237,Munition!$B:$P,11,FALSE)</f>
        <v>922</v>
      </c>
      <c r="U237" s="28">
        <f t="shared" si="38"/>
        <v>862.27596312703213</v>
      </c>
      <c r="V237" s="26">
        <f>VLOOKUP($F237,Munition!$B:$P,5,FALSE)</f>
        <v>4</v>
      </c>
      <c r="W237" s="30">
        <f t="shared" si="40"/>
        <v>1487.0396731733019</v>
      </c>
      <c r="X237" s="26">
        <f>VLOOKUP($F237,Munition!$B:$P,15,FALSE)</f>
        <v>164.74814253081658</v>
      </c>
      <c r="Y237" s="26">
        <f>VLOOKUP($F237,Munition!$B:$P,9,FALSE)</f>
        <v>1</v>
      </c>
      <c r="Z237" s="26">
        <f>VLOOKUP($F237,Munition!$B:$P,14,FALSE)</f>
        <v>3.7177960891755132E-6</v>
      </c>
      <c r="AA237" s="30">
        <f t="shared" si="41"/>
        <v>12.2493512012467</v>
      </c>
      <c r="AB237" s="30">
        <f t="shared" si="42"/>
        <v>11.69311867463338</v>
      </c>
      <c r="AC237" s="30">
        <f t="shared" si="43"/>
        <v>11.162144189738314</v>
      </c>
      <c r="AD237" s="30">
        <f t="shared" si="44"/>
        <v>9.2686548922901633</v>
      </c>
      <c r="AE237" s="30">
        <f t="shared" si="45"/>
        <v>7.013266425378589</v>
      </c>
      <c r="AF237" s="32" t="str">
        <f t="shared" si="39"/>
        <v>3D6</v>
      </c>
      <c r="AG237" s="33" t="str">
        <f t="shared" si="46"/>
        <v>1+2</v>
      </c>
      <c r="AH237" s="33" t="str">
        <f t="shared" si="47"/>
        <v>1+2</v>
      </c>
      <c r="AI237" s="33" t="str">
        <f t="shared" si="48"/>
        <v>2</v>
      </c>
      <c r="AJ237" s="33" t="str">
        <f t="shared" si="49"/>
        <v>2+1</v>
      </c>
      <c r="AK237">
        <v>1980</v>
      </c>
    </row>
    <row r="238" spans="1:37">
      <c r="A238" t="s">
        <v>575</v>
      </c>
      <c r="B238" t="s">
        <v>430</v>
      </c>
      <c r="C238" t="s">
        <v>681</v>
      </c>
      <c r="D238" t="s">
        <v>681</v>
      </c>
      <c r="F238" t="s">
        <v>12</v>
      </c>
      <c r="G238" t="s">
        <v>11</v>
      </c>
      <c r="H238">
        <v>3.5</v>
      </c>
      <c r="I238">
        <v>18.899999999999999</v>
      </c>
      <c r="J238" s="9">
        <v>50</v>
      </c>
      <c r="K238" s="9">
        <v>100</v>
      </c>
      <c r="L238" s="9">
        <v>300</v>
      </c>
      <c r="M238" s="10">
        <v>600</v>
      </c>
      <c r="N238" s="10">
        <v>2</v>
      </c>
      <c r="O238" s="10">
        <v>3</v>
      </c>
      <c r="P238" s="19">
        <v>30</v>
      </c>
      <c r="Q238" s="22" t="s">
        <v>741</v>
      </c>
      <c r="R238">
        <v>3</v>
      </c>
      <c r="S238" s="26">
        <f>VLOOKUP($F238,Munition!$B:$P,10,FALSE)</f>
        <v>20</v>
      </c>
      <c r="T238" s="26">
        <f>VLOOKUP($F238,Munition!$B:$P,11,FALSE)</f>
        <v>922</v>
      </c>
      <c r="U238" s="28">
        <f t="shared" si="38"/>
        <v>909.05230673476774</v>
      </c>
      <c r="V238" s="26">
        <f>VLOOKUP($F238,Munition!$B:$P,5,FALSE)</f>
        <v>4</v>
      </c>
      <c r="W238" s="30">
        <f t="shared" si="40"/>
        <v>1652.7521927596044</v>
      </c>
      <c r="X238" s="26">
        <f>VLOOKUP($F238,Munition!$B:$P,15,FALSE)</f>
        <v>164.74814253081658</v>
      </c>
      <c r="Y238" s="26">
        <f>VLOOKUP($F238,Munition!$B:$P,9,FALSE)</f>
        <v>1</v>
      </c>
      <c r="Z238" s="26">
        <f>VLOOKUP($F238,Munition!$B:$P,14,FALSE)</f>
        <v>3.7177960891755132E-6</v>
      </c>
      <c r="AA238" s="30">
        <f t="shared" si="41"/>
        <v>13.614392691043946</v>
      </c>
      <c r="AB238" s="30">
        <f t="shared" si="42"/>
        <v>12.40602965630419</v>
      </c>
      <c r="AC238" s="30">
        <f t="shared" si="43"/>
        <v>11.304916445839448</v>
      </c>
      <c r="AD238" s="30">
        <f t="shared" si="44"/>
        <v>7.7948098306055886</v>
      </c>
      <c r="AE238" s="30">
        <f t="shared" si="45"/>
        <v>4.4628549854651318</v>
      </c>
      <c r="AF238" s="32" t="str">
        <f t="shared" si="39"/>
        <v>3D6+1</v>
      </c>
      <c r="AG238" s="33" t="str">
        <f t="shared" si="46"/>
        <v>1+2</v>
      </c>
      <c r="AH238" s="33" t="str">
        <f t="shared" si="47"/>
        <v>1+2</v>
      </c>
      <c r="AI238" s="33" t="str">
        <f t="shared" si="48"/>
        <v>2</v>
      </c>
      <c r="AJ238" s="33" t="str">
        <f t="shared" si="49"/>
        <v>3</v>
      </c>
      <c r="AK238">
        <v>2010</v>
      </c>
    </row>
    <row r="239" spans="1:37">
      <c r="A239" t="s">
        <v>575</v>
      </c>
      <c r="B239" t="s">
        <v>431</v>
      </c>
      <c r="C239" t="s">
        <v>681</v>
      </c>
      <c r="D239" t="s">
        <v>681</v>
      </c>
      <c r="F239" t="s">
        <v>12</v>
      </c>
      <c r="G239" t="s">
        <v>11</v>
      </c>
      <c r="H239">
        <v>3.8</v>
      </c>
      <c r="I239">
        <v>19.2</v>
      </c>
      <c r="J239" s="9">
        <v>50</v>
      </c>
      <c r="K239" s="9">
        <v>100</v>
      </c>
      <c r="L239" s="9">
        <v>300</v>
      </c>
      <c r="M239" s="10">
        <v>600</v>
      </c>
      <c r="N239" s="10">
        <v>2</v>
      </c>
      <c r="O239" s="10">
        <v>3</v>
      </c>
      <c r="P239" s="19">
        <v>30</v>
      </c>
      <c r="Q239" s="22" t="s">
        <v>741</v>
      </c>
      <c r="R239">
        <v>3</v>
      </c>
      <c r="S239" s="26">
        <f>VLOOKUP($F239,Munition!$B:$P,10,FALSE)</f>
        <v>20</v>
      </c>
      <c r="T239" s="26">
        <f>VLOOKUP($F239,Munition!$B:$P,11,FALSE)</f>
        <v>922</v>
      </c>
      <c r="U239" s="28">
        <f t="shared" si="38"/>
        <v>912.6383815080527</v>
      </c>
      <c r="V239" s="26">
        <f>VLOOKUP($F239,Munition!$B:$P,5,FALSE)</f>
        <v>4</v>
      </c>
      <c r="W239" s="30">
        <f t="shared" si="40"/>
        <v>1665.817630803276</v>
      </c>
      <c r="X239" s="26">
        <f>VLOOKUP($F239,Munition!$B:$P,15,FALSE)</f>
        <v>164.74814253081658</v>
      </c>
      <c r="Y239" s="26">
        <f>VLOOKUP($F239,Munition!$B:$P,9,FALSE)</f>
        <v>1</v>
      </c>
      <c r="Z239" s="26">
        <f>VLOOKUP($F239,Munition!$B:$P,14,FALSE)</f>
        <v>3.7177960891755132E-6</v>
      </c>
      <c r="AA239" s="30">
        <f t="shared" si="41"/>
        <v>13.722018023496263</v>
      </c>
      <c r="AB239" s="30">
        <f t="shared" si="42"/>
        <v>12.504102563151617</v>
      </c>
      <c r="AC239" s="30">
        <f t="shared" si="43"/>
        <v>11.394284764973472</v>
      </c>
      <c r="AD239" s="30">
        <f t="shared" si="44"/>
        <v>7.8564298395519589</v>
      </c>
      <c r="AE239" s="30">
        <f t="shared" si="45"/>
        <v>4.4981350205278146</v>
      </c>
      <c r="AF239" s="32" t="str">
        <f t="shared" si="39"/>
        <v>3D6+1</v>
      </c>
      <c r="AG239" s="33" t="str">
        <f t="shared" si="46"/>
        <v>1+2</v>
      </c>
      <c r="AH239" s="33" t="str">
        <f t="shared" si="47"/>
        <v>1+2</v>
      </c>
      <c r="AI239" s="33" t="str">
        <f t="shared" si="48"/>
        <v>2</v>
      </c>
      <c r="AJ239" s="33" t="str">
        <f t="shared" si="49"/>
        <v>3</v>
      </c>
      <c r="AK239">
        <v>1995</v>
      </c>
    </row>
    <row r="240" spans="1:37">
      <c r="A240" t="s">
        <v>574</v>
      </c>
      <c r="B240" t="s">
        <v>432</v>
      </c>
      <c r="C240" t="s">
        <v>681</v>
      </c>
      <c r="D240" t="s">
        <v>681</v>
      </c>
      <c r="E240" t="s">
        <v>793</v>
      </c>
      <c r="F240" t="s">
        <v>28</v>
      </c>
      <c r="G240" t="s">
        <v>29</v>
      </c>
      <c r="H240">
        <v>9.1</v>
      </c>
      <c r="I240">
        <v>19.7</v>
      </c>
      <c r="J240" s="9">
        <v>83</v>
      </c>
      <c r="K240" s="9">
        <v>166</v>
      </c>
      <c r="L240" s="9">
        <v>498</v>
      </c>
      <c r="M240" s="10">
        <v>996</v>
      </c>
      <c r="N240" s="10">
        <v>1</v>
      </c>
      <c r="O240" s="10">
        <v>5</v>
      </c>
      <c r="P240" s="19">
        <v>30</v>
      </c>
      <c r="Q240" s="22" t="s">
        <v>756</v>
      </c>
      <c r="R240">
        <v>15</v>
      </c>
      <c r="S240" s="26">
        <f>VLOOKUP($F240,Munition!$B:$P,10,FALSE)</f>
        <v>24</v>
      </c>
      <c r="T240" s="26">
        <f>VLOOKUP($F240,Munition!$B:$P,11,FALSE)</f>
        <v>850</v>
      </c>
      <c r="U240" s="28">
        <f t="shared" si="38"/>
        <v>809.06361722506813</v>
      </c>
      <c r="V240" s="26">
        <f>VLOOKUP($F240,Munition!$B:$P,5,FALSE)</f>
        <v>10</v>
      </c>
      <c r="W240" s="30">
        <f t="shared" si="40"/>
        <v>3272.9196835865578</v>
      </c>
      <c r="X240" s="26">
        <f>VLOOKUP($F240,Munition!$B:$P,15,FALSE)</f>
        <v>226.35369684180674</v>
      </c>
      <c r="Y240" s="26">
        <f>VLOOKUP($F240,Munition!$B:$P,9,FALSE)</f>
        <v>1</v>
      </c>
      <c r="Z240" s="26">
        <f>VLOOKUP($F240,Munition!$B:$P,14,FALSE)</f>
        <v>7.0354494855587057E-6</v>
      </c>
      <c r="AA240" s="30">
        <f t="shared" si="41"/>
        <v>14.816749396922674</v>
      </c>
      <c r="AB240" s="30">
        <f t="shared" si="42"/>
        <v>13.18354940815393</v>
      </c>
      <c r="AC240" s="30">
        <f t="shared" si="43"/>
        <v>11.73037151005159</v>
      </c>
      <c r="AD240" s="30">
        <f t="shared" si="44"/>
        <v>7.3524051288259544</v>
      </c>
      <c r="AE240" s="30">
        <f t="shared" si="45"/>
        <v>3.6484292019957896</v>
      </c>
      <c r="AF240" s="32" t="str">
        <f t="shared" si="39"/>
        <v>4D6+2</v>
      </c>
      <c r="AG240" s="33" t="str">
        <f t="shared" si="46"/>
        <v>2</v>
      </c>
      <c r="AH240" s="33" t="str">
        <f t="shared" si="47"/>
        <v>2+1</v>
      </c>
      <c r="AI240" s="33" t="str">
        <f t="shared" si="48"/>
        <v>2+2</v>
      </c>
      <c r="AJ240" s="33" t="str">
        <f t="shared" si="49"/>
        <v>4+1</v>
      </c>
      <c r="AK240">
        <v>1929</v>
      </c>
    </row>
    <row r="241" spans="1:37">
      <c r="A241" t="s">
        <v>572</v>
      </c>
      <c r="B241" t="s">
        <v>433</v>
      </c>
      <c r="C241" t="s">
        <v>681</v>
      </c>
      <c r="D241" t="s">
        <v>681</v>
      </c>
      <c r="F241" t="s">
        <v>28</v>
      </c>
      <c r="G241" t="s">
        <v>29</v>
      </c>
      <c r="H241">
        <v>5.2</v>
      </c>
      <c r="I241">
        <v>23</v>
      </c>
      <c r="J241" s="9">
        <v>116</v>
      </c>
      <c r="K241" s="9">
        <v>232</v>
      </c>
      <c r="L241" s="9">
        <v>696</v>
      </c>
      <c r="M241" s="10">
        <v>1392</v>
      </c>
      <c r="N241" s="10">
        <v>2</v>
      </c>
      <c r="O241" s="10"/>
      <c r="P241" s="18">
        <v>10</v>
      </c>
      <c r="Q241" s="22" t="s">
        <v>712</v>
      </c>
      <c r="R241">
        <v>1</v>
      </c>
      <c r="S241" s="26">
        <f>VLOOKUP($F241,Munition!$B:$P,10,FALSE)</f>
        <v>24</v>
      </c>
      <c r="T241" s="26">
        <f>VLOOKUP($F241,Munition!$B:$P,11,FALSE)</f>
        <v>850</v>
      </c>
      <c r="U241" s="28">
        <f t="shared" si="38"/>
        <v>841.00402495717901</v>
      </c>
      <c r="V241" s="26">
        <f>VLOOKUP($F241,Munition!$B:$P,5,FALSE)</f>
        <v>10</v>
      </c>
      <c r="W241" s="30">
        <f t="shared" si="40"/>
        <v>3536.4388499708771</v>
      </c>
      <c r="X241" s="26">
        <f>VLOOKUP($F241,Munition!$B:$P,15,FALSE)</f>
        <v>226.35369684180674</v>
      </c>
      <c r="Y241" s="26">
        <f>VLOOKUP($F241,Munition!$B:$P,9,FALSE)</f>
        <v>1</v>
      </c>
      <c r="Z241" s="26">
        <f>VLOOKUP($F241,Munition!$B:$P,14,FALSE)</f>
        <v>7.0354494855587057E-6</v>
      </c>
      <c r="AA241" s="30">
        <f t="shared" si="41"/>
        <v>16.00972014691791</v>
      </c>
      <c r="AB241" s="30">
        <f t="shared" si="42"/>
        <v>13.598692098618038</v>
      </c>
      <c r="AC241" s="30">
        <f t="shared" si="43"/>
        <v>11.550759482114819</v>
      </c>
      <c r="AD241" s="30">
        <f t="shared" si="44"/>
        <v>6.0126253206942994</v>
      </c>
      <c r="AE241" s="30">
        <f t="shared" si="45"/>
        <v>2.2581071321233495</v>
      </c>
      <c r="AF241" s="32" t="str">
        <f t="shared" si="39"/>
        <v>4D6+2</v>
      </c>
      <c r="AG241" s="33" t="str">
        <f t="shared" si="46"/>
        <v>2</v>
      </c>
      <c r="AH241" s="33" t="str">
        <f t="shared" si="47"/>
        <v>2+1</v>
      </c>
      <c r="AI241" s="33" t="str">
        <f t="shared" si="48"/>
        <v>3</v>
      </c>
      <c r="AJ241" s="33" t="str">
        <f t="shared" si="49"/>
        <v>-</v>
      </c>
      <c r="AK241">
        <v>1966</v>
      </c>
    </row>
    <row r="242" spans="1:37">
      <c r="A242" t="s">
        <v>572</v>
      </c>
      <c r="B242" t="s">
        <v>434</v>
      </c>
      <c r="C242" t="s">
        <v>681</v>
      </c>
      <c r="D242" t="s">
        <v>681</v>
      </c>
      <c r="F242" t="s">
        <v>51</v>
      </c>
      <c r="G242" t="s">
        <v>52</v>
      </c>
      <c r="H242">
        <v>5.34</v>
      </c>
      <c r="I242">
        <v>25</v>
      </c>
      <c r="J242" s="9">
        <v>100</v>
      </c>
      <c r="K242" s="9">
        <v>200</v>
      </c>
      <c r="L242" s="9">
        <v>600</v>
      </c>
      <c r="M242" s="10">
        <v>1200</v>
      </c>
      <c r="N242" s="10">
        <v>2</v>
      </c>
      <c r="O242" s="10"/>
      <c r="P242" s="18">
        <v>10</v>
      </c>
      <c r="Q242" s="22" t="s">
        <v>712</v>
      </c>
      <c r="R242">
        <v>1</v>
      </c>
      <c r="S242" s="26">
        <f>VLOOKUP($F242,Munition!$B:$P,10,FALSE)</f>
        <v>22</v>
      </c>
      <c r="T242" s="26">
        <f>VLOOKUP($F242,Munition!$B:$P,11,FALSE)</f>
        <v>832</v>
      </c>
      <c r="U242" s="28">
        <f t="shared" si="38"/>
        <v>859.01877941796499</v>
      </c>
      <c r="V242" s="26">
        <f>VLOOKUP($F242,Munition!$B:$P,5,FALSE)</f>
        <v>9.4499999999999993</v>
      </c>
      <c r="W242" s="30">
        <f t="shared" si="40"/>
        <v>3486.6401695306513</v>
      </c>
      <c r="X242" s="26">
        <f>VLOOKUP($F242,Munition!$B:$P,15,FALSE)</f>
        <v>207.22015034594844</v>
      </c>
      <c r="Y242" s="26">
        <f>VLOOKUP($F242,Munition!$B:$P,9,FALSE)</f>
        <v>1</v>
      </c>
      <c r="Z242" s="26">
        <f>VLOOKUP($F242,Munition!$B:$P,14,FALSE)</f>
        <v>6.9830624463123905E-6</v>
      </c>
      <c r="AA242" s="30">
        <f t="shared" si="41"/>
        <v>15.291049738251102</v>
      </c>
      <c r="AB242" s="30">
        <f t="shared" si="42"/>
        <v>13.190250937751966</v>
      </c>
      <c r="AC242" s="30">
        <f t="shared" si="43"/>
        <v>11.378075591870102</v>
      </c>
      <c r="AD242" s="30">
        <f t="shared" si="44"/>
        <v>6.2998736924534109</v>
      </c>
      <c r="AE242" s="30">
        <f t="shared" si="45"/>
        <v>2.5955319759103661</v>
      </c>
      <c r="AF242" s="32" t="str">
        <f t="shared" si="39"/>
        <v>4D6+2</v>
      </c>
      <c r="AG242" s="33" t="str">
        <f t="shared" si="46"/>
        <v>2</v>
      </c>
      <c r="AH242" s="33" t="str">
        <f t="shared" si="47"/>
        <v>2+1</v>
      </c>
      <c r="AI242" s="33" t="str">
        <f t="shared" si="48"/>
        <v>3</v>
      </c>
      <c r="AJ242" s="33" t="str">
        <f t="shared" si="49"/>
        <v>-</v>
      </c>
      <c r="AK242">
        <v>1984</v>
      </c>
    </row>
    <row r="243" spans="1:37">
      <c r="A243" t="s">
        <v>579</v>
      </c>
      <c r="B243" t="s">
        <v>435</v>
      </c>
      <c r="C243" t="s">
        <v>681</v>
      </c>
      <c r="D243" t="s">
        <v>681</v>
      </c>
      <c r="E243" t="s">
        <v>847</v>
      </c>
      <c r="F243" t="s">
        <v>28</v>
      </c>
      <c r="G243" t="s">
        <v>29</v>
      </c>
      <c r="H243">
        <v>3.72</v>
      </c>
      <c r="I243">
        <v>22.6</v>
      </c>
      <c r="J243" s="9">
        <v>50</v>
      </c>
      <c r="K243" s="9">
        <v>100</v>
      </c>
      <c r="L243" s="9">
        <v>300</v>
      </c>
      <c r="M243" s="10">
        <v>600</v>
      </c>
      <c r="N243" s="10">
        <v>2</v>
      </c>
      <c r="O243" s="10"/>
      <c r="P243" s="18">
        <v>5</v>
      </c>
      <c r="Q243" s="22" t="s">
        <v>699</v>
      </c>
      <c r="R243">
        <v>1</v>
      </c>
      <c r="S243" s="26">
        <f>VLOOKUP($F243,Munition!$B:$P,10,FALSE)</f>
        <v>24</v>
      </c>
      <c r="T243" s="26">
        <f>VLOOKUP($F243,Munition!$B:$P,11,FALSE)</f>
        <v>850</v>
      </c>
      <c r="U243" s="28">
        <f t="shared" si="38"/>
        <v>837.32339386631111</v>
      </c>
      <c r="V243" s="26">
        <f>VLOOKUP($F243,Munition!$B:$P,5,FALSE)</f>
        <v>10</v>
      </c>
      <c r="W243" s="30">
        <f t="shared" si="40"/>
        <v>3505.5523295789876</v>
      </c>
      <c r="X243" s="26">
        <f>VLOOKUP($F243,Munition!$B:$P,15,FALSE)</f>
        <v>226.35369684180674</v>
      </c>
      <c r="Y243" s="26">
        <f>VLOOKUP($F243,Munition!$B:$P,9,FALSE)</f>
        <v>1</v>
      </c>
      <c r="Z243" s="26">
        <f>VLOOKUP($F243,Munition!$B:$P,14,FALSE)</f>
        <v>7.0354494855587057E-6</v>
      </c>
      <c r="AA243" s="30">
        <f t="shared" si="41"/>
        <v>15.869894585452231</v>
      </c>
      <c r="AB243" s="30">
        <f t="shared" si="42"/>
        <v>14.79174710625608</v>
      </c>
      <c r="AC243" s="30">
        <f t="shared" si="43"/>
        <v>13.786845355356235</v>
      </c>
      <c r="AD243" s="30">
        <f t="shared" si="44"/>
        <v>10.405108869734539</v>
      </c>
      <c r="AE243" s="30">
        <f t="shared" si="45"/>
        <v>6.8221178160991034</v>
      </c>
      <c r="AF243" s="32" t="str">
        <f t="shared" si="39"/>
        <v>4D6+2</v>
      </c>
      <c r="AG243" s="33" t="str">
        <f t="shared" si="46"/>
        <v>2</v>
      </c>
      <c r="AH243" s="33" t="str">
        <f t="shared" si="47"/>
        <v>2+1</v>
      </c>
      <c r="AI243" s="33" t="str">
        <f t="shared" si="48"/>
        <v>2+1</v>
      </c>
      <c r="AJ243" s="33" t="str">
        <f t="shared" si="49"/>
        <v>3</v>
      </c>
      <c r="AK243">
        <v>1936</v>
      </c>
    </row>
    <row r="244" spans="1:37">
      <c r="A244" t="s">
        <v>579</v>
      </c>
      <c r="B244" t="s">
        <v>436</v>
      </c>
      <c r="C244" t="s">
        <v>681</v>
      </c>
      <c r="D244" t="s">
        <v>681</v>
      </c>
      <c r="E244" t="s">
        <v>780</v>
      </c>
      <c r="F244" t="s">
        <v>28</v>
      </c>
      <c r="G244" t="s">
        <v>29</v>
      </c>
      <c r="H244">
        <v>3.74</v>
      </c>
      <c r="I244">
        <v>17.7</v>
      </c>
      <c r="J244" s="9">
        <v>41</v>
      </c>
      <c r="K244" s="9">
        <v>82</v>
      </c>
      <c r="L244" s="9">
        <v>246</v>
      </c>
      <c r="M244" s="10">
        <v>492</v>
      </c>
      <c r="N244" s="10">
        <v>2</v>
      </c>
      <c r="O244" s="10"/>
      <c r="P244" s="18">
        <v>5</v>
      </c>
      <c r="Q244" s="22" t="s">
        <v>699</v>
      </c>
      <c r="R244">
        <v>1</v>
      </c>
      <c r="S244" s="26">
        <f>VLOOKUP($F244,Munition!$B:$P,10,FALSE)</f>
        <v>24</v>
      </c>
      <c r="T244" s="26">
        <f>VLOOKUP($F244,Munition!$B:$P,11,FALSE)</f>
        <v>850</v>
      </c>
      <c r="U244" s="28">
        <f t="shared" si="38"/>
        <v>787.69743610608555</v>
      </c>
      <c r="V244" s="26">
        <f>VLOOKUP($F244,Munition!$B:$P,5,FALSE)</f>
        <v>10</v>
      </c>
      <c r="W244" s="30">
        <f t="shared" si="40"/>
        <v>3102.3362542405039</v>
      </c>
      <c r="X244" s="26">
        <f>VLOOKUP($F244,Munition!$B:$P,15,FALSE)</f>
        <v>226.35369684180674</v>
      </c>
      <c r="Y244" s="26">
        <f>VLOOKUP($F244,Munition!$B:$P,9,FALSE)</f>
        <v>1</v>
      </c>
      <c r="Z244" s="26">
        <f>VLOOKUP($F244,Munition!$B:$P,14,FALSE)</f>
        <v>7.0354494855587057E-6</v>
      </c>
      <c r="AA244" s="30">
        <f t="shared" si="41"/>
        <v>14.044505599874025</v>
      </c>
      <c r="AB244" s="30">
        <f t="shared" si="42"/>
        <v>13.25719697649048</v>
      </c>
      <c r="AC244" s="30">
        <f t="shared" si="43"/>
        <v>12.514023396811117</v>
      </c>
      <c r="AD244" s="30">
        <f t="shared" si="44"/>
        <v>9.9352311712152481</v>
      </c>
      <c r="AE244" s="30">
        <f t="shared" si="45"/>
        <v>7.0282871635134292</v>
      </c>
      <c r="AF244" s="32" t="str">
        <f t="shared" si="39"/>
        <v>4D6+1</v>
      </c>
      <c r="AG244" s="33" t="str">
        <f t="shared" si="46"/>
        <v>2</v>
      </c>
      <c r="AH244" s="33" t="str">
        <f t="shared" si="47"/>
        <v>2+1</v>
      </c>
      <c r="AI244" s="33" t="str">
        <f t="shared" si="48"/>
        <v>2+1</v>
      </c>
      <c r="AJ244" s="33" t="str">
        <f t="shared" si="49"/>
        <v>3</v>
      </c>
      <c r="AK244">
        <v>1936</v>
      </c>
    </row>
    <row r="245" spans="1:37">
      <c r="A245" t="s">
        <v>577</v>
      </c>
      <c r="B245" t="s">
        <v>437</v>
      </c>
      <c r="C245" t="s">
        <v>681</v>
      </c>
      <c r="D245" t="s">
        <v>681</v>
      </c>
      <c r="E245" t="s">
        <v>779</v>
      </c>
      <c r="F245" t="s">
        <v>177</v>
      </c>
      <c r="G245" t="s">
        <v>178</v>
      </c>
      <c r="H245">
        <v>2.9</v>
      </c>
      <c r="I245">
        <v>8.6999999999999993</v>
      </c>
      <c r="J245" s="9">
        <v>10</v>
      </c>
      <c r="K245" s="9">
        <v>20</v>
      </c>
      <c r="L245" s="9">
        <v>60</v>
      </c>
      <c r="M245" s="10">
        <v>120</v>
      </c>
      <c r="N245" s="10">
        <v>1</v>
      </c>
      <c r="O245" s="10">
        <v>10</v>
      </c>
      <c r="P245" s="19">
        <v>32</v>
      </c>
      <c r="Q245" s="22" t="s">
        <v>695</v>
      </c>
      <c r="R245">
        <v>10</v>
      </c>
      <c r="S245" s="26">
        <f>VLOOKUP($F245,Munition!$B:$P,10,FALSE)</f>
        <v>4.5</v>
      </c>
      <c r="T245" s="26">
        <f>VLOOKUP($F245,Munition!$B:$P,11,FALSE)</f>
        <v>340</v>
      </c>
      <c r="U245" s="28">
        <f t="shared" si="38"/>
        <v>400.91804298380009</v>
      </c>
      <c r="V245" s="26">
        <f>VLOOKUP($F245,Munition!$B:$P,5,FALSE)</f>
        <v>5.7</v>
      </c>
      <c r="W245" s="30">
        <f t="shared" si="40"/>
        <v>458.09553999138654</v>
      </c>
      <c r="X245" s="26">
        <f>VLOOKUP($F245,Munition!$B:$P,15,FALSE)</f>
        <v>124.01154094562651</v>
      </c>
      <c r="Y245" s="26">
        <f>VLOOKUP($F245,Munition!$B:$P,9,FALSE)</f>
        <v>1</v>
      </c>
      <c r="Z245" s="26">
        <f>VLOOKUP($F245,Munition!$B:$P,14,FALSE)</f>
        <v>9.8534175987359497E-6</v>
      </c>
      <c r="AA245" s="30">
        <f t="shared" si="41"/>
        <v>1.9933029408649372</v>
      </c>
      <c r="AB245" s="30">
        <f t="shared" si="42"/>
        <v>1.9255653964132882</v>
      </c>
      <c r="AC245" s="30">
        <f t="shared" si="43"/>
        <v>1.8601297473907139</v>
      </c>
      <c r="AD245" s="30">
        <f t="shared" si="44"/>
        <v>1.6198809544241271</v>
      </c>
      <c r="AE245" s="30">
        <f t="shared" si="45"/>
        <v>1.3164152085018266</v>
      </c>
      <c r="AF245" s="32" t="str">
        <f t="shared" si="39"/>
        <v>1D6+2</v>
      </c>
      <c r="AG245" s="33" t="str">
        <f t="shared" si="46"/>
        <v>-</v>
      </c>
      <c r="AH245" s="33" t="str">
        <f t="shared" si="47"/>
        <v>-</v>
      </c>
      <c r="AI245" s="33" t="str">
        <f t="shared" si="48"/>
        <v>-</v>
      </c>
      <c r="AJ245" s="33" t="str">
        <f t="shared" si="49"/>
        <v>-</v>
      </c>
      <c r="AK245">
        <v>1938</v>
      </c>
    </row>
    <row r="246" spans="1:37">
      <c r="A246" t="s">
        <v>579</v>
      </c>
      <c r="B246" t="s">
        <v>438</v>
      </c>
      <c r="C246" t="s">
        <v>681</v>
      </c>
      <c r="D246" t="s">
        <v>681</v>
      </c>
      <c r="E246" t="s">
        <v>778</v>
      </c>
      <c r="F246" t="s">
        <v>28</v>
      </c>
      <c r="G246" t="s">
        <v>29</v>
      </c>
      <c r="H246">
        <v>4.1500000000000004</v>
      </c>
      <c r="I246">
        <v>22.6</v>
      </c>
      <c r="J246" s="9">
        <v>66</v>
      </c>
      <c r="K246" s="9">
        <v>132</v>
      </c>
      <c r="L246" s="9">
        <v>396</v>
      </c>
      <c r="M246" s="10">
        <v>792</v>
      </c>
      <c r="N246" s="10">
        <v>2</v>
      </c>
      <c r="O246" s="10"/>
      <c r="P246" s="18">
        <v>10</v>
      </c>
      <c r="Q246" s="22" t="s">
        <v>701</v>
      </c>
      <c r="R246">
        <v>1</v>
      </c>
      <c r="S246" s="26">
        <f>VLOOKUP($F246,Munition!$B:$P,10,FALSE)</f>
        <v>24</v>
      </c>
      <c r="T246" s="26">
        <f>VLOOKUP($F246,Munition!$B:$P,11,FALSE)</f>
        <v>850</v>
      </c>
      <c r="U246" s="28">
        <f t="shared" si="38"/>
        <v>837.32339386631111</v>
      </c>
      <c r="V246" s="26">
        <f>VLOOKUP($F246,Munition!$B:$P,5,FALSE)</f>
        <v>10</v>
      </c>
      <c r="W246" s="30">
        <f t="shared" si="40"/>
        <v>3505.5523295789876</v>
      </c>
      <c r="X246" s="26">
        <f>VLOOKUP($F246,Munition!$B:$P,15,FALSE)</f>
        <v>226.35369684180674</v>
      </c>
      <c r="Y246" s="26">
        <f>VLOOKUP($F246,Munition!$B:$P,9,FALSE)</f>
        <v>1</v>
      </c>
      <c r="Z246" s="26">
        <f>VLOOKUP($F246,Munition!$B:$P,14,FALSE)</f>
        <v>7.0354494855587057E-6</v>
      </c>
      <c r="AA246" s="30">
        <f t="shared" si="41"/>
        <v>15.869894585452231</v>
      </c>
      <c r="AB246" s="30">
        <f t="shared" si="42"/>
        <v>14.46245468050431</v>
      </c>
      <c r="AC246" s="30">
        <f t="shared" si="43"/>
        <v>13.17983520680586</v>
      </c>
      <c r="AD246" s="30">
        <f t="shared" si="44"/>
        <v>9.0903761946351089</v>
      </c>
      <c r="AE246" s="30">
        <f t="shared" si="45"/>
        <v>5.2070250949076433</v>
      </c>
      <c r="AF246" s="32" t="str">
        <f t="shared" si="39"/>
        <v>4D6+2</v>
      </c>
      <c r="AG246" s="33" t="str">
        <f t="shared" si="46"/>
        <v>2</v>
      </c>
      <c r="AH246" s="33" t="str">
        <f t="shared" si="47"/>
        <v>2+1</v>
      </c>
      <c r="AI246" s="33" t="str">
        <f t="shared" si="48"/>
        <v>2+1</v>
      </c>
      <c r="AJ246" s="33" t="str">
        <f t="shared" si="49"/>
        <v>3+2</v>
      </c>
      <c r="AK246">
        <v>1940</v>
      </c>
    </row>
    <row r="247" spans="1:37">
      <c r="A247" t="s">
        <v>575</v>
      </c>
      <c r="B247" t="s">
        <v>439</v>
      </c>
      <c r="C247" t="s">
        <v>681</v>
      </c>
      <c r="D247" t="s">
        <v>681</v>
      </c>
      <c r="E247" t="s">
        <v>777</v>
      </c>
      <c r="F247" t="s">
        <v>28</v>
      </c>
      <c r="G247" t="s">
        <v>29</v>
      </c>
      <c r="H247">
        <v>3.9</v>
      </c>
      <c r="I247">
        <v>20.7</v>
      </c>
      <c r="J247" s="9">
        <v>116</v>
      </c>
      <c r="K247" s="9">
        <v>232</v>
      </c>
      <c r="L247" s="9">
        <v>696</v>
      </c>
      <c r="M247" s="10">
        <v>1392</v>
      </c>
      <c r="N247" s="10">
        <v>2</v>
      </c>
      <c r="O247" s="10"/>
      <c r="P247" s="18">
        <v>10</v>
      </c>
      <c r="Q247" s="22" t="s">
        <v>701</v>
      </c>
      <c r="R247">
        <v>1</v>
      </c>
      <c r="S247" s="26">
        <f>VLOOKUP($F247,Munition!$B:$P,10,FALSE)</f>
        <v>24</v>
      </c>
      <c r="T247" s="26">
        <f>VLOOKUP($F247,Munition!$B:$P,11,FALSE)</f>
        <v>850</v>
      </c>
      <c r="U247" s="28">
        <f t="shared" si="38"/>
        <v>819.14107106704603</v>
      </c>
      <c r="V247" s="26">
        <f>VLOOKUP($F247,Munition!$B:$P,5,FALSE)</f>
        <v>10</v>
      </c>
      <c r="W247" s="30">
        <f t="shared" si="40"/>
        <v>3354.960471544337</v>
      </c>
      <c r="X247" s="26">
        <f>VLOOKUP($F247,Munition!$B:$P,15,FALSE)</f>
        <v>226.35369684180674</v>
      </c>
      <c r="Y247" s="26">
        <f>VLOOKUP($F247,Munition!$B:$P,9,FALSE)</f>
        <v>1</v>
      </c>
      <c r="Z247" s="26">
        <f>VLOOKUP($F247,Munition!$B:$P,14,FALSE)</f>
        <v>7.0354494855587057E-6</v>
      </c>
      <c r="AA247" s="30">
        <f t="shared" si="41"/>
        <v>15.188154109843836</v>
      </c>
      <c r="AB247" s="30">
        <f t="shared" si="42"/>
        <v>12.900852069290419</v>
      </c>
      <c r="AC247" s="30">
        <f t="shared" si="43"/>
        <v>10.958012600480929</v>
      </c>
      <c r="AD247" s="30">
        <f t="shared" si="44"/>
        <v>5.704077219178294</v>
      </c>
      <c r="AE247" s="30">
        <f t="shared" si="45"/>
        <v>2.1422285214541659</v>
      </c>
      <c r="AF247" s="32" t="str">
        <f t="shared" si="39"/>
        <v>4D6+2</v>
      </c>
      <c r="AG247" s="33" t="str">
        <f t="shared" si="46"/>
        <v>2</v>
      </c>
      <c r="AH247" s="33" t="str">
        <f t="shared" si="47"/>
        <v>2+1</v>
      </c>
      <c r="AI247" s="33" t="str">
        <f t="shared" si="48"/>
        <v>3</v>
      </c>
      <c r="AJ247" s="33" t="str">
        <f t="shared" si="49"/>
        <v>-</v>
      </c>
      <c r="AK247">
        <v>1956</v>
      </c>
    </row>
    <row r="248" spans="1:37">
      <c r="A248" t="s">
        <v>581</v>
      </c>
      <c r="B248" t="s">
        <v>440</v>
      </c>
      <c r="C248" t="s">
        <v>681</v>
      </c>
      <c r="D248" t="s">
        <v>681</v>
      </c>
      <c r="F248" t="s">
        <v>28</v>
      </c>
      <c r="G248" t="s">
        <v>29</v>
      </c>
      <c r="H248">
        <v>4.2</v>
      </c>
      <c r="I248">
        <v>20.7</v>
      </c>
      <c r="J248" s="9">
        <v>116</v>
      </c>
      <c r="K248" s="9">
        <v>232</v>
      </c>
      <c r="L248" s="9">
        <v>696</v>
      </c>
      <c r="M248" s="10">
        <v>1392</v>
      </c>
      <c r="N248" s="10">
        <v>2</v>
      </c>
      <c r="O248" s="10"/>
      <c r="P248" s="18">
        <v>10</v>
      </c>
      <c r="Q248" s="22" t="s">
        <v>701</v>
      </c>
      <c r="R248">
        <v>1</v>
      </c>
      <c r="S248" s="26">
        <f>VLOOKUP($F248,Munition!$B:$P,10,FALSE)</f>
        <v>24</v>
      </c>
      <c r="T248" s="26">
        <f>VLOOKUP($F248,Munition!$B:$P,11,FALSE)</f>
        <v>850</v>
      </c>
      <c r="U248" s="28">
        <f t="shared" si="38"/>
        <v>819.14107106704603</v>
      </c>
      <c r="V248" s="26">
        <f>VLOOKUP($F248,Munition!$B:$P,5,FALSE)</f>
        <v>10</v>
      </c>
      <c r="W248" s="30">
        <f t="shared" si="40"/>
        <v>3354.960471544337</v>
      </c>
      <c r="X248" s="26">
        <f>VLOOKUP($F248,Munition!$B:$P,15,FALSE)</f>
        <v>226.35369684180674</v>
      </c>
      <c r="Y248" s="26">
        <f>VLOOKUP($F248,Munition!$B:$P,9,FALSE)</f>
        <v>1</v>
      </c>
      <c r="Z248" s="26">
        <f>VLOOKUP($F248,Munition!$B:$P,14,FALSE)</f>
        <v>7.0354494855587057E-6</v>
      </c>
      <c r="AA248" s="30">
        <f t="shared" si="41"/>
        <v>15.188154109843836</v>
      </c>
      <c r="AB248" s="30">
        <f t="shared" si="42"/>
        <v>12.900852069290419</v>
      </c>
      <c r="AC248" s="30">
        <f t="shared" si="43"/>
        <v>10.958012600480929</v>
      </c>
      <c r="AD248" s="30">
        <f t="shared" si="44"/>
        <v>5.704077219178294</v>
      </c>
      <c r="AE248" s="30">
        <f t="shared" si="45"/>
        <v>2.1422285214541659</v>
      </c>
      <c r="AF248" s="32" t="str">
        <f t="shared" si="39"/>
        <v>4D6+2</v>
      </c>
      <c r="AG248" s="33" t="str">
        <f t="shared" si="46"/>
        <v>2</v>
      </c>
      <c r="AH248" s="33" t="str">
        <f t="shared" si="47"/>
        <v>2+1</v>
      </c>
      <c r="AI248" s="33" t="str">
        <f t="shared" si="48"/>
        <v>3</v>
      </c>
      <c r="AJ248" s="33" t="str">
        <f t="shared" si="49"/>
        <v>-</v>
      </c>
      <c r="AK248">
        <v>1956</v>
      </c>
    </row>
    <row r="249" spans="1:37">
      <c r="A249" t="s">
        <v>583</v>
      </c>
      <c r="B249" t="s">
        <v>441</v>
      </c>
      <c r="C249" t="s">
        <v>681</v>
      </c>
      <c r="D249" t="s">
        <v>681</v>
      </c>
      <c r="E249" t="s">
        <v>776</v>
      </c>
      <c r="F249" t="s">
        <v>179</v>
      </c>
      <c r="G249" t="s">
        <v>180</v>
      </c>
      <c r="H249">
        <v>0.91</v>
      </c>
      <c r="I249">
        <v>4</v>
      </c>
      <c r="J249" s="9">
        <v>4</v>
      </c>
      <c r="K249" s="9">
        <v>8</v>
      </c>
      <c r="L249" s="9">
        <v>24</v>
      </c>
      <c r="M249" s="10">
        <v>48</v>
      </c>
      <c r="N249" s="10">
        <v>3</v>
      </c>
      <c r="O249" s="10"/>
      <c r="P249" s="18">
        <v>6</v>
      </c>
      <c r="Q249" s="22" t="s">
        <v>699</v>
      </c>
      <c r="R249">
        <v>1</v>
      </c>
      <c r="S249" s="26">
        <f>VLOOKUP($F249,Munition!$B:$P,10,FALSE)</f>
        <v>4.5</v>
      </c>
      <c r="T249" s="26">
        <f>VLOOKUP($F249,Munition!$B:$P,11,FALSE)</f>
        <v>350</v>
      </c>
      <c r="U249" s="28">
        <f t="shared" si="38"/>
        <v>339.84424019512642</v>
      </c>
      <c r="V249" s="26">
        <f>VLOOKUP($F249,Munition!$B:$P,5,FALSE)</f>
        <v>7.8</v>
      </c>
      <c r="W249" s="30">
        <f t="shared" si="40"/>
        <v>450.42701961583083</v>
      </c>
      <c r="X249" s="26">
        <f>VLOOKUP($F249,Munition!$B:$P,15,FALSE)</f>
        <v>155.17606951459797</v>
      </c>
      <c r="Y249" s="26">
        <f>VLOOKUP($F249,Munition!$B:$P,9,FALSE)</f>
        <v>1</v>
      </c>
      <c r="Z249" s="26">
        <f>VLOOKUP($F249,Munition!$B:$P,14,FALSE)</f>
        <v>1.3854423602330991E-5</v>
      </c>
      <c r="AA249" s="30">
        <f t="shared" si="41"/>
        <v>1.7921921668502396</v>
      </c>
      <c r="AB249" s="30">
        <f t="shared" si="42"/>
        <v>1.766905797023383</v>
      </c>
      <c r="AC249" s="30">
        <f t="shared" si="43"/>
        <v>1.7419761972521306</v>
      </c>
      <c r="AD249" s="30">
        <f t="shared" si="44"/>
        <v>1.6457258833629509</v>
      </c>
      <c r="AE249" s="30">
        <f t="shared" si="45"/>
        <v>1.5112295061141661</v>
      </c>
      <c r="AF249" s="32" t="str">
        <f t="shared" si="39"/>
        <v>1D6+2</v>
      </c>
      <c r="AG249" s="33" t="str">
        <f t="shared" si="46"/>
        <v>-</v>
      </c>
      <c r="AH249" s="33" t="str">
        <f t="shared" si="47"/>
        <v>-</v>
      </c>
      <c r="AI249" s="33" t="str">
        <f t="shared" si="48"/>
        <v>-</v>
      </c>
      <c r="AJ249" s="33" t="str">
        <f t="shared" si="49"/>
        <v>-</v>
      </c>
      <c r="AK249">
        <v>1892</v>
      </c>
    </row>
    <row r="250" spans="1:37">
      <c r="A250" t="s">
        <v>577</v>
      </c>
      <c r="B250" t="s">
        <v>442</v>
      </c>
      <c r="C250" t="s">
        <v>681</v>
      </c>
      <c r="D250" t="s">
        <v>681</v>
      </c>
      <c r="F250" t="s">
        <v>182</v>
      </c>
      <c r="G250" t="s">
        <v>79</v>
      </c>
      <c r="H250">
        <v>3.64</v>
      </c>
      <c r="I250">
        <v>9</v>
      </c>
      <c r="J250" s="9">
        <v>15</v>
      </c>
      <c r="K250" s="9">
        <v>30</v>
      </c>
      <c r="L250" s="9">
        <v>90</v>
      </c>
      <c r="M250" s="10">
        <v>180</v>
      </c>
      <c r="N250" s="10"/>
      <c r="O250" s="10">
        <v>3</v>
      </c>
      <c r="P250" s="19">
        <v>32</v>
      </c>
      <c r="Q250" s="22" t="s">
        <v>753</v>
      </c>
      <c r="R250">
        <v>5</v>
      </c>
      <c r="S250" s="26">
        <f>VLOOKUP($F250,Munition!$B:$P,10,FALSE)</f>
        <v>4.5</v>
      </c>
      <c r="T250" s="26">
        <f>VLOOKUP($F250,Munition!$B:$P,11,FALSE)</f>
        <v>450</v>
      </c>
      <c r="U250" s="28">
        <f t="shared" si="38"/>
        <v>535.14320175122441</v>
      </c>
      <c r="V250" s="26">
        <f>VLOOKUP($F250,Munition!$B:$P,5,FALSE)</f>
        <v>6.75</v>
      </c>
      <c r="W250" s="30">
        <f t="shared" si="40"/>
        <v>966.52658153436187</v>
      </c>
      <c r="X250" s="26">
        <f>VLOOKUP($F250,Munition!$B:$P,15,FALSE)</f>
        <v>106.1032953945969</v>
      </c>
      <c r="Y250" s="26">
        <f>VLOOKUP($F250,Munition!$B:$P,9,FALSE)</f>
        <v>1</v>
      </c>
      <c r="Z250" s="26">
        <f>VLOOKUP($F250,Munition!$B:$P,14,FALSE)</f>
        <v>1.5586226552622361E-5</v>
      </c>
      <c r="AA250" s="30">
        <f t="shared" si="41"/>
        <v>3.0385675670302321</v>
      </c>
      <c r="AB250" s="30">
        <f t="shared" si="42"/>
        <v>2.8352045643205113</v>
      </c>
      <c r="AC250" s="30">
        <f t="shared" si="43"/>
        <v>2.6454520902427188</v>
      </c>
      <c r="AD250" s="30">
        <f t="shared" si="44"/>
        <v>2.0052194401831307</v>
      </c>
      <c r="AE250" s="30">
        <f t="shared" si="45"/>
        <v>1.3232896470418829</v>
      </c>
      <c r="AF250" s="32" t="str">
        <f t="shared" si="39"/>
        <v>2D6+1</v>
      </c>
      <c r="AG250" s="33" t="str">
        <f t="shared" si="46"/>
        <v>-</v>
      </c>
      <c r="AH250" s="33" t="str">
        <f t="shared" si="47"/>
        <v>-</v>
      </c>
      <c r="AI250" s="33" t="str">
        <f t="shared" si="48"/>
        <v>-</v>
      </c>
      <c r="AJ250" s="33" t="str">
        <f t="shared" si="49"/>
        <v>-</v>
      </c>
      <c r="AK250">
        <v>1949</v>
      </c>
    </row>
    <row r="251" spans="1:37">
      <c r="A251" t="s">
        <v>571</v>
      </c>
      <c r="B251" t="s">
        <v>443</v>
      </c>
      <c r="C251" t="s">
        <v>681</v>
      </c>
      <c r="D251" t="s">
        <v>681</v>
      </c>
      <c r="E251" t="s">
        <v>775</v>
      </c>
      <c r="F251" t="s">
        <v>32</v>
      </c>
      <c r="G251" t="s">
        <v>33</v>
      </c>
      <c r="H251">
        <v>1.22</v>
      </c>
      <c r="I251">
        <v>5.5</v>
      </c>
      <c r="J251" s="9">
        <v>12</v>
      </c>
      <c r="K251" s="9">
        <v>24</v>
      </c>
      <c r="L251" s="9">
        <v>72</v>
      </c>
      <c r="M251" s="10">
        <v>144</v>
      </c>
      <c r="N251" s="10">
        <v>3</v>
      </c>
      <c r="O251" s="10"/>
      <c r="P251" s="18">
        <v>10</v>
      </c>
      <c r="Q251" s="22" t="s">
        <v>701</v>
      </c>
      <c r="R251">
        <v>1</v>
      </c>
      <c r="S251" s="26">
        <f>VLOOKUP($F251,Munition!$B:$P,10,FALSE)</f>
        <v>5</v>
      </c>
      <c r="T251" s="26">
        <f>VLOOKUP($F251,Munition!$B:$P,11,FALSE)</f>
        <v>488</v>
      </c>
      <c r="U251" s="28">
        <f t="shared" si="38"/>
        <v>499.76748027320923</v>
      </c>
      <c r="V251" s="26">
        <f>VLOOKUP($F251,Munition!$B:$P,5,FALSE)</f>
        <v>5.5</v>
      </c>
      <c r="W251" s="30">
        <f t="shared" si="40"/>
        <v>686.86071943123954</v>
      </c>
      <c r="X251" s="26">
        <f>VLOOKUP($F251,Munition!$B:$P,15,FALSE)</f>
        <v>120.60432030716575</v>
      </c>
      <c r="Y251" s="26">
        <f>VLOOKUP($F251,Munition!$B:$P,9,FALSE)</f>
        <v>1</v>
      </c>
      <c r="Z251" s="26">
        <f>VLOOKUP($F251,Munition!$B:$P,14,FALSE)</f>
        <v>9.7762874248373463E-6</v>
      </c>
      <c r="AA251" s="30">
        <f t="shared" si="41"/>
        <v>3.012304371370746</v>
      </c>
      <c r="AB251" s="30">
        <f t="shared" si="42"/>
        <v>2.8865014401238391</v>
      </c>
      <c r="AC251" s="30">
        <f t="shared" si="43"/>
        <v>2.7659524193584661</v>
      </c>
      <c r="AD251" s="30">
        <f t="shared" si="44"/>
        <v>2.332042231516128</v>
      </c>
      <c r="AE251" s="30">
        <f t="shared" si="45"/>
        <v>1.8054022101026848</v>
      </c>
      <c r="AF251" s="32" t="str">
        <f t="shared" si="39"/>
        <v>2D6</v>
      </c>
      <c r="AG251" s="33" t="str">
        <f t="shared" si="46"/>
        <v>-</v>
      </c>
      <c r="AH251" s="33" t="str">
        <f t="shared" si="47"/>
        <v>-</v>
      </c>
      <c r="AI251" s="33" t="str">
        <f t="shared" si="48"/>
        <v>-</v>
      </c>
      <c r="AJ251" s="33" t="str">
        <f t="shared" si="49"/>
        <v>-</v>
      </c>
      <c r="AK251">
        <v>1896</v>
      </c>
    </row>
    <row r="252" spans="1:37">
      <c r="A252" t="s">
        <v>571</v>
      </c>
      <c r="B252" t="s">
        <v>444</v>
      </c>
      <c r="C252" t="s">
        <v>681</v>
      </c>
      <c r="D252" t="s">
        <v>681</v>
      </c>
      <c r="F252" t="s">
        <v>182</v>
      </c>
      <c r="G252" t="s">
        <v>79</v>
      </c>
      <c r="H252">
        <v>1.22</v>
      </c>
      <c r="I252">
        <v>5.5</v>
      </c>
      <c r="J252" s="9">
        <v>10</v>
      </c>
      <c r="K252" s="9">
        <v>20</v>
      </c>
      <c r="L252" s="9">
        <v>60</v>
      </c>
      <c r="M252" s="10">
        <v>120</v>
      </c>
      <c r="N252" s="10">
        <v>3</v>
      </c>
      <c r="O252" s="10"/>
      <c r="P252" s="18">
        <v>10</v>
      </c>
      <c r="Q252" s="22" t="s">
        <v>701</v>
      </c>
      <c r="R252">
        <v>5</v>
      </c>
      <c r="S252" s="26">
        <f>VLOOKUP($F252,Munition!$B:$P,10,FALSE)</f>
        <v>4.5</v>
      </c>
      <c r="T252" s="26">
        <f>VLOOKUP($F252,Munition!$B:$P,11,FALSE)</f>
        <v>450</v>
      </c>
      <c r="U252" s="28">
        <f t="shared" si="38"/>
        <v>473.15132182948565</v>
      </c>
      <c r="V252" s="26">
        <f>VLOOKUP($F252,Munition!$B:$P,5,FALSE)</f>
        <v>6.75</v>
      </c>
      <c r="W252" s="30">
        <f t="shared" si="40"/>
        <v>755.56858505283958</v>
      </c>
      <c r="X252" s="26">
        <f>VLOOKUP($F252,Munition!$B:$P,15,FALSE)</f>
        <v>106.1032953945969</v>
      </c>
      <c r="Y252" s="26">
        <f>VLOOKUP($F252,Munition!$B:$P,9,FALSE)</f>
        <v>1</v>
      </c>
      <c r="Z252" s="26">
        <f>VLOOKUP($F252,Munition!$B:$P,14,FALSE)</f>
        <v>1.5586226552622361E-5</v>
      </c>
      <c r="AA252" s="30">
        <f t="shared" si="41"/>
        <v>2.3753575339478235</v>
      </c>
      <c r="AB252" s="30">
        <f t="shared" si="42"/>
        <v>2.2681546123187726</v>
      </c>
      <c r="AC252" s="30">
        <f t="shared" si="43"/>
        <v>2.1657898955669066</v>
      </c>
      <c r="AD252" s="30">
        <f t="shared" si="44"/>
        <v>1.8004911606698664</v>
      </c>
      <c r="AE252" s="30">
        <f t="shared" si="45"/>
        <v>1.364749673815433</v>
      </c>
      <c r="AF252" s="32" t="str">
        <f t="shared" si="39"/>
        <v>2D6</v>
      </c>
      <c r="AG252" s="33" t="str">
        <f t="shared" si="46"/>
        <v>-</v>
      </c>
      <c r="AH252" s="33" t="str">
        <f t="shared" si="47"/>
        <v>-</v>
      </c>
      <c r="AI252" s="33" t="str">
        <f t="shared" si="48"/>
        <v>-</v>
      </c>
      <c r="AJ252" s="33" t="str">
        <f t="shared" si="49"/>
        <v>-</v>
      </c>
      <c r="AK252">
        <v>1916</v>
      </c>
    </row>
    <row r="253" spans="1:37">
      <c r="A253" t="s">
        <v>577</v>
      </c>
      <c r="B253" t="s">
        <v>445</v>
      </c>
      <c r="C253" t="s">
        <v>681</v>
      </c>
      <c r="D253" t="s">
        <v>681</v>
      </c>
      <c r="E253" t="s">
        <v>775</v>
      </c>
      <c r="F253" t="s">
        <v>32</v>
      </c>
      <c r="G253" t="s">
        <v>33</v>
      </c>
      <c r="H253">
        <v>1.3</v>
      </c>
      <c r="I253">
        <v>5.5</v>
      </c>
      <c r="J253" s="9">
        <v>12</v>
      </c>
      <c r="K253" s="9">
        <v>24</v>
      </c>
      <c r="L253" s="9">
        <v>72</v>
      </c>
      <c r="M253" s="10">
        <v>144</v>
      </c>
      <c r="N253" s="10"/>
      <c r="O253" s="10">
        <v>10</v>
      </c>
      <c r="P253" s="18">
        <v>20</v>
      </c>
      <c r="Q253" s="22">
        <v>50</v>
      </c>
      <c r="R253">
        <v>10</v>
      </c>
      <c r="S253" s="26">
        <f>VLOOKUP($F253,Munition!$B:$P,10,FALSE)</f>
        <v>5</v>
      </c>
      <c r="T253" s="26">
        <f>VLOOKUP($F253,Munition!$B:$P,11,FALSE)</f>
        <v>488</v>
      </c>
      <c r="U253" s="28">
        <f t="shared" si="38"/>
        <v>499.76748027320923</v>
      </c>
      <c r="V253" s="26">
        <f>VLOOKUP($F253,Munition!$B:$P,5,FALSE)</f>
        <v>5.5</v>
      </c>
      <c r="W253" s="30">
        <f t="shared" si="40"/>
        <v>686.86071943123954</v>
      </c>
      <c r="X253" s="26">
        <f>VLOOKUP($F253,Munition!$B:$P,15,FALSE)</f>
        <v>120.60432030716575</v>
      </c>
      <c r="Y253" s="26">
        <f>VLOOKUP($F253,Munition!$B:$P,9,FALSE)</f>
        <v>1</v>
      </c>
      <c r="Z253" s="26">
        <f>VLOOKUP($F253,Munition!$B:$P,14,FALSE)</f>
        <v>9.7762874248373463E-6</v>
      </c>
      <c r="AA253" s="30">
        <f t="shared" si="41"/>
        <v>3.012304371370746</v>
      </c>
      <c r="AB253" s="30">
        <f t="shared" si="42"/>
        <v>2.8865014401238391</v>
      </c>
      <c r="AC253" s="30">
        <f t="shared" si="43"/>
        <v>2.7659524193584661</v>
      </c>
      <c r="AD253" s="30">
        <f t="shared" si="44"/>
        <v>2.332042231516128</v>
      </c>
      <c r="AE253" s="30">
        <f t="shared" si="45"/>
        <v>1.8054022101026848</v>
      </c>
      <c r="AF253" s="32" t="str">
        <f t="shared" si="39"/>
        <v>2D6</v>
      </c>
      <c r="AG253" s="33" t="str">
        <f t="shared" si="46"/>
        <v>-</v>
      </c>
      <c r="AH253" s="33" t="str">
        <f t="shared" si="47"/>
        <v>-</v>
      </c>
      <c r="AI253" s="33" t="str">
        <f t="shared" si="48"/>
        <v>-</v>
      </c>
      <c r="AJ253" s="33" t="str">
        <f t="shared" si="49"/>
        <v>-</v>
      </c>
      <c r="AK253">
        <v>1927</v>
      </c>
    </row>
    <row r="254" spans="1:37">
      <c r="A254" t="s">
        <v>579</v>
      </c>
      <c r="B254" t="s">
        <v>446</v>
      </c>
      <c r="C254" t="s">
        <v>681</v>
      </c>
      <c r="D254" t="s">
        <v>681</v>
      </c>
      <c r="E254" t="s">
        <v>774</v>
      </c>
      <c r="F254" t="s">
        <v>447</v>
      </c>
      <c r="G254" t="s">
        <v>68</v>
      </c>
      <c r="H254">
        <v>3.9</v>
      </c>
      <c r="I254">
        <v>23.6</v>
      </c>
      <c r="J254" s="9">
        <v>66</v>
      </c>
      <c r="K254" s="9">
        <v>132</v>
      </c>
      <c r="L254" s="9">
        <v>396</v>
      </c>
      <c r="M254" s="10">
        <v>792</v>
      </c>
      <c r="N254" s="10">
        <v>2</v>
      </c>
      <c r="O254" s="10"/>
      <c r="P254" s="18">
        <v>5</v>
      </c>
      <c r="Q254" s="22" t="s">
        <v>699</v>
      </c>
      <c r="R254">
        <v>1</v>
      </c>
      <c r="S254" s="26">
        <f>VLOOKUP($F254,Munition!$B:$P,10,FALSE)</f>
        <v>24</v>
      </c>
      <c r="T254" s="26">
        <f>VLOOKUP($F254,Munition!$B:$P,11,FALSE)</f>
        <v>740</v>
      </c>
      <c r="U254" s="28">
        <f t="shared" si="38"/>
        <v>736.89720630403576</v>
      </c>
      <c r="V254" s="26">
        <f>VLOOKUP($F254,Munition!$B:$P,5,FALSE)</f>
        <v>13.4</v>
      </c>
      <c r="W254" s="30">
        <f t="shared" si="40"/>
        <v>3638.2172008132407</v>
      </c>
      <c r="X254" s="26">
        <f>VLOOKUP($F254,Munition!$B:$P,15,FALSE)</f>
        <v>271.99727546059046</v>
      </c>
      <c r="Y254" s="26">
        <f>VLOOKUP($F254,Munition!$B:$P,9,FALSE)</f>
        <v>1</v>
      </c>
      <c r="Z254" s="26">
        <f>VLOOKUP($F254,Munition!$B:$P,14,FALSE)</f>
        <v>7.8454829975279935E-6</v>
      </c>
      <c r="AA254" s="30">
        <f t="shared" si="41"/>
        <v>14.769927853060556</v>
      </c>
      <c r="AB254" s="30">
        <f t="shared" si="42"/>
        <v>13.671444978102056</v>
      </c>
      <c r="AC254" s="30">
        <f t="shared" si="43"/>
        <v>12.654659497916345</v>
      </c>
      <c r="AD254" s="30">
        <f t="shared" si="44"/>
        <v>9.28954930499191</v>
      </c>
      <c r="AE254" s="30">
        <f t="shared" si="45"/>
        <v>5.8426640365744165</v>
      </c>
      <c r="AF254" s="32" t="str">
        <f t="shared" si="39"/>
        <v>5D6</v>
      </c>
      <c r="AG254" s="33" t="str">
        <f t="shared" si="46"/>
        <v>2+1</v>
      </c>
      <c r="AH254" s="33" t="str">
        <f t="shared" si="47"/>
        <v>2+1</v>
      </c>
      <c r="AI254" s="33" t="str">
        <f t="shared" si="48"/>
        <v>2+2</v>
      </c>
      <c r="AJ254" s="33" t="str">
        <f t="shared" si="49"/>
        <v>3+2</v>
      </c>
      <c r="AK254">
        <v>1935</v>
      </c>
    </row>
    <row r="255" spans="1:37">
      <c r="A255" t="s">
        <v>574</v>
      </c>
      <c r="B255" t="s">
        <v>448</v>
      </c>
      <c r="C255" t="s">
        <v>681</v>
      </c>
      <c r="D255" t="s">
        <v>681</v>
      </c>
      <c r="F255" t="s">
        <v>51</v>
      </c>
      <c r="G255" t="s">
        <v>52</v>
      </c>
      <c r="H255">
        <v>12</v>
      </c>
      <c r="I255">
        <v>21.7</v>
      </c>
      <c r="J255" s="9">
        <v>100</v>
      </c>
      <c r="K255" s="9">
        <v>200</v>
      </c>
      <c r="L255" s="9">
        <v>600</v>
      </c>
      <c r="M255" s="10">
        <v>1200</v>
      </c>
      <c r="N255" s="10">
        <v>1</v>
      </c>
      <c r="O255" s="10">
        <v>5</v>
      </c>
      <c r="P255" s="19">
        <v>100</v>
      </c>
      <c r="Q255" s="22" t="s">
        <v>757</v>
      </c>
      <c r="R255">
        <v>10</v>
      </c>
      <c r="S255" s="26">
        <f>VLOOKUP($F255,Munition!$B:$P,10,FALSE)</f>
        <v>22</v>
      </c>
      <c r="T255" s="26">
        <f>VLOOKUP($F255,Munition!$B:$P,11,FALSE)</f>
        <v>832</v>
      </c>
      <c r="U255" s="28">
        <f t="shared" si="38"/>
        <v>829.14901576481384</v>
      </c>
      <c r="V255" s="26">
        <f>VLOOKUP($F255,Munition!$B:$P,5,FALSE)</f>
        <v>9.4499999999999993</v>
      </c>
      <c r="W255" s="30">
        <f t="shared" si="40"/>
        <v>3248.3812268742636</v>
      </c>
      <c r="X255" s="26">
        <f>VLOOKUP($F255,Munition!$B:$P,15,FALSE)</f>
        <v>207.22015034594844</v>
      </c>
      <c r="Y255" s="26">
        <f>VLOOKUP($F255,Munition!$B:$P,9,FALSE)</f>
        <v>1</v>
      </c>
      <c r="Z255" s="26">
        <f>VLOOKUP($F255,Munition!$B:$P,14,FALSE)</f>
        <v>6.9830624463123905E-6</v>
      </c>
      <c r="AA255" s="30">
        <f t="shared" si="41"/>
        <v>14.246138544208282</v>
      </c>
      <c r="AB255" s="30">
        <f t="shared" si="42"/>
        <v>12.28889746019358</v>
      </c>
      <c r="AC255" s="30">
        <f t="shared" si="43"/>
        <v>10.600556797796107</v>
      </c>
      <c r="AD255" s="30">
        <f t="shared" si="44"/>
        <v>5.8693729318788552</v>
      </c>
      <c r="AE255" s="30">
        <f t="shared" si="45"/>
        <v>2.4181667549118093</v>
      </c>
      <c r="AF255" s="32" t="str">
        <f t="shared" si="39"/>
        <v>4D6+2</v>
      </c>
      <c r="AG255" s="33" t="str">
        <f t="shared" si="46"/>
        <v>2+1</v>
      </c>
      <c r="AH255" s="33" t="str">
        <f t="shared" si="47"/>
        <v>2+2</v>
      </c>
      <c r="AI255" s="33" t="str">
        <f t="shared" si="48"/>
        <v>3</v>
      </c>
      <c r="AJ255" s="33" t="str">
        <f t="shared" si="49"/>
        <v>-</v>
      </c>
      <c r="AK255">
        <v>1959</v>
      </c>
    </row>
    <row r="256" spans="1:37">
      <c r="A256" t="s">
        <v>579</v>
      </c>
      <c r="B256" t="s">
        <v>449</v>
      </c>
      <c r="C256" t="s">
        <v>681</v>
      </c>
      <c r="D256" t="s">
        <v>681</v>
      </c>
      <c r="F256" t="s">
        <v>51</v>
      </c>
      <c r="G256" t="s">
        <v>52</v>
      </c>
      <c r="H256">
        <v>6.1230000000000002</v>
      </c>
      <c r="I256">
        <v>25.6</v>
      </c>
      <c r="J256" s="9">
        <v>100</v>
      </c>
      <c r="K256" s="9">
        <v>200</v>
      </c>
      <c r="L256" s="9">
        <v>600</v>
      </c>
      <c r="M256" s="10">
        <v>1200</v>
      </c>
      <c r="N256" s="10">
        <v>2</v>
      </c>
      <c r="O256" s="10"/>
      <c r="P256" s="18">
        <v>3</v>
      </c>
      <c r="Q256" s="22" t="s">
        <v>712</v>
      </c>
      <c r="R256">
        <v>1</v>
      </c>
      <c r="S256" s="26">
        <f>VLOOKUP($F256,Munition!$B:$P,10,FALSE)</f>
        <v>22</v>
      </c>
      <c r="T256" s="26">
        <f>VLOOKUP($F256,Munition!$B:$P,11,FALSE)</f>
        <v>832</v>
      </c>
      <c r="U256" s="28">
        <f t="shared" ref="U256:U319" si="50">T256 * POWER(I256/S256,0.25)</f>
        <v>864.12714397246464</v>
      </c>
      <c r="V256" s="26">
        <f>VLOOKUP($F256,Munition!$B:$P,5,FALSE)</f>
        <v>9.4499999999999993</v>
      </c>
      <c r="W256" s="30">
        <f t="shared" si="40"/>
        <v>3528.2317814887906</v>
      </c>
      <c r="X256" s="26">
        <f>VLOOKUP($F256,Munition!$B:$P,15,FALSE)</f>
        <v>207.22015034594844</v>
      </c>
      <c r="Y256" s="26">
        <f>VLOOKUP($F256,Munition!$B:$P,9,FALSE)</f>
        <v>1</v>
      </c>
      <c r="Z256" s="26">
        <f>VLOOKUP($F256,Munition!$B:$P,14,FALSE)</f>
        <v>6.9830624463123905E-6</v>
      </c>
      <c r="AA256" s="30">
        <f t="shared" si="41"/>
        <v>15.473454396094406</v>
      </c>
      <c r="AB256" s="30">
        <f t="shared" si="42"/>
        <v>13.347595479189781</v>
      </c>
      <c r="AC256" s="30">
        <f t="shared" si="43"/>
        <v>11.513802963160943</v>
      </c>
      <c r="AD256" s="30">
        <f t="shared" si="44"/>
        <v>6.3750239486489289</v>
      </c>
      <c r="AE256" s="30">
        <f t="shared" si="45"/>
        <v>2.6264936907756944</v>
      </c>
      <c r="AF256" s="32" t="str">
        <f t="shared" ref="AF256:AF319" si="51">IF(INT(SQRT(W256)/12)=0, MOD(INT(SQRT(W256)/4),3), INT(SQRT(W256)/12) &amp; "D6" &amp; IF(MOD(INT(SQRT(W256)/4),3)=0, "", "+" &amp; MOD(INT(SQRT(W256)/4),3)))</f>
        <v>4D6+2</v>
      </c>
      <c r="AG256" s="33" t="str">
        <f t="shared" si="46"/>
        <v>2</v>
      </c>
      <c r="AH256" s="33" t="str">
        <f t="shared" si="47"/>
        <v>2+1</v>
      </c>
      <c r="AI256" s="33" t="str">
        <f t="shared" si="48"/>
        <v>3</v>
      </c>
      <c r="AJ256" s="33" t="str">
        <f t="shared" si="49"/>
        <v>-</v>
      </c>
      <c r="AK256">
        <v>1976</v>
      </c>
    </row>
    <row r="257" spans="1:37">
      <c r="A257" t="s">
        <v>571</v>
      </c>
      <c r="B257" t="s">
        <v>1275</v>
      </c>
      <c r="C257" t="s">
        <v>681</v>
      </c>
      <c r="D257" t="s">
        <v>681</v>
      </c>
      <c r="F257" t="s">
        <v>182</v>
      </c>
      <c r="G257" t="s">
        <v>79</v>
      </c>
      <c r="H257">
        <v>3.2890000000000001</v>
      </c>
      <c r="I257">
        <v>6.3</v>
      </c>
      <c r="J257" s="9">
        <v>5</v>
      </c>
      <c r="K257" s="9">
        <v>10</v>
      </c>
      <c r="L257" s="9">
        <v>30</v>
      </c>
      <c r="M257" s="10">
        <v>60</v>
      </c>
      <c r="N257" s="10">
        <v>1</v>
      </c>
      <c r="O257" s="10">
        <v>3</v>
      </c>
      <c r="P257" s="19">
        <v>20</v>
      </c>
      <c r="Q257" s="22" t="s">
        <v>758</v>
      </c>
      <c r="R257">
        <v>5</v>
      </c>
      <c r="S257" s="26">
        <f>VLOOKUP($F257,Munition!$B:$P,10,FALSE)</f>
        <v>4.5</v>
      </c>
      <c r="T257" s="26">
        <f>VLOOKUP($F257,Munition!$B:$P,11,FALSE)</f>
        <v>450</v>
      </c>
      <c r="U257" s="28">
        <f t="shared" si="50"/>
        <v>489.49078767177474</v>
      </c>
      <c r="V257" s="26">
        <f>VLOOKUP($F257,Munition!$B:$P,5,FALSE)</f>
        <v>6.75</v>
      </c>
      <c r="W257" s="30">
        <f t="shared" ref="W257:W320" si="52">0.5 * (V257/1000) * (U257^2)</f>
        <v>808.6541553524288</v>
      </c>
      <c r="X257" s="26">
        <f>VLOOKUP($F257,Munition!$B:$P,15,FALSE)</f>
        <v>106.1032953945969</v>
      </c>
      <c r="Y257" s="26">
        <f>VLOOKUP($F257,Munition!$B:$P,9,FALSE)</f>
        <v>1</v>
      </c>
      <c r="Z257" s="26">
        <f>VLOOKUP($F257,Munition!$B:$P,14,FALSE)</f>
        <v>1.5586226552622361E-5</v>
      </c>
      <c r="AA257" s="30">
        <f t="shared" ref="AA257:AA320" si="53">0.0000001 * X257 * (2 * W257 / (V257/1000)) * Y257</f>
        <v>2.5422480212570964</v>
      </c>
      <c r="AB257" s="30">
        <f t="shared" ref="AB257:AB320" si="54">0.0000001 * $X257 * (2 * $W257 * EXP(-(2*$Z257/($V257/1000)) * J257) / ($V257/1000))  * $Y257</f>
        <v>2.4842182718893273</v>
      </c>
      <c r="AC257" s="30">
        <f t="shared" ref="AC257:AC320" si="55">0.0000001 * $X257 * (2 * $W257 * EXP(-(2*$Z257/($V257/1000)) * K257) / ($V257/1000))  * $Y257</f>
        <v>2.4275131186205736</v>
      </c>
      <c r="AD257" s="30">
        <f t="shared" ref="AD257:AD320" si="56">0.0000001 * $X257 * (2 * $W257 * EXP(-(2*$Z257/($V257/1000)) * L257) / ($V257/1000))  * $Y257</f>
        <v>2.2133440160170994</v>
      </c>
      <c r="AE257" s="30">
        <f t="shared" ref="AE257:AE320" si="57">0.0000001 * $X257 * (2 * $W257 * EXP(-(2*$Z257/($V257/1000)) * M257) / ($V257/1000))  * $Y257</f>
        <v>1.926992052811703</v>
      </c>
      <c r="AF257" s="32" t="str">
        <f t="shared" si="51"/>
        <v>2D6+1</v>
      </c>
      <c r="AG257" s="33" t="str">
        <f t="shared" ref="AG257:AG320" si="58">IF((SQRT($W257)*(7/AA257))&gt;=(SQRT($W257)),"-",IF(INT(SQRT($W257)*(7/AA257)/12)=0, MOD(INT(SQRT($W257)*(7/AA257)/4),3), INT(SQRT($W257)*(7/AA257)/12)  &amp; IF(MOD(INT(SQRT($W257)*(7/AA257)/4),3)=0, "", "+" &amp; MOD(INT(SQRT($W257)*(7/AA257)/4),3))))</f>
        <v>-</v>
      </c>
      <c r="AH257" s="33" t="str">
        <f t="shared" ref="AH257:AH320" si="59">IF((SQRT($W257)*(7/AB257))&gt;=(SQRT($W257)),"-",IF(INT(SQRT($W257)*(7/AB257)/12)=0, MOD(INT(SQRT($W257)*(7/AB257)/4),3), INT(SQRT($W257)*(7/AB257)/12)  &amp; IF(MOD(INT(SQRT($W257)*(7/AB257)/4),3)=0, "", "+" &amp; MOD(INT(SQRT($W257)*(7/AB257)/4),3))))</f>
        <v>-</v>
      </c>
      <c r="AI257" s="33" t="str">
        <f t="shared" ref="AI257:AI320" si="60">IF((SQRT($W257)*(7/AC257))&gt;=(SQRT($W257)),"-",IF(INT(SQRT($W257)*(7/AC257)/12)=0, MOD(INT(SQRT($W257)*(7/AC257)/4),3), INT(SQRT($W257)*(7/AC257)/12)  &amp; IF(MOD(INT(SQRT($W257)*(7/AC257)/4),3)=0, "", "+" &amp; MOD(INT(SQRT($W257)*(7/AC257)/4),3))))</f>
        <v>-</v>
      </c>
      <c r="AJ257" s="33" t="str">
        <f t="shared" ref="AJ257:AJ320" si="61">IF((SQRT($W257)*(7/AD257))&gt;=(SQRT($W257)),"-",IF(INT(SQRT($W257)*(7/AD257)/12)=0, MOD(INT(SQRT($W257)*(7/AD257)/4),3), INT(SQRT($W257)*(7/AD257)/12)  &amp; IF(MOD(INT(SQRT($W257)*(7/AD257)/4),3)=0, "", "+" &amp; MOD(INT(SQRT($W257)*(7/AD257)/4),3))))</f>
        <v>-</v>
      </c>
      <c r="AK257">
        <v>1976</v>
      </c>
    </row>
    <row r="258" spans="1:37">
      <c r="A258" t="s">
        <v>576</v>
      </c>
      <c r="B258" t="s">
        <v>450</v>
      </c>
      <c r="C258" t="s">
        <v>681</v>
      </c>
      <c r="D258" t="s">
        <v>681</v>
      </c>
      <c r="F258" t="s">
        <v>164</v>
      </c>
      <c r="G258" t="s">
        <v>451</v>
      </c>
      <c r="H258">
        <v>3</v>
      </c>
      <c r="I258">
        <v>18.5</v>
      </c>
      <c r="J258" s="9">
        <v>6</v>
      </c>
      <c r="K258" s="9">
        <v>12</v>
      </c>
      <c r="L258" s="9">
        <v>36</v>
      </c>
      <c r="M258" s="10">
        <v>72</v>
      </c>
      <c r="N258" s="10">
        <v>2</v>
      </c>
      <c r="O258" s="10"/>
      <c r="P258" s="18">
        <v>5</v>
      </c>
      <c r="Q258" s="22" t="s">
        <v>702</v>
      </c>
      <c r="R258">
        <v>1</v>
      </c>
      <c r="S258" s="26">
        <f>VLOOKUP($F258,Munition!$B:$P,10,FALSE)</f>
        <v>20</v>
      </c>
      <c r="T258" s="26">
        <f>VLOOKUP($F258,Munition!$B:$P,11,FALSE)</f>
        <v>390</v>
      </c>
      <c r="U258" s="28">
        <f t="shared" si="50"/>
        <v>382.47234643698175</v>
      </c>
      <c r="V258" s="26">
        <f>VLOOKUP($F258,Munition!$B:$P,5,FALSE)</f>
        <v>30</v>
      </c>
      <c r="W258" s="30">
        <f t="shared" si="52"/>
        <v>2194.2764368351586</v>
      </c>
      <c r="X258" s="26">
        <f>VLOOKUP($F258,Munition!$B:$P,15,FALSE)</f>
        <v>156.95753756597176</v>
      </c>
      <c r="Y258" s="26">
        <f>VLOOKUP($F258,Munition!$B:$P,9,FALSE)</f>
        <v>1</v>
      </c>
      <c r="Z258" s="26">
        <f>VLOOKUP($F258,Munition!$B:$P,14,FALSE)</f>
        <v>7.0241927663818098E-5</v>
      </c>
      <c r="AA258" s="30">
        <f t="shared" si="53"/>
        <v>2.2960548417645406</v>
      </c>
      <c r="AB258" s="30">
        <f t="shared" si="54"/>
        <v>2.2324409715246363</v>
      </c>
      <c r="AC258" s="30">
        <f t="shared" si="55"/>
        <v>2.1705895698518121</v>
      </c>
      <c r="AD258" s="30">
        <f t="shared" si="56"/>
        <v>1.9398521087471949</v>
      </c>
      <c r="AE258" s="30">
        <f t="shared" si="57"/>
        <v>1.6389095483969438</v>
      </c>
      <c r="AF258" s="32" t="str">
        <f t="shared" si="51"/>
        <v>3D6+2</v>
      </c>
      <c r="AG258" s="33" t="str">
        <f t="shared" si="58"/>
        <v>-</v>
      </c>
      <c r="AH258" s="33" t="str">
        <f t="shared" si="59"/>
        <v>-</v>
      </c>
      <c r="AI258" s="33" t="str">
        <f t="shared" si="60"/>
        <v>-</v>
      </c>
      <c r="AJ258" s="33" t="str">
        <f t="shared" si="61"/>
        <v>-</v>
      </c>
      <c r="AK258">
        <v>1960</v>
      </c>
    </row>
    <row r="259" spans="1:37">
      <c r="A259" t="s">
        <v>579</v>
      </c>
      <c r="B259" t="s">
        <v>452</v>
      </c>
      <c r="C259" t="s">
        <v>681</v>
      </c>
      <c r="D259" t="s">
        <v>681</v>
      </c>
      <c r="F259" t="s">
        <v>154</v>
      </c>
      <c r="G259" t="s">
        <v>155</v>
      </c>
      <c r="H259">
        <v>3.48</v>
      </c>
      <c r="I259">
        <v>20</v>
      </c>
      <c r="J259" s="9">
        <v>6</v>
      </c>
      <c r="K259" s="9">
        <v>12</v>
      </c>
      <c r="L259" s="9">
        <v>36</v>
      </c>
      <c r="M259" s="10">
        <v>72</v>
      </c>
      <c r="N259" s="10">
        <v>2</v>
      </c>
      <c r="O259" s="10"/>
      <c r="P259" s="18">
        <v>5</v>
      </c>
      <c r="Q259" s="22" t="s">
        <v>701</v>
      </c>
      <c r="R259">
        <v>1</v>
      </c>
      <c r="S259" s="26">
        <f>VLOOKUP($F259,Munition!$B:$P,10,FALSE)</f>
        <v>20</v>
      </c>
      <c r="T259" s="26">
        <f>VLOOKUP($F259,Munition!$B:$P,11,FALSE)</f>
        <v>408</v>
      </c>
      <c r="U259" s="28">
        <f t="shared" si="50"/>
        <v>408</v>
      </c>
      <c r="V259" s="26">
        <f>VLOOKUP($F259,Munition!$B:$P,5,FALSE)</f>
        <v>38</v>
      </c>
      <c r="W259" s="30">
        <f t="shared" si="52"/>
        <v>3162.8159999999998</v>
      </c>
      <c r="X259" s="26">
        <f>VLOOKUP($F259,Munition!$B:$P,15,FALSE)</f>
        <v>141.36772154838914</v>
      </c>
      <c r="Y259" s="26">
        <f>VLOOKUP($F259,Munition!$B:$P,9,FALSE)</f>
        <v>1</v>
      </c>
      <c r="Z259" s="26">
        <f>VLOOKUP($F259,Munition!$B:$P,14,FALSE)</f>
        <v>9.8784926622870443E-5</v>
      </c>
      <c r="AA259" s="30">
        <f t="shared" si="53"/>
        <v>2.3532636399831048</v>
      </c>
      <c r="AB259" s="30">
        <f t="shared" si="54"/>
        <v>2.2809862327741657</v>
      </c>
      <c r="AC259" s="30">
        <f t="shared" si="55"/>
        <v>2.2109287313607728</v>
      </c>
      <c r="AD259" s="30">
        <f t="shared" si="56"/>
        <v>1.9515651813932553</v>
      </c>
      <c r="AE259" s="30">
        <f t="shared" si="57"/>
        <v>1.6184360275306136</v>
      </c>
      <c r="AF259" s="32" t="str">
        <f t="shared" si="51"/>
        <v>4D6+2</v>
      </c>
      <c r="AG259" s="33" t="str">
        <f t="shared" si="58"/>
        <v>-</v>
      </c>
      <c r="AH259" s="33" t="str">
        <f t="shared" si="59"/>
        <v>-</v>
      </c>
      <c r="AI259" s="33" t="str">
        <f t="shared" si="60"/>
        <v>-</v>
      </c>
      <c r="AJ259" s="33" t="str">
        <f t="shared" si="61"/>
        <v>-</v>
      </c>
      <c r="AK259">
        <v>2006</v>
      </c>
    </row>
    <row r="260" spans="1:37">
      <c r="A260" t="s">
        <v>576</v>
      </c>
      <c r="B260" t="s">
        <v>453</v>
      </c>
      <c r="C260" t="s">
        <v>681</v>
      </c>
      <c r="D260" t="s">
        <v>681</v>
      </c>
      <c r="F260" t="s">
        <v>154</v>
      </c>
      <c r="G260" t="s">
        <v>155</v>
      </c>
      <c r="H260">
        <v>3</v>
      </c>
      <c r="I260">
        <v>22</v>
      </c>
      <c r="J260" s="9">
        <v>6</v>
      </c>
      <c r="K260" s="9">
        <v>12</v>
      </c>
      <c r="L260" s="9">
        <v>36</v>
      </c>
      <c r="M260" s="10">
        <v>72</v>
      </c>
      <c r="N260" s="10">
        <v>3</v>
      </c>
      <c r="O260" s="10"/>
      <c r="P260" s="18">
        <v>6</v>
      </c>
      <c r="Q260" s="22" t="s">
        <v>702</v>
      </c>
      <c r="R260">
        <v>1</v>
      </c>
      <c r="S260" s="26">
        <f>VLOOKUP($F260,Munition!$B:$P,10,FALSE)</f>
        <v>20</v>
      </c>
      <c r="T260" s="26">
        <f>VLOOKUP($F260,Munition!$B:$P,11,FALSE)</f>
        <v>408</v>
      </c>
      <c r="U260" s="28">
        <f t="shared" si="50"/>
        <v>417.83838514645362</v>
      </c>
      <c r="V260" s="26">
        <f>VLOOKUP($F260,Munition!$B:$P,5,FALSE)</f>
        <v>38</v>
      </c>
      <c r="W260" s="30">
        <f t="shared" si="52"/>
        <v>3317.1894059341262</v>
      </c>
      <c r="X260" s="26">
        <f>VLOOKUP($F260,Munition!$B:$P,15,FALSE)</f>
        <v>141.36772154838914</v>
      </c>
      <c r="Y260" s="26">
        <f>VLOOKUP($F260,Munition!$B:$P,9,FALSE)</f>
        <v>1</v>
      </c>
      <c r="Z260" s="26">
        <f>VLOOKUP($F260,Munition!$B:$P,14,FALSE)</f>
        <v>9.8784926622870443E-5</v>
      </c>
      <c r="AA260" s="30">
        <f t="shared" si="53"/>
        <v>2.4681237276913786</v>
      </c>
      <c r="AB260" s="30">
        <f t="shared" si="54"/>
        <v>2.3923185434878458</v>
      </c>
      <c r="AC260" s="30">
        <f t="shared" si="55"/>
        <v>2.3188416161247862</v>
      </c>
      <c r="AD260" s="30">
        <f t="shared" si="56"/>
        <v>2.0468188300260328</v>
      </c>
      <c r="AE260" s="30">
        <f t="shared" si="57"/>
        <v>1.6974300258714587</v>
      </c>
      <c r="AF260" s="32" t="str">
        <f t="shared" si="51"/>
        <v>4D6+2</v>
      </c>
      <c r="AG260" s="33" t="str">
        <f t="shared" si="58"/>
        <v>-</v>
      </c>
      <c r="AH260" s="33" t="str">
        <f t="shared" si="59"/>
        <v>-</v>
      </c>
      <c r="AI260" s="33" t="str">
        <f t="shared" si="60"/>
        <v>-</v>
      </c>
      <c r="AJ260" s="33" t="str">
        <f t="shared" si="61"/>
        <v>-</v>
      </c>
      <c r="AK260">
        <v>1988</v>
      </c>
    </row>
    <row r="261" spans="1:37">
      <c r="A261" t="s">
        <v>571</v>
      </c>
      <c r="B261" t="s">
        <v>454</v>
      </c>
      <c r="C261" t="s">
        <v>681</v>
      </c>
      <c r="D261" t="s">
        <v>681</v>
      </c>
      <c r="F261" t="s">
        <v>182</v>
      </c>
      <c r="G261" t="s">
        <v>455</v>
      </c>
      <c r="H261">
        <v>0.76</v>
      </c>
      <c r="I261">
        <v>4</v>
      </c>
      <c r="J261" s="9">
        <v>5</v>
      </c>
      <c r="K261" s="9">
        <v>10</v>
      </c>
      <c r="L261" s="9">
        <v>30</v>
      </c>
      <c r="M261" s="10">
        <v>60</v>
      </c>
      <c r="N261" s="10">
        <v>4</v>
      </c>
      <c r="O261" s="10"/>
      <c r="P261" s="18">
        <v>17</v>
      </c>
      <c r="Q261" s="22" t="s">
        <v>701</v>
      </c>
      <c r="R261">
        <v>1</v>
      </c>
      <c r="S261" s="26">
        <f>VLOOKUP($F261,Munition!$B:$P,10,FALSE)</f>
        <v>4.5</v>
      </c>
      <c r="T261" s="26">
        <f>VLOOKUP($F261,Munition!$B:$P,11,FALSE)</f>
        <v>450</v>
      </c>
      <c r="U261" s="28">
        <f t="shared" si="50"/>
        <v>436.94259453659112</v>
      </c>
      <c r="V261" s="26">
        <f>VLOOKUP($F261,Munition!$B:$P,5,FALSE)</f>
        <v>6.75</v>
      </c>
      <c r="W261" s="30">
        <f t="shared" si="52"/>
        <v>644.35105435624143</v>
      </c>
      <c r="X261" s="26">
        <f>VLOOKUP($F261,Munition!$B:$P,15,FALSE)</f>
        <v>106.1032953945969</v>
      </c>
      <c r="Y261" s="26">
        <f>VLOOKUP($F261,Munition!$B:$P,9,FALSE)</f>
        <v>1</v>
      </c>
      <c r="Z261" s="26">
        <f>VLOOKUP($F261,Munition!$B:$P,14,FALSE)</f>
        <v>1.5586226552622361E-5</v>
      </c>
      <c r="AA261" s="30">
        <f t="shared" si="53"/>
        <v>2.0257117113534884</v>
      </c>
      <c r="AB261" s="30">
        <f t="shared" si="54"/>
        <v>1.9794725002622475</v>
      </c>
      <c r="AC261" s="30">
        <f t="shared" si="55"/>
        <v>1.9342887526065766</v>
      </c>
      <c r="AD261" s="30">
        <f t="shared" si="56"/>
        <v>1.7636347268284795</v>
      </c>
      <c r="AE261" s="30">
        <f t="shared" si="57"/>
        <v>1.53546402098704</v>
      </c>
      <c r="AF261" s="32" t="str">
        <f t="shared" si="51"/>
        <v>2D6</v>
      </c>
      <c r="AG261" s="33" t="str">
        <f t="shared" si="58"/>
        <v>-</v>
      </c>
      <c r="AH261" s="33" t="str">
        <f t="shared" si="59"/>
        <v>-</v>
      </c>
      <c r="AI261" s="33" t="str">
        <f t="shared" si="60"/>
        <v>-</v>
      </c>
      <c r="AJ261" s="33" t="str">
        <f t="shared" si="61"/>
        <v>-</v>
      </c>
      <c r="AK261">
        <v>2000</v>
      </c>
    </row>
    <row r="262" spans="1:37">
      <c r="A262" t="s">
        <v>571</v>
      </c>
      <c r="B262" t="s">
        <v>456</v>
      </c>
      <c r="C262" t="s">
        <v>681</v>
      </c>
      <c r="D262" t="s">
        <v>681</v>
      </c>
      <c r="F262" t="s">
        <v>108</v>
      </c>
      <c r="G262" t="s">
        <v>103</v>
      </c>
      <c r="H262">
        <v>0.76</v>
      </c>
      <c r="I262">
        <v>4.4000000000000004</v>
      </c>
      <c r="J262" s="9">
        <v>5</v>
      </c>
      <c r="K262" s="9">
        <v>10</v>
      </c>
      <c r="L262" s="9">
        <v>30</v>
      </c>
      <c r="M262" s="10">
        <v>60</v>
      </c>
      <c r="N262" s="10">
        <v>4</v>
      </c>
      <c r="O262" s="10"/>
      <c r="P262" s="18">
        <v>17</v>
      </c>
      <c r="Q262" s="22" t="s">
        <v>701</v>
      </c>
      <c r="R262">
        <v>1</v>
      </c>
      <c r="S262" s="26">
        <f>VLOOKUP($F262,Munition!$B:$P,10,FALSE)</f>
        <v>5</v>
      </c>
      <c r="T262" s="26">
        <f>VLOOKUP($F262,Munition!$B:$P,11,FALSE)</f>
        <v>285</v>
      </c>
      <c r="U262" s="28">
        <f t="shared" si="50"/>
        <v>276.03587451331691</v>
      </c>
      <c r="V262" s="26">
        <f>VLOOKUP($F262,Munition!$B:$P,5,FALSE)</f>
        <v>14.84</v>
      </c>
      <c r="W262" s="30">
        <f t="shared" si="52"/>
        <v>565.37286581602075</v>
      </c>
      <c r="X262" s="26">
        <f>VLOOKUP($F262,Munition!$B:$P,15,FALSE)</f>
        <v>144.62772633198708</v>
      </c>
      <c r="Y262" s="26">
        <f>VLOOKUP($F262,Munition!$B:$P,9,FALSE)</f>
        <v>1</v>
      </c>
      <c r="Z262" s="26">
        <f>VLOOKUP($F262,Munition!$B:$P,14,FALSE)</f>
        <v>2.8281402907565187E-5</v>
      </c>
      <c r="AA262" s="30">
        <f t="shared" si="53"/>
        <v>1.1020025891208991</v>
      </c>
      <c r="AB262" s="30">
        <f t="shared" si="54"/>
        <v>1.0811999736762621</v>
      </c>
      <c r="AC262" s="30">
        <f t="shared" si="55"/>
        <v>1.0607900513283648</v>
      </c>
      <c r="AD262" s="30">
        <f t="shared" si="56"/>
        <v>0.98293111796394927</v>
      </c>
      <c r="AE262" s="30">
        <f t="shared" si="57"/>
        <v>0.87672532914154888</v>
      </c>
      <c r="AF262" s="32" t="str">
        <f t="shared" si="51"/>
        <v>1D6+2</v>
      </c>
      <c r="AG262" s="33" t="str">
        <f t="shared" si="58"/>
        <v>-</v>
      </c>
      <c r="AH262" s="33" t="str">
        <f t="shared" si="59"/>
        <v>-</v>
      </c>
      <c r="AI262" s="33" t="str">
        <f t="shared" si="60"/>
        <v>-</v>
      </c>
      <c r="AJ262" s="33" t="str">
        <f t="shared" si="61"/>
        <v>-</v>
      </c>
      <c r="AK262">
        <v>2000</v>
      </c>
    </row>
    <row r="263" spans="1:37">
      <c r="A263" t="s">
        <v>577</v>
      </c>
      <c r="B263" t="s">
        <v>457</v>
      </c>
      <c r="C263" t="s">
        <v>681</v>
      </c>
      <c r="D263" t="s">
        <v>681</v>
      </c>
      <c r="F263" t="s">
        <v>182</v>
      </c>
      <c r="G263" t="s">
        <v>79</v>
      </c>
      <c r="H263">
        <v>2.93</v>
      </c>
      <c r="I263">
        <v>10</v>
      </c>
      <c r="J263" s="9">
        <v>6</v>
      </c>
      <c r="K263" s="9">
        <v>12</v>
      </c>
      <c r="L263" s="9">
        <v>36</v>
      </c>
      <c r="M263" s="10">
        <v>72</v>
      </c>
      <c r="N263" s="10">
        <v>1</v>
      </c>
      <c r="O263" s="10">
        <v>3</v>
      </c>
      <c r="P263" s="19">
        <v>25</v>
      </c>
      <c r="Q263" s="22" t="s">
        <v>734</v>
      </c>
      <c r="R263">
        <v>5</v>
      </c>
      <c r="S263" s="26">
        <f>VLOOKUP($F263,Munition!$B:$P,10,FALSE)</f>
        <v>4.5</v>
      </c>
      <c r="T263" s="26">
        <f>VLOOKUP($F263,Munition!$B:$P,11,FALSE)</f>
        <v>450</v>
      </c>
      <c r="U263" s="28">
        <f t="shared" si="50"/>
        <v>549.42622522270597</v>
      </c>
      <c r="V263" s="26">
        <f>VLOOKUP($F263,Munition!$B:$P,5,FALSE)</f>
        <v>6.75</v>
      </c>
      <c r="W263" s="30">
        <f t="shared" si="52"/>
        <v>1018.8084722483417</v>
      </c>
      <c r="X263" s="26">
        <f>VLOOKUP($F263,Munition!$B:$P,15,FALSE)</f>
        <v>106.1032953945969</v>
      </c>
      <c r="Y263" s="26">
        <f>VLOOKUP($F263,Munition!$B:$P,9,FALSE)</f>
        <v>1</v>
      </c>
      <c r="Z263" s="26">
        <f>VLOOKUP($F263,Munition!$B:$P,14,FALSE)</f>
        <v>1.5586226552622361E-5</v>
      </c>
      <c r="AA263" s="30">
        <f t="shared" si="53"/>
        <v>3.2029314453772968</v>
      </c>
      <c r="AB263" s="30">
        <f t="shared" si="54"/>
        <v>3.1154002025910215</v>
      </c>
      <c r="AC263" s="30">
        <f t="shared" si="55"/>
        <v>3.0302610554815899</v>
      </c>
      <c r="AD263" s="30">
        <f t="shared" si="56"/>
        <v>2.7123444834047388</v>
      </c>
      <c r="AE263" s="30">
        <f t="shared" si="57"/>
        <v>2.2968998001109275</v>
      </c>
      <c r="AF263" s="32" t="str">
        <f t="shared" si="51"/>
        <v>2D6+1</v>
      </c>
      <c r="AG263" s="33" t="str">
        <f t="shared" si="58"/>
        <v>-</v>
      </c>
      <c r="AH263" s="33" t="str">
        <f t="shared" si="59"/>
        <v>-</v>
      </c>
      <c r="AI263" s="33" t="str">
        <f t="shared" si="60"/>
        <v>-</v>
      </c>
      <c r="AJ263" s="33" t="str">
        <f t="shared" si="61"/>
        <v>-</v>
      </c>
      <c r="AK263">
        <v>1981</v>
      </c>
    </row>
    <row r="264" spans="1:37">
      <c r="A264" t="s">
        <v>574</v>
      </c>
      <c r="B264" t="s">
        <v>458</v>
      </c>
      <c r="C264" t="s">
        <v>681</v>
      </c>
      <c r="D264" t="s">
        <v>681</v>
      </c>
      <c r="F264" t="s">
        <v>10</v>
      </c>
      <c r="G264" t="s">
        <v>11</v>
      </c>
      <c r="H264">
        <v>7.6</v>
      </c>
      <c r="I264">
        <v>18</v>
      </c>
      <c r="J264" s="9">
        <v>50</v>
      </c>
      <c r="K264" s="9">
        <v>100</v>
      </c>
      <c r="L264" s="9">
        <v>300</v>
      </c>
      <c r="M264" s="10">
        <v>600</v>
      </c>
      <c r="N264" s="10"/>
      <c r="O264" s="10">
        <v>5</v>
      </c>
      <c r="P264" s="18">
        <v>50</v>
      </c>
      <c r="Q264" s="22" t="s">
        <v>713</v>
      </c>
      <c r="R264">
        <v>15</v>
      </c>
      <c r="S264" s="26">
        <f>VLOOKUP($F264,Munition!$B:$P,10,FALSE)</f>
        <v>20</v>
      </c>
      <c r="T264" s="26">
        <f>VLOOKUP($F264,Munition!$B:$P,11,FALSE)</f>
        <v>878</v>
      </c>
      <c r="U264" s="28">
        <f t="shared" si="50"/>
        <v>855.17528936141059</v>
      </c>
      <c r="V264" s="26">
        <f>VLOOKUP($F264,Munition!$B:$P,5,FALSE)</f>
        <v>3.56</v>
      </c>
      <c r="W264" s="30">
        <f t="shared" si="52"/>
        <v>1301.7581004511828</v>
      </c>
      <c r="X264" s="26">
        <f>VLOOKUP($F264,Munition!$B:$P,15,FALSE)</f>
        <v>146.62584685242678</v>
      </c>
      <c r="Y264" s="26">
        <f>VLOOKUP($F264,Munition!$B:$P,9,FALSE)</f>
        <v>1</v>
      </c>
      <c r="Z264" s="26">
        <f>VLOOKUP($F264,Munition!$B:$P,14,FALSE)</f>
        <v>3.7177960891755132E-6</v>
      </c>
      <c r="AA264" s="30">
        <f t="shared" si="53"/>
        <v>10.723111453688826</v>
      </c>
      <c r="AB264" s="30">
        <f t="shared" si="54"/>
        <v>9.6597608062446394</v>
      </c>
      <c r="AC264" s="30">
        <f t="shared" si="55"/>
        <v>8.7018566613667385</v>
      </c>
      <c r="AD264" s="30">
        <f t="shared" si="56"/>
        <v>5.7305213612218857</v>
      </c>
      <c r="AE264" s="30">
        <f t="shared" si="57"/>
        <v>3.0624390330405018</v>
      </c>
      <c r="AF264" s="32" t="str">
        <f t="shared" si="51"/>
        <v>3D6</v>
      </c>
      <c r="AG264" s="33" t="str">
        <f t="shared" si="58"/>
        <v>1+2</v>
      </c>
      <c r="AH264" s="33" t="str">
        <f t="shared" si="59"/>
        <v>2</v>
      </c>
      <c r="AI264" s="33" t="str">
        <f t="shared" si="60"/>
        <v>2+1</v>
      </c>
      <c r="AJ264" s="33" t="str">
        <f t="shared" si="61"/>
        <v>-</v>
      </c>
      <c r="AK264">
        <v>1997</v>
      </c>
    </row>
    <row r="265" spans="1:37">
      <c r="A265" t="s">
        <v>576</v>
      </c>
      <c r="B265" t="s">
        <v>459</v>
      </c>
      <c r="C265" t="s">
        <v>681</v>
      </c>
      <c r="D265" t="s">
        <v>681</v>
      </c>
      <c r="F265" t="s">
        <v>154</v>
      </c>
      <c r="G265" t="s">
        <v>155</v>
      </c>
      <c r="H265">
        <v>3.9</v>
      </c>
      <c r="I265">
        <v>18.5</v>
      </c>
      <c r="J265" s="9">
        <v>6</v>
      </c>
      <c r="K265" s="9">
        <v>12</v>
      </c>
      <c r="L265" s="9">
        <v>36</v>
      </c>
      <c r="M265" s="10">
        <v>72</v>
      </c>
      <c r="N265" s="10">
        <v>2</v>
      </c>
      <c r="O265" s="10"/>
      <c r="P265" s="18">
        <v>5</v>
      </c>
      <c r="Q265" s="22" t="s">
        <v>702</v>
      </c>
      <c r="R265">
        <v>1</v>
      </c>
      <c r="S265" s="26">
        <f>VLOOKUP($F265,Munition!$B:$P,10,FALSE)</f>
        <v>20</v>
      </c>
      <c r="T265" s="26">
        <f>VLOOKUP($F265,Munition!$B:$P,11,FALSE)</f>
        <v>408</v>
      </c>
      <c r="U265" s="28">
        <f t="shared" si="50"/>
        <v>400.12491627253473</v>
      </c>
      <c r="V265" s="26">
        <f>VLOOKUP($F265,Munition!$B:$P,5,FALSE)</f>
        <v>38</v>
      </c>
      <c r="W265" s="30">
        <f t="shared" si="52"/>
        <v>3041.8990238199558</v>
      </c>
      <c r="X265" s="26">
        <f>VLOOKUP($F265,Munition!$B:$P,15,FALSE)</f>
        <v>141.36772154838914</v>
      </c>
      <c r="Y265" s="26">
        <f>VLOOKUP($F265,Munition!$B:$P,9,FALSE)</f>
        <v>1</v>
      </c>
      <c r="Z265" s="26">
        <f>VLOOKUP($F265,Munition!$B:$P,14,FALSE)</f>
        <v>9.8784926622870443E-5</v>
      </c>
      <c r="AA265" s="30">
        <f t="shared" si="53"/>
        <v>2.2632964956720856</v>
      </c>
      <c r="AB265" s="30">
        <f t="shared" si="54"/>
        <v>2.1937823113397972</v>
      </c>
      <c r="AC265" s="30">
        <f t="shared" si="55"/>
        <v>2.1264031640354122</v>
      </c>
      <c r="AD265" s="30">
        <f t="shared" si="56"/>
        <v>1.8769552892742285</v>
      </c>
      <c r="AE265" s="30">
        <f t="shared" si="57"/>
        <v>1.5565619284398526</v>
      </c>
      <c r="AF265" s="32" t="str">
        <f t="shared" si="51"/>
        <v>4D6+1</v>
      </c>
      <c r="AG265" s="33" t="str">
        <f t="shared" si="58"/>
        <v>-</v>
      </c>
      <c r="AH265" s="33" t="str">
        <f t="shared" si="59"/>
        <v>-</v>
      </c>
      <c r="AI265" s="33" t="str">
        <f t="shared" si="60"/>
        <v>-</v>
      </c>
      <c r="AJ265" s="33" t="str">
        <f t="shared" si="61"/>
        <v>-</v>
      </c>
      <c r="AK265">
        <v>2000</v>
      </c>
    </row>
    <row r="266" spans="1:37">
      <c r="A266" t="s">
        <v>575</v>
      </c>
      <c r="B266" t="s">
        <v>460</v>
      </c>
      <c r="C266" t="s">
        <v>681</v>
      </c>
      <c r="D266" t="s">
        <v>681</v>
      </c>
      <c r="F266" t="s">
        <v>5</v>
      </c>
      <c r="G266" t="s">
        <v>6</v>
      </c>
      <c r="H266">
        <v>3.83</v>
      </c>
      <c r="I266">
        <v>16.3</v>
      </c>
      <c r="J266" s="9">
        <v>50</v>
      </c>
      <c r="K266" s="9">
        <v>100</v>
      </c>
      <c r="L266" s="9">
        <v>300</v>
      </c>
      <c r="M266" s="10">
        <v>600</v>
      </c>
      <c r="N266" s="10">
        <v>2</v>
      </c>
      <c r="O266" s="10">
        <v>2</v>
      </c>
      <c r="P266" s="19">
        <v>30</v>
      </c>
      <c r="Q266" s="22" t="s">
        <v>759</v>
      </c>
      <c r="R266">
        <v>2</v>
      </c>
      <c r="S266" s="26">
        <f>VLOOKUP($F266,Munition!$B:$P,10,FALSE)</f>
        <v>16</v>
      </c>
      <c r="T266" s="26">
        <f>VLOOKUP($F266,Munition!$B:$P,11,FALSE)</f>
        <v>900</v>
      </c>
      <c r="U266" s="28">
        <f t="shared" si="50"/>
        <v>904.18940722978334</v>
      </c>
      <c r="V266" s="26">
        <f>VLOOKUP($F266,Munition!$B:$P,5,FALSE)</f>
        <v>3.43</v>
      </c>
      <c r="W266" s="30">
        <f t="shared" si="52"/>
        <v>1402.1128003113281</v>
      </c>
      <c r="X266" s="26">
        <f>VLOOKUP($F266,Munition!$B:$P,15,FALSE)</f>
        <v>147.03178649748705</v>
      </c>
      <c r="Y266" s="26">
        <f>VLOOKUP($F266,Munition!$B:$P,9,FALSE)</f>
        <v>1</v>
      </c>
      <c r="Z266" s="26">
        <f>VLOOKUP($F266,Munition!$B:$P,14,FALSE)</f>
        <v>3.5721442452103835E-6</v>
      </c>
      <c r="AA266" s="30">
        <f t="shared" si="53"/>
        <v>12.020708449024424</v>
      </c>
      <c r="AB266" s="30">
        <f t="shared" si="54"/>
        <v>10.831805061460075</v>
      </c>
      <c r="AC266" s="30">
        <f t="shared" si="55"/>
        <v>9.7604896905218776</v>
      </c>
      <c r="AD266" s="30">
        <f t="shared" si="56"/>
        <v>6.4350910106218064</v>
      </c>
      <c r="AE266" s="30">
        <f t="shared" si="57"/>
        <v>3.4449214445714613</v>
      </c>
      <c r="AF266" s="32" t="str">
        <f t="shared" si="51"/>
        <v>3D6</v>
      </c>
      <c r="AG266" s="33" t="str">
        <f t="shared" si="58"/>
        <v>1+2</v>
      </c>
      <c r="AH266" s="33" t="str">
        <f t="shared" si="59"/>
        <v>2</v>
      </c>
      <c r="AI266" s="33" t="str">
        <f t="shared" si="60"/>
        <v>2</v>
      </c>
      <c r="AJ266" s="33" t="str">
        <f t="shared" si="61"/>
        <v>-</v>
      </c>
      <c r="AK266">
        <v>1997</v>
      </c>
    </row>
    <row r="267" spans="1:37">
      <c r="A267" t="s">
        <v>574</v>
      </c>
      <c r="B267" t="s">
        <v>461</v>
      </c>
      <c r="C267" t="s">
        <v>681</v>
      </c>
      <c r="D267" t="s">
        <v>681</v>
      </c>
      <c r="F267" t="s">
        <v>127</v>
      </c>
      <c r="G267" t="s">
        <v>128</v>
      </c>
      <c r="H267">
        <v>4.0999999999999996</v>
      </c>
      <c r="I267">
        <v>18.2</v>
      </c>
      <c r="J267" s="9">
        <v>75</v>
      </c>
      <c r="K267" s="9">
        <v>150</v>
      </c>
      <c r="L267" s="9">
        <v>450</v>
      </c>
      <c r="M267" s="10">
        <v>900</v>
      </c>
      <c r="N267" s="10">
        <v>2</v>
      </c>
      <c r="O267" s="10">
        <v>10</v>
      </c>
      <c r="P267" s="19">
        <v>75</v>
      </c>
      <c r="Q267" s="22" t="s">
        <v>716</v>
      </c>
      <c r="R267">
        <v>10</v>
      </c>
      <c r="S267" s="26">
        <f>VLOOKUP($F267,Munition!$B:$P,10,FALSE)</f>
        <v>18</v>
      </c>
      <c r="T267" s="26">
        <f>VLOOKUP($F267,Munition!$B:$P,11,FALSE)</f>
        <v>970</v>
      </c>
      <c r="U267" s="28">
        <f t="shared" si="50"/>
        <v>972.68328980796048</v>
      </c>
      <c r="V267" s="26">
        <f>VLOOKUP($F267,Munition!$B:$P,5,FALSE)</f>
        <v>4.1500000000000004</v>
      </c>
      <c r="W267" s="30">
        <f t="shared" si="52"/>
        <v>1963.1840232136465</v>
      </c>
      <c r="X267" s="26">
        <f>VLOOKUP($F267,Munition!$B:$P,15,FALSE)</f>
        <v>157.07324942481944</v>
      </c>
      <c r="Y267" s="26">
        <f>VLOOKUP($F267,Munition!$B:$P,9,FALSE)</f>
        <v>1</v>
      </c>
      <c r="Z267" s="26">
        <f>VLOOKUP($F267,Munition!$B:$P,14,FALSE)</f>
        <v>4.0456841144306814E-6</v>
      </c>
      <c r="AA267" s="30">
        <f t="shared" si="53"/>
        <v>14.860900903376269</v>
      </c>
      <c r="AB267" s="30">
        <f t="shared" si="54"/>
        <v>12.839214459396855</v>
      </c>
      <c r="AC267" s="30">
        <f t="shared" si="55"/>
        <v>11.092559529613299</v>
      </c>
      <c r="AD267" s="30">
        <f t="shared" si="56"/>
        <v>6.1802355503831716</v>
      </c>
      <c r="AE267" s="30">
        <f t="shared" si="57"/>
        <v>2.5701881539054154</v>
      </c>
      <c r="AF267" s="32" t="str">
        <f t="shared" si="51"/>
        <v>3D6+2</v>
      </c>
      <c r="AG267" s="33" t="str">
        <f t="shared" si="58"/>
        <v>1+2</v>
      </c>
      <c r="AH267" s="33" t="str">
        <f t="shared" si="59"/>
        <v>2</v>
      </c>
      <c r="AI267" s="33" t="str">
        <f t="shared" si="60"/>
        <v>2</v>
      </c>
      <c r="AJ267" s="33" t="str">
        <f t="shared" si="61"/>
        <v>-</v>
      </c>
      <c r="AK267">
        <v>1995</v>
      </c>
    </row>
    <row r="268" spans="1:37">
      <c r="A268" t="s">
        <v>572</v>
      </c>
      <c r="B268" t="s">
        <v>462</v>
      </c>
      <c r="C268" t="s">
        <v>681</v>
      </c>
      <c r="D268" t="s">
        <v>681</v>
      </c>
      <c r="F268" t="s">
        <v>127</v>
      </c>
      <c r="G268" t="s">
        <v>128</v>
      </c>
      <c r="H268">
        <v>4.0999999999999996</v>
      </c>
      <c r="I268">
        <v>24.4</v>
      </c>
      <c r="J268" s="9">
        <v>83</v>
      </c>
      <c r="K268" s="9">
        <v>166</v>
      </c>
      <c r="L268" s="9">
        <v>498</v>
      </c>
      <c r="M268" s="10">
        <v>996</v>
      </c>
      <c r="N268" s="10">
        <v>2</v>
      </c>
      <c r="O268" s="10"/>
      <c r="P268" s="18">
        <v>10</v>
      </c>
      <c r="Q268" s="22" t="s">
        <v>701</v>
      </c>
      <c r="R268">
        <v>1</v>
      </c>
      <c r="S268" s="26">
        <f>VLOOKUP($F268,Munition!$B:$P,10,FALSE)</f>
        <v>18</v>
      </c>
      <c r="T268" s="26">
        <f>VLOOKUP($F268,Munition!$B:$P,11,FALSE)</f>
        <v>970</v>
      </c>
      <c r="U268" s="28">
        <f t="shared" si="50"/>
        <v>1046.6490041733352</v>
      </c>
      <c r="V268" s="26">
        <f>VLOOKUP($F268,Munition!$B:$P,5,FALSE)</f>
        <v>4.1500000000000004</v>
      </c>
      <c r="W268" s="30">
        <f t="shared" si="52"/>
        <v>2273.1088362193459</v>
      </c>
      <c r="X268" s="26">
        <f>VLOOKUP($F268,Munition!$B:$P,15,FALSE)</f>
        <v>157.07324942481944</v>
      </c>
      <c r="Y268" s="26">
        <f>VLOOKUP($F268,Munition!$B:$P,9,FALSE)</f>
        <v>1</v>
      </c>
      <c r="Z268" s="26">
        <f>VLOOKUP($F268,Munition!$B:$P,14,FALSE)</f>
        <v>4.0456841144306814E-6</v>
      </c>
      <c r="AA268" s="30">
        <f t="shared" si="53"/>
        <v>17.206968250662282</v>
      </c>
      <c r="AB268" s="30">
        <f t="shared" si="54"/>
        <v>14.636041286667679</v>
      </c>
      <c r="AC268" s="30">
        <f t="shared" si="55"/>
        <v>12.449241576115305</v>
      </c>
      <c r="AD268" s="30">
        <f t="shared" si="56"/>
        <v>6.5165835627655548</v>
      </c>
      <c r="AE268" s="30">
        <f t="shared" si="57"/>
        <v>2.4679455852934309</v>
      </c>
      <c r="AF268" s="32" t="str">
        <f t="shared" si="51"/>
        <v>3D6+2</v>
      </c>
      <c r="AG268" s="33" t="str">
        <f t="shared" si="58"/>
        <v>1+1</v>
      </c>
      <c r="AH268" s="33" t="str">
        <f t="shared" si="59"/>
        <v>1+2</v>
      </c>
      <c r="AI268" s="33" t="str">
        <f t="shared" si="60"/>
        <v>2</v>
      </c>
      <c r="AJ268" s="33" t="str">
        <f t="shared" si="61"/>
        <v>-</v>
      </c>
      <c r="AK268">
        <v>1988</v>
      </c>
    </row>
    <row r="269" spans="1:37">
      <c r="A269" t="s">
        <v>575</v>
      </c>
      <c r="B269" t="s">
        <v>463</v>
      </c>
      <c r="C269" t="s">
        <v>681</v>
      </c>
      <c r="D269" t="s">
        <v>681</v>
      </c>
      <c r="F269" t="s">
        <v>127</v>
      </c>
      <c r="G269" t="s">
        <v>128</v>
      </c>
      <c r="H269">
        <v>3.5</v>
      </c>
      <c r="I269">
        <v>18.2</v>
      </c>
      <c r="J269" s="9">
        <v>50</v>
      </c>
      <c r="K269" s="9">
        <v>100</v>
      </c>
      <c r="L269" s="9">
        <v>300</v>
      </c>
      <c r="M269" s="10">
        <v>600</v>
      </c>
      <c r="N269" s="10">
        <v>2</v>
      </c>
      <c r="O269" s="10">
        <v>5</v>
      </c>
      <c r="P269" s="19">
        <v>30</v>
      </c>
      <c r="Q269" s="22" t="s">
        <v>726</v>
      </c>
      <c r="R269">
        <v>3</v>
      </c>
      <c r="S269" s="26">
        <f>VLOOKUP($F269,Munition!$B:$P,10,FALSE)</f>
        <v>18</v>
      </c>
      <c r="T269" s="26">
        <f>VLOOKUP($F269,Munition!$B:$P,11,FALSE)</f>
        <v>970</v>
      </c>
      <c r="U269" s="28">
        <f t="shared" si="50"/>
        <v>972.68328980796048</v>
      </c>
      <c r="V269" s="26">
        <f>VLOOKUP($F269,Munition!$B:$P,5,FALSE)</f>
        <v>4.1500000000000004</v>
      </c>
      <c r="W269" s="30">
        <f t="shared" si="52"/>
        <v>1963.1840232136465</v>
      </c>
      <c r="X269" s="26">
        <f>VLOOKUP($F269,Munition!$B:$P,15,FALSE)</f>
        <v>157.07324942481944</v>
      </c>
      <c r="Y269" s="26">
        <f>VLOOKUP($F269,Munition!$B:$P,9,FALSE)</f>
        <v>1</v>
      </c>
      <c r="Z269" s="26">
        <f>VLOOKUP($F269,Munition!$B:$P,14,FALSE)</f>
        <v>4.0456841144306814E-6</v>
      </c>
      <c r="AA269" s="30">
        <f t="shared" si="53"/>
        <v>14.860900903376269</v>
      </c>
      <c r="AB269" s="30">
        <f t="shared" si="54"/>
        <v>13.480541823757846</v>
      </c>
      <c r="AC269" s="30">
        <f t="shared" si="55"/>
        <v>12.228397796582991</v>
      </c>
      <c r="AD269" s="30">
        <f t="shared" si="56"/>
        <v>8.2797723851358214</v>
      </c>
      <c r="AE269" s="30">
        <f t="shared" si="57"/>
        <v>4.6130871335049886</v>
      </c>
      <c r="AF269" s="32" t="str">
        <f t="shared" si="51"/>
        <v>3D6+2</v>
      </c>
      <c r="AG269" s="33" t="str">
        <f t="shared" si="58"/>
        <v>1+2</v>
      </c>
      <c r="AH269" s="33" t="str">
        <f t="shared" si="59"/>
        <v>1+2</v>
      </c>
      <c r="AI269" s="33" t="str">
        <f t="shared" si="60"/>
        <v>2</v>
      </c>
      <c r="AJ269" s="33" t="str">
        <f t="shared" si="61"/>
        <v>3</v>
      </c>
      <c r="AK269">
        <v>1995</v>
      </c>
    </row>
    <row r="270" spans="1:37">
      <c r="A270" t="s">
        <v>575</v>
      </c>
      <c r="B270" t="s">
        <v>464</v>
      </c>
      <c r="C270" t="s">
        <v>681</v>
      </c>
      <c r="D270" t="s">
        <v>681</v>
      </c>
      <c r="F270" t="s">
        <v>10</v>
      </c>
      <c r="G270" t="s">
        <v>465</v>
      </c>
      <c r="H270">
        <v>3.6</v>
      </c>
      <c r="I270">
        <v>18.2</v>
      </c>
      <c r="J270" s="9">
        <v>50</v>
      </c>
      <c r="K270" s="9">
        <v>100</v>
      </c>
      <c r="L270" s="9">
        <v>300</v>
      </c>
      <c r="M270" s="10">
        <v>600</v>
      </c>
      <c r="N270" s="10">
        <v>2</v>
      </c>
      <c r="O270" s="10">
        <v>5</v>
      </c>
      <c r="P270" s="19">
        <v>30</v>
      </c>
      <c r="Q270" s="22" t="s">
        <v>726</v>
      </c>
      <c r="R270">
        <v>3</v>
      </c>
      <c r="S270" s="26">
        <f>VLOOKUP($F270,Munition!$B:$P,10,FALSE)</f>
        <v>20</v>
      </c>
      <c r="T270" s="26">
        <f>VLOOKUP($F270,Munition!$B:$P,11,FALSE)</f>
        <v>878</v>
      </c>
      <c r="U270" s="28">
        <f t="shared" si="50"/>
        <v>857.54094208096012</v>
      </c>
      <c r="V270" s="26">
        <f>VLOOKUP($F270,Munition!$B:$P,5,FALSE)</f>
        <v>3.56</v>
      </c>
      <c r="W270" s="30">
        <f t="shared" si="52"/>
        <v>1308.9701118742792</v>
      </c>
      <c r="X270" s="26">
        <f>VLOOKUP($F270,Munition!$B:$P,15,FALSE)</f>
        <v>146.62584685242678</v>
      </c>
      <c r="Y270" s="26">
        <f>VLOOKUP($F270,Munition!$B:$P,9,FALSE)</f>
        <v>1</v>
      </c>
      <c r="Z270" s="26">
        <f>VLOOKUP($F270,Munition!$B:$P,14,FALSE)</f>
        <v>3.7177960891755132E-6</v>
      </c>
      <c r="AA270" s="30">
        <f t="shared" si="53"/>
        <v>10.782519727982134</v>
      </c>
      <c r="AB270" s="30">
        <f t="shared" si="54"/>
        <v>9.7132778961362778</v>
      </c>
      <c r="AC270" s="30">
        <f t="shared" si="55"/>
        <v>8.7500667624770561</v>
      </c>
      <c r="AD270" s="30">
        <f t="shared" si="56"/>
        <v>5.7622696449491819</v>
      </c>
      <c r="AE270" s="30">
        <f t="shared" si="57"/>
        <v>3.0794055841079921</v>
      </c>
      <c r="AF270" s="32" t="str">
        <f t="shared" si="51"/>
        <v>3D6</v>
      </c>
      <c r="AG270" s="33" t="str">
        <f t="shared" si="58"/>
        <v>1+2</v>
      </c>
      <c r="AH270" s="33" t="str">
        <f t="shared" si="59"/>
        <v>2</v>
      </c>
      <c r="AI270" s="33" t="str">
        <f t="shared" si="60"/>
        <v>2+1</v>
      </c>
      <c r="AJ270" s="33" t="str">
        <f t="shared" si="61"/>
        <v>-</v>
      </c>
      <c r="AK270">
        <v>1997</v>
      </c>
    </row>
    <row r="271" spans="1:37">
      <c r="A271" t="s">
        <v>571</v>
      </c>
      <c r="B271" t="s">
        <v>466</v>
      </c>
      <c r="C271" t="s">
        <v>681</v>
      </c>
      <c r="D271" t="s">
        <v>681</v>
      </c>
      <c r="F271" t="s">
        <v>64</v>
      </c>
      <c r="G271" t="s">
        <v>65</v>
      </c>
      <c r="H271">
        <v>1.08</v>
      </c>
      <c r="I271">
        <v>4</v>
      </c>
      <c r="J271" s="9">
        <v>3</v>
      </c>
      <c r="K271" s="9">
        <v>6</v>
      </c>
      <c r="L271" s="9">
        <v>18</v>
      </c>
      <c r="M271" s="10">
        <v>36</v>
      </c>
      <c r="N271" s="10">
        <v>2</v>
      </c>
      <c r="O271" s="10"/>
      <c r="P271" s="18">
        <v>9</v>
      </c>
      <c r="Q271" s="22" t="s">
        <v>701</v>
      </c>
      <c r="R271">
        <v>1</v>
      </c>
      <c r="S271" s="26">
        <f>VLOOKUP($F271,Munition!$B:$P,10,FALSE)</f>
        <v>4</v>
      </c>
      <c r="T271" s="26">
        <f>VLOOKUP($F271,Munition!$B:$P,11,FALSE)</f>
        <v>318</v>
      </c>
      <c r="U271" s="28">
        <f t="shared" si="50"/>
        <v>318</v>
      </c>
      <c r="V271" s="26">
        <f>VLOOKUP($F271,Munition!$B:$P,5,FALSE)</f>
        <v>4.7</v>
      </c>
      <c r="W271" s="30">
        <f t="shared" si="52"/>
        <v>237.6414</v>
      </c>
      <c r="X271" s="26">
        <f>VLOOKUP($F271,Munition!$B:$P,15,FALSE)</f>
        <v>102.25513025341134</v>
      </c>
      <c r="Y271" s="26">
        <f>VLOOKUP($F271,Munition!$B:$P,9,FALSE)</f>
        <v>1</v>
      </c>
      <c r="Z271" s="26">
        <f>VLOOKUP($F271,Munition!$B:$P,14,FALSE)</f>
        <v>1.1261048684269658E-5</v>
      </c>
      <c r="AA271" s="30">
        <f t="shared" si="53"/>
        <v>1.0340447791745968</v>
      </c>
      <c r="AB271" s="30">
        <f t="shared" si="54"/>
        <v>1.0192858908151254</v>
      </c>
      <c r="AC271" s="30">
        <f t="shared" si="55"/>
        <v>1.0047376556014314</v>
      </c>
      <c r="AD271" s="30">
        <f t="shared" si="56"/>
        <v>0.94859175333103973</v>
      </c>
      <c r="AE271" s="30">
        <f t="shared" si="57"/>
        <v>0.87020052961915495</v>
      </c>
      <c r="AF271" s="32" t="str">
        <f t="shared" si="51"/>
        <v>1D6</v>
      </c>
      <c r="AG271" s="33" t="str">
        <f t="shared" si="58"/>
        <v>-</v>
      </c>
      <c r="AH271" s="33" t="str">
        <f t="shared" si="59"/>
        <v>-</v>
      </c>
      <c r="AI271" s="33" t="str">
        <f t="shared" si="60"/>
        <v>-</v>
      </c>
      <c r="AJ271" s="33" t="str">
        <f t="shared" si="61"/>
        <v>-</v>
      </c>
      <c r="AK271">
        <v>1964</v>
      </c>
    </row>
    <row r="272" spans="1:37">
      <c r="A272" t="s">
        <v>571</v>
      </c>
      <c r="B272" t="s">
        <v>467</v>
      </c>
      <c r="C272" t="s">
        <v>681</v>
      </c>
      <c r="D272" t="s">
        <v>681</v>
      </c>
      <c r="F272" t="s">
        <v>64</v>
      </c>
      <c r="G272" t="s">
        <v>65</v>
      </c>
      <c r="H272">
        <v>1.08</v>
      </c>
      <c r="I272">
        <v>23.6</v>
      </c>
      <c r="J272" s="9">
        <v>3</v>
      </c>
      <c r="K272" s="9">
        <v>6</v>
      </c>
      <c r="L272" s="9">
        <v>18</v>
      </c>
      <c r="M272" s="10">
        <v>36</v>
      </c>
      <c r="N272" s="10">
        <v>2</v>
      </c>
      <c r="O272" s="10"/>
      <c r="P272" s="18">
        <v>9</v>
      </c>
      <c r="Q272" s="22" t="s">
        <v>714</v>
      </c>
      <c r="R272">
        <v>1</v>
      </c>
      <c r="S272" s="26">
        <f>VLOOKUP($F272,Munition!$B:$P,10,FALSE)</f>
        <v>4</v>
      </c>
      <c r="T272" s="26">
        <f>VLOOKUP($F272,Munition!$B:$P,11,FALSE)</f>
        <v>318</v>
      </c>
      <c r="U272" s="28">
        <f t="shared" si="50"/>
        <v>495.6100710675658</v>
      </c>
      <c r="V272" s="26">
        <f>VLOOKUP($F272,Munition!$B:$P,5,FALSE)</f>
        <v>4.7</v>
      </c>
      <c r="W272" s="30">
        <f t="shared" si="52"/>
        <v>577.22895497745446</v>
      </c>
      <c r="X272" s="26">
        <f>VLOOKUP($F272,Munition!$B:$P,15,FALSE)</f>
        <v>102.25513025341134</v>
      </c>
      <c r="Y272" s="26">
        <f>VLOOKUP($F272,Munition!$B:$P,9,FALSE)</f>
        <v>1</v>
      </c>
      <c r="Z272" s="26">
        <f>VLOOKUP($F272,Munition!$B:$P,14,FALSE)</f>
        <v>1.1261048684269658E-5</v>
      </c>
      <c r="AA272" s="30">
        <f t="shared" si="53"/>
        <v>2.5116860415855364</v>
      </c>
      <c r="AB272" s="30">
        <f t="shared" si="54"/>
        <v>2.4758368263209971</v>
      </c>
      <c r="AC272" s="30">
        <f t="shared" si="55"/>
        <v>2.4404992857697008</v>
      </c>
      <c r="AD272" s="30">
        <f t="shared" si="56"/>
        <v>2.3041213630095907</v>
      </c>
      <c r="AE272" s="30">
        <f t="shared" si="57"/>
        <v>2.1137097422119724</v>
      </c>
      <c r="AF272" s="32" t="str">
        <f t="shared" si="51"/>
        <v>2D6</v>
      </c>
      <c r="AG272" s="33" t="str">
        <f t="shared" si="58"/>
        <v>-</v>
      </c>
      <c r="AH272" s="33" t="str">
        <f t="shared" si="59"/>
        <v>-</v>
      </c>
      <c r="AI272" s="33" t="str">
        <f t="shared" si="60"/>
        <v>-</v>
      </c>
      <c r="AJ272" s="33" t="str">
        <f t="shared" si="61"/>
        <v>-</v>
      </c>
      <c r="AK272">
        <v>1967</v>
      </c>
    </row>
    <row r="273" spans="1:37">
      <c r="A273" t="s">
        <v>577</v>
      </c>
      <c r="B273" t="s">
        <v>468</v>
      </c>
      <c r="C273" t="s">
        <v>681</v>
      </c>
      <c r="D273" t="s">
        <v>681</v>
      </c>
      <c r="F273" t="s">
        <v>32</v>
      </c>
      <c r="G273" t="s">
        <v>33</v>
      </c>
      <c r="H273">
        <v>1.9</v>
      </c>
      <c r="I273">
        <v>10.199999999999999</v>
      </c>
      <c r="J273" s="9">
        <v>8</v>
      </c>
      <c r="K273" s="9">
        <v>16</v>
      </c>
      <c r="L273" s="9">
        <v>48</v>
      </c>
      <c r="M273" s="10">
        <v>96</v>
      </c>
      <c r="N273" s="10">
        <v>2</v>
      </c>
      <c r="O273" s="10">
        <v>10</v>
      </c>
      <c r="P273" s="19">
        <v>30</v>
      </c>
      <c r="Q273" s="22" t="s">
        <v>695</v>
      </c>
      <c r="R273">
        <v>10</v>
      </c>
      <c r="S273" s="26">
        <f>VLOOKUP($F273,Munition!$B:$P,10,FALSE)</f>
        <v>5</v>
      </c>
      <c r="T273" s="26">
        <f>VLOOKUP($F273,Munition!$B:$P,11,FALSE)</f>
        <v>488</v>
      </c>
      <c r="U273" s="28">
        <f t="shared" si="50"/>
        <v>583.21322544793316</v>
      </c>
      <c r="V273" s="26">
        <f>VLOOKUP($F273,Munition!$B:$P,5,FALSE)</f>
        <v>5.5</v>
      </c>
      <c r="W273" s="30">
        <f t="shared" si="52"/>
        <v>935.37858242779964</v>
      </c>
      <c r="X273" s="26">
        <f>VLOOKUP($F273,Munition!$B:$P,15,FALSE)</f>
        <v>120.60432030716575</v>
      </c>
      <c r="Y273" s="26">
        <f>VLOOKUP($F273,Munition!$B:$P,9,FALSE)</f>
        <v>1</v>
      </c>
      <c r="Z273" s="26">
        <f>VLOOKUP($F273,Munition!$B:$P,14,FALSE)</f>
        <v>9.7762874248373463E-6</v>
      </c>
      <c r="AA273" s="30">
        <f t="shared" si="53"/>
        <v>4.1022072059485444</v>
      </c>
      <c r="AB273" s="30">
        <f t="shared" si="54"/>
        <v>3.987183384282853</v>
      </c>
      <c r="AC273" s="30">
        <f t="shared" si="55"/>
        <v>3.875384772580079</v>
      </c>
      <c r="AD273" s="30">
        <f t="shared" si="56"/>
        <v>3.4586713711151398</v>
      </c>
      <c r="AE273" s="30">
        <f t="shared" si="57"/>
        <v>2.9160905465781903</v>
      </c>
      <c r="AF273" s="32" t="str">
        <f t="shared" si="51"/>
        <v>2D6+1</v>
      </c>
      <c r="AG273" s="33" t="str">
        <f t="shared" si="58"/>
        <v>-</v>
      </c>
      <c r="AH273" s="33" t="str">
        <f t="shared" si="59"/>
        <v>-</v>
      </c>
      <c r="AI273" s="33" t="str">
        <f t="shared" si="60"/>
        <v>-</v>
      </c>
      <c r="AJ273" s="33" t="str">
        <f t="shared" si="61"/>
        <v>-</v>
      </c>
      <c r="AK273">
        <v>1985</v>
      </c>
    </row>
    <row r="274" spans="1:37">
      <c r="A274" t="s">
        <v>574</v>
      </c>
      <c r="B274" t="s">
        <v>469</v>
      </c>
      <c r="C274" t="s">
        <v>681</v>
      </c>
      <c r="D274" t="s">
        <v>681</v>
      </c>
      <c r="F274" t="s">
        <v>142</v>
      </c>
      <c r="G274" t="s">
        <v>143</v>
      </c>
      <c r="H274">
        <v>25</v>
      </c>
      <c r="I274">
        <v>43.3</v>
      </c>
      <c r="J274" s="9">
        <v>166</v>
      </c>
      <c r="K274" s="9">
        <v>332</v>
      </c>
      <c r="L274" s="9">
        <v>996</v>
      </c>
      <c r="M274" s="10">
        <v>1992</v>
      </c>
      <c r="N274" s="10"/>
      <c r="O274" s="10">
        <v>5</v>
      </c>
      <c r="P274" s="18">
        <v>250</v>
      </c>
      <c r="Q274" s="22">
        <v>160</v>
      </c>
      <c r="R274">
        <v>10</v>
      </c>
      <c r="S274" s="26">
        <f>VLOOKUP($F274,Munition!$B:$P,10,FALSE)</f>
        <v>31</v>
      </c>
      <c r="T274" s="26">
        <f>VLOOKUP($F274,Munition!$B:$P,11,FALSE)</f>
        <v>859</v>
      </c>
      <c r="U274" s="28">
        <f t="shared" si="50"/>
        <v>933.84482074728737</v>
      </c>
      <c r="V274" s="26">
        <f>VLOOKUP($F274,Munition!$B:$P,5,FALSE)</f>
        <v>52</v>
      </c>
      <c r="W274" s="30">
        <f t="shared" si="52"/>
        <v>22673.719880149867</v>
      </c>
      <c r="X274" s="26">
        <f>VLOOKUP($F274,Munition!$B:$P,15,FALSE)</f>
        <v>410.49325020911692</v>
      </c>
      <c r="Y274" s="26">
        <f>VLOOKUP($F274,Munition!$B:$P,9,FALSE)</f>
        <v>1</v>
      </c>
      <c r="Z274" s="26">
        <f>VLOOKUP($F274,Munition!$B:$P,14,FALSE)</f>
        <v>2.7156353957881518E-5</v>
      </c>
      <c r="AA274" s="30">
        <f t="shared" si="53"/>
        <v>35.797726799745341</v>
      </c>
      <c r="AB274" s="30">
        <f t="shared" si="54"/>
        <v>30.099288057707689</v>
      </c>
      <c r="AC274" s="30">
        <f t="shared" si="55"/>
        <v>25.30795172131738</v>
      </c>
      <c r="AD274" s="30">
        <f t="shared" si="56"/>
        <v>12.649113612488593</v>
      </c>
      <c r="AE274" s="30">
        <f t="shared" si="57"/>
        <v>4.4695596476473032</v>
      </c>
      <c r="AF274" s="32" t="str">
        <f t="shared" si="51"/>
        <v>12D6+1</v>
      </c>
      <c r="AG274" s="33" t="str">
        <f t="shared" si="58"/>
        <v>2+1</v>
      </c>
      <c r="AH274" s="33" t="str">
        <f t="shared" si="59"/>
        <v>2+2</v>
      </c>
      <c r="AI274" s="33" t="str">
        <f t="shared" si="60"/>
        <v>3+1</v>
      </c>
      <c r="AJ274" s="33" t="str">
        <f t="shared" si="61"/>
        <v>6+2</v>
      </c>
      <c r="AK274">
        <v>1971</v>
      </c>
    </row>
    <row r="275" spans="1:37">
      <c r="A275" t="s">
        <v>575</v>
      </c>
      <c r="B275" t="s">
        <v>470</v>
      </c>
      <c r="C275" t="s">
        <v>681</v>
      </c>
      <c r="D275" t="s">
        <v>681</v>
      </c>
      <c r="F275" t="s">
        <v>37</v>
      </c>
      <c r="G275" t="s">
        <v>38</v>
      </c>
      <c r="H275">
        <v>3.2</v>
      </c>
      <c r="I275">
        <v>9.4</v>
      </c>
      <c r="J275" s="9">
        <v>50</v>
      </c>
      <c r="K275" s="9">
        <v>100</v>
      </c>
      <c r="L275" s="9">
        <v>300</v>
      </c>
      <c r="M275" s="10">
        <v>600</v>
      </c>
      <c r="N275" s="10">
        <v>2</v>
      </c>
      <c r="O275" s="10">
        <v>5</v>
      </c>
      <c r="P275" s="19">
        <v>30</v>
      </c>
      <c r="Q275" s="22" t="s">
        <v>760</v>
      </c>
      <c r="R275">
        <v>10</v>
      </c>
      <c r="S275" s="26">
        <f>VLOOKUP($F275,Munition!$B:$P,10,FALSE)</f>
        <v>16</v>
      </c>
      <c r="T275" s="26">
        <f>VLOOKUP($F275,Munition!$B:$P,11,FALSE)</f>
        <v>725</v>
      </c>
      <c r="U275" s="28">
        <f t="shared" si="50"/>
        <v>634.73138688227073</v>
      </c>
      <c r="V275" s="26">
        <f>VLOOKUP($F275,Munition!$B:$P,5,FALSE)</f>
        <v>7.9</v>
      </c>
      <c r="W275" s="30">
        <f t="shared" si="52"/>
        <v>1591.391537299289</v>
      </c>
      <c r="X275" s="26">
        <f>VLOOKUP($F275,Munition!$B:$P,15,FALSE)</f>
        <v>173.23166007756538</v>
      </c>
      <c r="Y275" s="26">
        <f>VLOOKUP($F275,Munition!$B:$P,9,FALSE)</f>
        <v>1</v>
      </c>
      <c r="Z275" s="26">
        <f>VLOOKUP($F275,Munition!$B:$P,14,FALSE)</f>
        <v>7.8210299398698787E-6</v>
      </c>
      <c r="AA275" s="30">
        <f t="shared" si="53"/>
        <v>6.9792252617656851</v>
      </c>
      <c r="AB275" s="30">
        <f t="shared" si="54"/>
        <v>6.3213799927849692</v>
      </c>
      <c r="AC275" s="30">
        <f t="shared" si="55"/>
        <v>5.7255416632121419</v>
      </c>
      <c r="AD275" s="30">
        <f t="shared" si="56"/>
        <v>3.8533220357901108</v>
      </c>
      <c r="AE275" s="30">
        <f t="shared" si="57"/>
        <v>2.1274697627038903</v>
      </c>
      <c r="AF275" s="32" t="str">
        <f t="shared" si="51"/>
        <v>3D6</v>
      </c>
      <c r="AG275" s="33" t="str">
        <f t="shared" si="58"/>
        <v>-</v>
      </c>
      <c r="AH275" s="33" t="str">
        <f t="shared" si="59"/>
        <v>-</v>
      </c>
      <c r="AI275" s="33" t="str">
        <f t="shared" si="60"/>
        <v>-</v>
      </c>
      <c r="AJ275" s="33" t="str">
        <f t="shared" si="61"/>
        <v>-</v>
      </c>
      <c r="AK275">
        <v>1994</v>
      </c>
    </row>
    <row r="276" spans="1:37">
      <c r="A276" t="s">
        <v>575</v>
      </c>
      <c r="B276" t="s">
        <v>471</v>
      </c>
      <c r="C276" t="s">
        <v>681</v>
      </c>
      <c r="D276" t="s">
        <v>681</v>
      </c>
      <c r="F276" t="s">
        <v>113</v>
      </c>
      <c r="G276" t="s">
        <v>112</v>
      </c>
      <c r="H276">
        <v>3.2</v>
      </c>
      <c r="I276">
        <v>9.4</v>
      </c>
      <c r="J276" s="9">
        <v>66</v>
      </c>
      <c r="K276" s="9">
        <v>132</v>
      </c>
      <c r="L276" s="9">
        <v>396</v>
      </c>
      <c r="M276" s="10">
        <v>792</v>
      </c>
      <c r="N276" s="10">
        <v>1</v>
      </c>
      <c r="O276" s="10">
        <v>3</v>
      </c>
      <c r="P276" s="19">
        <v>20</v>
      </c>
      <c r="Q276" s="22" t="s">
        <v>760</v>
      </c>
      <c r="R276">
        <v>10</v>
      </c>
      <c r="S276" s="26">
        <f>VLOOKUP($F276,Munition!$B:$P,10,FALSE)</f>
        <v>12</v>
      </c>
      <c r="T276" s="26">
        <f>VLOOKUP($F276,Munition!$B:$P,11,FALSE)</f>
        <v>280</v>
      </c>
      <c r="U276" s="28">
        <f t="shared" si="50"/>
        <v>263.41753610473967</v>
      </c>
      <c r="V276" s="26">
        <f>VLOOKUP($F276,Munition!$B:$P,5,FALSE)</f>
        <v>16.8</v>
      </c>
      <c r="W276" s="30">
        <f t="shared" si="52"/>
        <v>582.86590595093139</v>
      </c>
      <c r="X276" s="26">
        <f>VLOOKUP($F276,Munition!$B:$P,15,FALSE)</f>
        <v>247.31673432247348</v>
      </c>
      <c r="Y276" s="26">
        <f>VLOOKUP($F276,Munition!$B:$P,9,FALSE)</f>
        <v>1</v>
      </c>
      <c r="Z276" s="26">
        <f>VLOOKUP($F276,Munition!$B:$P,14,FALSE)</f>
        <v>1.4562298058262588E-5</v>
      </c>
      <c r="AA276" s="30">
        <f t="shared" si="53"/>
        <v>1.7161011000915984</v>
      </c>
      <c r="AB276" s="30">
        <f t="shared" si="54"/>
        <v>1.5305648637994398</v>
      </c>
      <c r="AC276" s="30">
        <f t="shared" si="55"/>
        <v>1.3650878740025034</v>
      </c>
      <c r="AD276" s="30">
        <f t="shared" si="56"/>
        <v>0.86376596426477859</v>
      </c>
      <c r="AE276" s="30">
        <f t="shared" si="57"/>
        <v>0.43475972422745923</v>
      </c>
      <c r="AF276" s="32" t="str">
        <f t="shared" si="51"/>
        <v>2D6</v>
      </c>
      <c r="AG276" s="33" t="str">
        <f t="shared" si="58"/>
        <v>-</v>
      </c>
      <c r="AH276" s="33" t="str">
        <f t="shared" si="59"/>
        <v>-</v>
      </c>
      <c r="AI276" s="33" t="str">
        <f t="shared" si="60"/>
        <v>-</v>
      </c>
      <c r="AJ276" s="33" t="str">
        <f t="shared" si="61"/>
        <v>-</v>
      </c>
      <c r="AK276">
        <v>1994</v>
      </c>
    </row>
    <row r="277" spans="1:37">
      <c r="A277" t="s">
        <v>577</v>
      </c>
      <c r="B277" t="s">
        <v>472</v>
      </c>
      <c r="C277" t="s">
        <v>681</v>
      </c>
      <c r="D277" t="s">
        <v>681</v>
      </c>
      <c r="F277" t="s">
        <v>182</v>
      </c>
      <c r="G277" t="s">
        <v>79</v>
      </c>
      <c r="H277">
        <v>1.2</v>
      </c>
      <c r="I277">
        <v>5</v>
      </c>
      <c r="J277" s="9">
        <v>5</v>
      </c>
      <c r="K277" s="9">
        <v>10</v>
      </c>
      <c r="L277" s="9">
        <v>30</v>
      </c>
      <c r="M277" s="10">
        <v>60</v>
      </c>
      <c r="N277" s="10">
        <v>3</v>
      </c>
      <c r="O277" s="10">
        <v>15</v>
      </c>
      <c r="P277" s="19">
        <v>25</v>
      </c>
      <c r="Q277" s="22" t="s">
        <v>760</v>
      </c>
      <c r="R277">
        <v>10</v>
      </c>
      <c r="S277" s="26">
        <f>VLOOKUP($F277,Munition!$B:$P,10,FALSE)</f>
        <v>4.5</v>
      </c>
      <c r="T277" s="26">
        <f>VLOOKUP($F277,Munition!$B:$P,11,FALSE)</f>
        <v>450</v>
      </c>
      <c r="U277" s="28">
        <f t="shared" si="50"/>
        <v>462.01054323615341</v>
      </c>
      <c r="V277" s="26">
        <f>VLOOKUP($F277,Munition!$B:$P,5,FALSE)</f>
        <v>6.75</v>
      </c>
      <c r="W277" s="30">
        <f t="shared" si="52"/>
        <v>720.40637945710876</v>
      </c>
      <c r="X277" s="26">
        <f>VLOOKUP($F277,Munition!$B:$P,15,FALSE)</f>
        <v>106.1032953945969</v>
      </c>
      <c r="Y277" s="26">
        <f>VLOOKUP($F277,Munition!$B:$P,9,FALSE)</f>
        <v>1</v>
      </c>
      <c r="Z277" s="26">
        <f>VLOOKUP($F277,Munition!$B:$P,14,FALSE)</f>
        <v>1.5586226552622361E-5</v>
      </c>
      <c r="AA277" s="30">
        <f t="shared" si="53"/>
        <v>2.2648145447019159</v>
      </c>
      <c r="AB277" s="30">
        <f t="shared" si="54"/>
        <v>2.2131175350889274</v>
      </c>
      <c r="AC277" s="30">
        <f t="shared" si="55"/>
        <v>2.162600569470789</v>
      </c>
      <c r="AD277" s="30">
        <f t="shared" si="56"/>
        <v>1.9718035683338757</v>
      </c>
      <c r="AE277" s="30">
        <f t="shared" si="57"/>
        <v>1.7167009639660926</v>
      </c>
      <c r="AF277" s="32" t="str">
        <f t="shared" si="51"/>
        <v>2D6</v>
      </c>
      <c r="AG277" s="33" t="str">
        <f t="shared" si="58"/>
        <v>-</v>
      </c>
      <c r="AH277" s="33" t="str">
        <f t="shared" si="59"/>
        <v>-</v>
      </c>
      <c r="AI277" s="33" t="str">
        <f t="shared" si="60"/>
        <v>-</v>
      </c>
      <c r="AJ277" s="33" t="str">
        <f t="shared" si="61"/>
        <v>-</v>
      </c>
      <c r="AK277">
        <v>1994</v>
      </c>
    </row>
    <row r="278" spans="1:37">
      <c r="A278" t="s">
        <v>571</v>
      </c>
      <c r="B278" t="s">
        <v>1274</v>
      </c>
      <c r="C278" t="s">
        <v>681</v>
      </c>
      <c r="D278" t="s">
        <v>681</v>
      </c>
      <c r="F278" t="s">
        <v>75</v>
      </c>
      <c r="G278" t="s">
        <v>76</v>
      </c>
      <c r="H278">
        <v>0.62</v>
      </c>
      <c r="I278">
        <v>3.3</v>
      </c>
      <c r="J278" s="9">
        <v>5</v>
      </c>
      <c r="K278" s="9">
        <v>10</v>
      </c>
      <c r="L278" s="9">
        <v>30</v>
      </c>
      <c r="M278" s="10">
        <v>60</v>
      </c>
      <c r="N278" s="10">
        <v>3</v>
      </c>
      <c r="O278" s="10"/>
      <c r="P278" s="18">
        <v>6</v>
      </c>
      <c r="Q278" s="22" t="s">
        <v>701</v>
      </c>
      <c r="R278">
        <v>1</v>
      </c>
      <c r="S278" s="26">
        <f>VLOOKUP($F278,Munition!$B:$P,10,FALSE)</f>
        <v>3.8</v>
      </c>
      <c r="T278" s="26">
        <f>VLOOKUP($F278,Munition!$B:$P,11,FALSE)</f>
        <v>314</v>
      </c>
      <c r="U278" s="28">
        <f t="shared" si="50"/>
        <v>303.11835395160358</v>
      </c>
      <c r="V278" s="26">
        <f>VLOOKUP($F278,Munition!$B:$P,5,FALSE)</f>
        <v>6.1</v>
      </c>
      <c r="W278" s="30">
        <f t="shared" si="52"/>
        <v>280.23624633210534</v>
      </c>
      <c r="X278" s="26">
        <f>VLOOKUP($F278,Munition!$B:$P,15,FALSE)</f>
        <v>91.76230178266178</v>
      </c>
      <c r="Y278" s="26">
        <f>VLOOKUP($F278,Munition!$B:$P,9,FALSE)</f>
        <v>1</v>
      </c>
      <c r="Z278" s="26">
        <f>VLOOKUP($F278,Munition!$B:$P,14,FALSE)</f>
        <v>1.6286644634740203E-5</v>
      </c>
      <c r="AA278" s="30">
        <f t="shared" si="53"/>
        <v>0.8431187870939999</v>
      </c>
      <c r="AB278" s="30">
        <f t="shared" si="54"/>
        <v>0.82090586226817608</v>
      </c>
      <c r="AC278" s="30">
        <f t="shared" si="55"/>
        <v>0.79927816224918946</v>
      </c>
      <c r="AD278" s="30">
        <f t="shared" si="56"/>
        <v>0.71831727126245892</v>
      </c>
      <c r="AE278" s="30">
        <f t="shared" si="57"/>
        <v>0.61198933067591343</v>
      </c>
      <c r="AF278" s="32" t="str">
        <f t="shared" si="51"/>
        <v>1D6+1</v>
      </c>
      <c r="AG278" s="33" t="str">
        <f t="shared" si="58"/>
        <v>-</v>
      </c>
      <c r="AH278" s="33" t="str">
        <f t="shared" si="59"/>
        <v>-</v>
      </c>
      <c r="AI278" s="33" t="str">
        <f t="shared" si="60"/>
        <v>-</v>
      </c>
      <c r="AJ278" s="33" t="str">
        <f t="shared" si="61"/>
        <v>-</v>
      </c>
      <c r="AK278">
        <v>1964</v>
      </c>
    </row>
    <row r="279" spans="1:37">
      <c r="A279" t="s">
        <v>572</v>
      </c>
      <c r="B279" t="s">
        <v>473</v>
      </c>
      <c r="C279" t="s">
        <v>681</v>
      </c>
      <c r="D279" t="s">
        <v>681</v>
      </c>
      <c r="F279" t="s">
        <v>51</v>
      </c>
      <c r="G279" t="s">
        <v>52</v>
      </c>
      <c r="H279">
        <v>5</v>
      </c>
      <c r="I279">
        <v>18</v>
      </c>
      <c r="J279" s="9">
        <v>100</v>
      </c>
      <c r="K279" s="9">
        <v>200</v>
      </c>
      <c r="L279" s="9">
        <v>600</v>
      </c>
      <c r="M279" s="10">
        <v>1200</v>
      </c>
      <c r="N279" s="10">
        <v>2</v>
      </c>
      <c r="O279" s="10"/>
      <c r="P279" s="18">
        <v>10</v>
      </c>
      <c r="Q279" s="22" t="s">
        <v>699</v>
      </c>
      <c r="R279">
        <v>1</v>
      </c>
      <c r="S279" s="26">
        <f>VLOOKUP($F279,Munition!$B:$P,10,FALSE)</f>
        <v>22</v>
      </c>
      <c r="T279" s="26">
        <f>VLOOKUP($F279,Munition!$B:$P,11,FALSE)</f>
        <v>832</v>
      </c>
      <c r="U279" s="28">
        <f t="shared" si="50"/>
        <v>791.29019137544833</v>
      </c>
      <c r="V279" s="26">
        <f>VLOOKUP($F279,Munition!$B:$P,5,FALSE)</f>
        <v>9.4499999999999993</v>
      </c>
      <c r="W279" s="30">
        <f t="shared" si="52"/>
        <v>2958.5122889190447</v>
      </c>
      <c r="X279" s="26">
        <f>VLOOKUP($F279,Munition!$B:$P,15,FALSE)</f>
        <v>207.22015034594844</v>
      </c>
      <c r="Y279" s="26">
        <f>VLOOKUP($F279,Munition!$B:$P,9,FALSE)</f>
        <v>1</v>
      </c>
      <c r="Z279" s="26">
        <f>VLOOKUP($F279,Munition!$B:$P,14,FALSE)</f>
        <v>6.9830624463123905E-6</v>
      </c>
      <c r="AA279" s="30">
        <f t="shared" si="53"/>
        <v>12.974885953653766</v>
      </c>
      <c r="AB279" s="30">
        <f t="shared" si="54"/>
        <v>11.192299060363961</v>
      </c>
      <c r="AC279" s="30">
        <f t="shared" si="55"/>
        <v>9.6546172894373878</v>
      </c>
      <c r="AD279" s="30">
        <f t="shared" si="56"/>
        <v>5.3456200902630497</v>
      </c>
      <c r="AE279" s="30">
        <f t="shared" si="57"/>
        <v>2.2023819131432867</v>
      </c>
      <c r="AF279" s="32" t="str">
        <f t="shared" si="51"/>
        <v>4D6+1</v>
      </c>
      <c r="AG279" s="33" t="str">
        <f t="shared" si="58"/>
        <v>2+1</v>
      </c>
      <c r="AH279" s="33" t="str">
        <f t="shared" si="59"/>
        <v>2+2</v>
      </c>
      <c r="AI279" s="33" t="str">
        <f t="shared" si="60"/>
        <v>3</v>
      </c>
      <c r="AJ279" s="33" t="str">
        <f t="shared" si="61"/>
        <v>-</v>
      </c>
      <c r="AK279">
        <v>1993</v>
      </c>
    </row>
    <row r="280" spans="1:37">
      <c r="A280" t="s">
        <v>572</v>
      </c>
      <c r="B280" t="s">
        <v>474</v>
      </c>
      <c r="C280" t="s">
        <v>681</v>
      </c>
      <c r="D280" t="s">
        <v>681</v>
      </c>
      <c r="F280" t="s">
        <v>130</v>
      </c>
      <c r="G280" t="s">
        <v>131</v>
      </c>
      <c r="H280">
        <v>15.8</v>
      </c>
      <c r="I280">
        <v>27</v>
      </c>
      <c r="J280" s="9">
        <v>200</v>
      </c>
      <c r="K280" s="9">
        <v>400</v>
      </c>
      <c r="L280" s="9">
        <v>1200</v>
      </c>
      <c r="M280" s="10">
        <v>2400</v>
      </c>
      <c r="N280" s="10">
        <v>1</v>
      </c>
      <c r="O280" s="10"/>
      <c r="P280" s="18">
        <v>7</v>
      </c>
      <c r="Q280" s="22" t="s">
        <v>699</v>
      </c>
      <c r="R280">
        <v>1</v>
      </c>
      <c r="S280" s="26">
        <f>VLOOKUP($F280,Munition!$B:$P,10,FALSE)</f>
        <v>30</v>
      </c>
      <c r="T280" s="26">
        <f>VLOOKUP($F280,Munition!$B:$P,11,FALSE)</f>
        <v>903</v>
      </c>
      <c r="U280" s="28">
        <f t="shared" si="50"/>
        <v>879.525383022043</v>
      </c>
      <c r="V280" s="26">
        <f>VLOOKUP($F280,Munition!$B:$P,5,FALSE)</f>
        <v>42</v>
      </c>
      <c r="W280" s="30">
        <f t="shared" si="52"/>
        <v>16244.862886981502</v>
      </c>
      <c r="X280" s="26">
        <f>VLOOKUP($F280,Munition!$B:$P,15,FALSE)</f>
        <v>331.55224055351755</v>
      </c>
      <c r="Y280" s="26">
        <f>VLOOKUP($F280,Munition!$B:$P,9,FALSE)</f>
        <v>1</v>
      </c>
      <c r="Z280" s="26">
        <f>VLOOKUP($F280,Munition!$B:$P,14,FALSE)</f>
        <v>2.7156353957881518E-5</v>
      </c>
      <c r="AA280" s="30">
        <f t="shared" si="53"/>
        <v>25.647717560301906</v>
      </c>
      <c r="AB280" s="30">
        <f t="shared" si="54"/>
        <v>19.802786125247536</v>
      </c>
      <c r="AC280" s="30">
        <f t="shared" si="55"/>
        <v>15.28987276939119</v>
      </c>
      <c r="AD280" s="30">
        <f t="shared" si="56"/>
        <v>5.4339316293715392</v>
      </c>
      <c r="AE280" s="30">
        <f t="shared" si="57"/>
        <v>1.1512764394437933</v>
      </c>
      <c r="AF280" s="32" t="str">
        <f t="shared" si="51"/>
        <v>10D6+1</v>
      </c>
      <c r="AG280" s="33" t="str">
        <f t="shared" si="58"/>
        <v>2+2</v>
      </c>
      <c r="AH280" s="33" t="str">
        <f t="shared" si="59"/>
        <v>3+2</v>
      </c>
      <c r="AI280" s="33" t="str">
        <f t="shared" si="60"/>
        <v>4+2</v>
      </c>
      <c r="AJ280" s="33" t="str">
        <f t="shared" si="61"/>
        <v>-</v>
      </c>
      <c r="AK280">
        <v>1993</v>
      </c>
    </row>
    <row r="281" spans="1:37">
      <c r="A281" t="s">
        <v>572</v>
      </c>
      <c r="B281" t="s">
        <v>475</v>
      </c>
      <c r="C281" t="s">
        <v>681</v>
      </c>
      <c r="D281" t="s">
        <v>681</v>
      </c>
      <c r="F281" t="s">
        <v>51</v>
      </c>
      <c r="G281" t="s">
        <v>52</v>
      </c>
      <c r="H281">
        <v>5.2</v>
      </c>
      <c r="I281">
        <v>22</v>
      </c>
      <c r="J281" s="9">
        <v>116</v>
      </c>
      <c r="K281" s="9">
        <v>232</v>
      </c>
      <c r="L281" s="9">
        <v>696</v>
      </c>
      <c r="M281" s="10">
        <v>1392</v>
      </c>
      <c r="N281" s="10">
        <v>2</v>
      </c>
      <c r="O281" s="10"/>
      <c r="P281" s="18">
        <v>5</v>
      </c>
      <c r="Q281" s="22" t="s">
        <v>699</v>
      </c>
      <c r="R281">
        <v>1</v>
      </c>
      <c r="S281" s="26">
        <f>VLOOKUP($F281,Munition!$B:$P,10,FALSE)</f>
        <v>22</v>
      </c>
      <c r="T281" s="26">
        <f>VLOOKUP($F281,Munition!$B:$P,11,FALSE)</f>
        <v>832</v>
      </c>
      <c r="U281" s="28">
        <f t="shared" si="50"/>
        <v>832</v>
      </c>
      <c r="V281" s="26">
        <f>VLOOKUP($F281,Munition!$B:$P,5,FALSE)</f>
        <v>9.4499999999999993</v>
      </c>
      <c r="W281" s="30">
        <f t="shared" si="52"/>
        <v>3270.7584000000002</v>
      </c>
      <c r="X281" s="26">
        <f>VLOOKUP($F281,Munition!$B:$P,15,FALSE)</f>
        <v>207.22015034594844</v>
      </c>
      <c r="Y281" s="26">
        <f>VLOOKUP($F281,Munition!$B:$P,9,FALSE)</f>
        <v>1</v>
      </c>
      <c r="Z281" s="26">
        <f>VLOOKUP($F281,Munition!$B:$P,14,FALSE)</f>
        <v>6.9830624463123905E-6</v>
      </c>
      <c r="AA281" s="30">
        <f t="shared" si="53"/>
        <v>14.34427613530738</v>
      </c>
      <c r="AB281" s="30">
        <f t="shared" si="54"/>
        <v>12.084395069792041</v>
      </c>
      <c r="AC281" s="30">
        <f t="shared" si="55"/>
        <v>10.180548870177262</v>
      </c>
      <c r="AD281" s="30">
        <f t="shared" si="56"/>
        <v>5.1280978680907321</v>
      </c>
      <c r="AE281" s="30">
        <f t="shared" si="57"/>
        <v>1.8333018338923093</v>
      </c>
      <c r="AF281" s="32" t="str">
        <f t="shared" si="51"/>
        <v>4D6+2</v>
      </c>
      <c r="AG281" s="33" t="str">
        <f t="shared" si="58"/>
        <v>2</v>
      </c>
      <c r="AH281" s="33" t="str">
        <f t="shared" si="59"/>
        <v>2+2</v>
      </c>
      <c r="AI281" s="33" t="str">
        <f t="shared" si="60"/>
        <v>3</v>
      </c>
      <c r="AJ281" s="33" t="str">
        <f t="shared" si="61"/>
        <v>-</v>
      </c>
      <c r="AK281">
        <v>1993</v>
      </c>
    </row>
    <row r="282" spans="1:37">
      <c r="A282" t="s">
        <v>574</v>
      </c>
      <c r="B282" t="s">
        <v>476</v>
      </c>
      <c r="C282" t="s">
        <v>681</v>
      </c>
      <c r="D282" t="s">
        <v>681</v>
      </c>
      <c r="F282" t="s">
        <v>62</v>
      </c>
      <c r="G282" t="s">
        <v>61</v>
      </c>
      <c r="H282">
        <v>6.5</v>
      </c>
      <c r="I282">
        <v>23.2</v>
      </c>
      <c r="J282" s="9">
        <v>100</v>
      </c>
      <c r="K282" s="9">
        <v>200</v>
      </c>
      <c r="L282" s="9">
        <v>600</v>
      </c>
      <c r="M282" s="10">
        <v>1200</v>
      </c>
      <c r="N282" s="10"/>
      <c r="O282" s="10">
        <v>5</v>
      </c>
      <c r="P282" s="18">
        <v>50</v>
      </c>
      <c r="Q282" s="22">
        <v>55</v>
      </c>
      <c r="R282">
        <v>10</v>
      </c>
      <c r="S282" s="26">
        <f>VLOOKUP($F282,Munition!$B:$P,10,FALSE)</f>
        <v>24</v>
      </c>
      <c r="T282" s="26">
        <f>VLOOKUP($F282,Munition!$B:$P,11,FALSE)</f>
        <v>786</v>
      </c>
      <c r="U282" s="28">
        <f t="shared" si="50"/>
        <v>779.36649556562099</v>
      </c>
      <c r="V282" s="26">
        <f>VLOOKUP($F282,Munition!$B:$P,5,FALSE)</f>
        <v>11</v>
      </c>
      <c r="W282" s="30">
        <f t="shared" si="52"/>
        <v>3340.7667392563039</v>
      </c>
      <c r="X282" s="26">
        <f>VLOOKUP($F282,Munition!$B:$P,15,FALSE)</f>
        <v>241.2086406143315</v>
      </c>
      <c r="Y282" s="26">
        <f>VLOOKUP($F282,Munition!$B:$P,9,FALSE)</f>
        <v>1</v>
      </c>
      <c r="Z282" s="26">
        <f>VLOOKUP($F282,Munition!$B:$P,14,FALSE)</f>
        <v>6.9830624463123905E-6</v>
      </c>
      <c r="AA282" s="30">
        <f t="shared" si="53"/>
        <v>14.651305523374289</v>
      </c>
      <c r="AB282" s="30">
        <f t="shared" si="54"/>
        <v>12.904352711685977</v>
      </c>
      <c r="AC282" s="30">
        <f t="shared" si="55"/>
        <v>11.365698342849525</v>
      </c>
      <c r="AD282" s="30">
        <f t="shared" si="56"/>
        <v>6.8396790991799667</v>
      </c>
      <c r="AE282" s="30">
        <f t="shared" si="57"/>
        <v>3.1929721283284835</v>
      </c>
      <c r="AF282" s="32" t="str">
        <f t="shared" si="51"/>
        <v>4D6+2</v>
      </c>
      <c r="AG282" s="33" t="str">
        <f t="shared" si="58"/>
        <v>2</v>
      </c>
      <c r="AH282" s="33" t="str">
        <f t="shared" si="59"/>
        <v>2+1</v>
      </c>
      <c r="AI282" s="33" t="str">
        <f t="shared" si="60"/>
        <v>2+2</v>
      </c>
      <c r="AJ282" s="33" t="str">
        <f t="shared" si="61"/>
        <v>-</v>
      </c>
      <c r="AK282">
        <v>1969</v>
      </c>
    </row>
    <row r="283" spans="1:37">
      <c r="A283" t="s">
        <v>577</v>
      </c>
      <c r="B283" t="s">
        <v>477</v>
      </c>
      <c r="C283" t="s">
        <v>681</v>
      </c>
      <c r="D283" t="s">
        <v>681</v>
      </c>
      <c r="F283" t="s">
        <v>182</v>
      </c>
      <c r="G283" t="s">
        <v>79</v>
      </c>
      <c r="H283">
        <v>3.63</v>
      </c>
      <c r="I283">
        <v>7.4</v>
      </c>
      <c r="J283" s="9">
        <v>5</v>
      </c>
      <c r="K283" s="9">
        <v>10</v>
      </c>
      <c r="L283" s="9">
        <v>30</v>
      </c>
      <c r="M283" s="10">
        <v>60</v>
      </c>
      <c r="N283" s="10">
        <v>1</v>
      </c>
      <c r="O283" s="10">
        <v>3</v>
      </c>
      <c r="P283" s="19">
        <v>32</v>
      </c>
      <c r="Q283" s="22" t="s">
        <v>760</v>
      </c>
      <c r="R283">
        <v>10</v>
      </c>
      <c r="S283" s="26">
        <f>VLOOKUP($F283,Munition!$B:$P,10,FALSE)</f>
        <v>4.5</v>
      </c>
      <c r="T283" s="26">
        <f>VLOOKUP($F283,Munition!$B:$P,11,FALSE)</f>
        <v>450</v>
      </c>
      <c r="U283" s="28">
        <f t="shared" si="50"/>
        <v>509.58579732225968</v>
      </c>
      <c r="V283" s="26">
        <f>VLOOKUP($F283,Munition!$B:$P,5,FALSE)</f>
        <v>6.75</v>
      </c>
      <c r="W283" s="30">
        <f t="shared" si="52"/>
        <v>876.41218630990056</v>
      </c>
      <c r="X283" s="26">
        <f>VLOOKUP($F283,Munition!$B:$P,15,FALSE)</f>
        <v>106.1032953945969</v>
      </c>
      <c r="Y283" s="26">
        <f>VLOOKUP($F283,Munition!$B:$P,9,FALSE)</f>
        <v>1</v>
      </c>
      <c r="Z283" s="26">
        <f>VLOOKUP($F283,Munition!$B:$P,14,FALSE)</f>
        <v>1.5586226552622361E-5</v>
      </c>
      <c r="AA283" s="30">
        <f t="shared" si="53"/>
        <v>2.7552658101174479</v>
      </c>
      <c r="AB283" s="30">
        <f t="shared" si="54"/>
        <v>2.6923736835169767</v>
      </c>
      <c r="AC283" s="30">
        <f t="shared" si="55"/>
        <v>2.6309171423957016</v>
      </c>
      <c r="AD283" s="30">
        <f t="shared" si="56"/>
        <v>2.398802572513925</v>
      </c>
      <c r="AE283" s="30">
        <f t="shared" si="57"/>
        <v>2.0884568598679563</v>
      </c>
      <c r="AF283" s="32" t="str">
        <f t="shared" si="51"/>
        <v>2D6+1</v>
      </c>
      <c r="AG283" s="33" t="str">
        <f t="shared" si="58"/>
        <v>-</v>
      </c>
      <c r="AH283" s="33" t="str">
        <f t="shared" si="59"/>
        <v>-</v>
      </c>
      <c r="AI283" s="33" t="str">
        <f t="shared" si="60"/>
        <v>-</v>
      </c>
      <c r="AJ283" s="33" t="str">
        <f t="shared" si="61"/>
        <v>-</v>
      </c>
      <c r="AK283">
        <v>1996</v>
      </c>
    </row>
    <row r="284" spans="1:37">
      <c r="A284" t="s">
        <v>577</v>
      </c>
      <c r="B284" t="s">
        <v>478</v>
      </c>
      <c r="C284" t="s">
        <v>681</v>
      </c>
      <c r="D284" t="s">
        <v>681</v>
      </c>
      <c r="F284" t="s">
        <v>32</v>
      </c>
      <c r="G284" t="s">
        <v>33</v>
      </c>
      <c r="H284">
        <v>4.13</v>
      </c>
      <c r="I284">
        <v>10.6</v>
      </c>
      <c r="J284" s="9">
        <v>4</v>
      </c>
      <c r="K284" s="9">
        <v>8</v>
      </c>
      <c r="L284" s="9">
        <v>24</v>
      </c>
      <c r="M284" s="10">
        <v>48</v>
      </c>
      <c r="N284" s="10">
        <v>1</v>
      </c>
      <c r="O284" s="10">
        <v>5</v>
      </c>
      <c r="P284" s="19">
        <v>71</v>
      </c>
      <c r="Q284" s="22" t="s">
        <v>695</v>
      </c>
      <c r="R284">
        <v>10</v>
      </c>
      <c r="S284" s="26">
        <f>VLOOKUP($F284,Munition!$B:$P,10,FALSE)</f>
        <v>5</v>
      </c>
      <c r="T284" s="26">
        <f>VLOOKUP($F284,Munition!$B:$P,11,FALSE)</f>
        <v>488</v>
      </c>
      <c r="U284" s="28">
        <f t="shared" si="50"/>
        <v>588.84879034822166</v>
      </c>
      <c r="V284" s="26">
        <f>VLOOKUP($F284,Munition!$B:$P,5,FALSE)</f>
        <v>5.5</v>
      </c>
      <c r="W284" s="30">
        <f t="shared" si="52"/>
        <v>953.54296921005073</v>
      </c>
      <c r="X284" s="26">
        <f>VLOOKUP($F284,Munition!$B:$P,15,FALSE)</f>
        <v>120.60432030716575</v>
      </c>
      <c r="Y284" s="26">
        <f>VLOOKUP($F284,Munition!$B:$P,9,FALSE)</f>
        <v>1</v>
      </c>
      <c r="Z284" s="26">
        <f>VLOOKUP($F284,Munition!$B:$P,14,FALSE)</f>
        <v>9.7762874248373463E-6</v>
      </c>
      <c r="AA284" s="30">
        <f t="shared" si="53"/>
        <v>4.1818691521910853</v>
      </c>
      <c r="AB284" s="30">
        <f t="shared" si="54"/>
        <v>4.1228235559623529</v>
      </c>
      <c r="AC284" s="30">
        <f t="shared" si="55"/>
        <v>4.0646116497193976</v>
      </c>
      <c r="AD284" s="30">
        <f t="shared" si="56"/>
        <v>3.8398679791046444</v>
      </c>
      <c r="AE284" s="30">
        <f t="shared" si="57"/>
        <v>3.5258363091604088</v>
      </c>
      <c r="AF284" s="32" t="str">
        <f t="shared" si="51"/>
        <v>2D6+1</v>
      </c>
      <c r="AG284" s="33" t="str">
        <f t="shared" si="58"/>
        <v>-</v>
      </c>
      <c r="AH284" s="33" t="str">
        <f t="shared" si="59"/>
        <v>-</v>
      </c>
      <c r="AI284" s="33" t="str">
        <f t="shared" si="60"/>
        <v>-</v>
      </c>
      <c r="AJ284" s="33" t="str">
        <f t="shared" si="61"/>
        <v>-</v>
      </c>
      <c r="AK284">
        <v>1941</v>
      </c>
    </row>
    <row r="285" spans="1:37">
      <c r="A285" t="s">
        <v>575</v>
      </c>
      <c r="B285" t="s">
        <v>479</v>
      </c>
      <c r="C285" t="s">
        <v>681</v>
      </c>
      <c r="D285" t="s">
        <v>681</v>
      </c>
      <c r="F285" t="s">
        <v>51</v>
      </c>
      <c r="G285" t="s">
        <v>52</v>
      </c>
      <c r="H285">
        <v>5.7</v>
      </c>
      <c r="I285">
        <v>26</v>
      </c>
      <c r="J285" s="9">
        <v>100</v>
      </c>
      <c r="K285" s="9">
        <v>200</v>
      </c>
      <c r="L285" s="9">
        <v>600</v>
      </c>
      <c r="M285" s="10">
        <v>1200</v>
      </c>
      <c r="N285" s="10">
        <v>2</v>
      </c>
      <c r="O285" s="10"/>
      <c r="P285" s="18">
        <v>5</v>
      </c>
      <c r="Q285" s="22" t="s">
        <v>712</v>
      </c>
      <c r="R285">
        <v>1</v>
      </c>
      <c r="S285" s="26">
        <f>VLOOKUP($F285,Munition!$B:$P,10,FALSE)</f>
        <v>22</v>
      </c>
      <c r="T285" s="26">
        <f>VLOOKUP($F285,Munition!$B:$P,11,FALSE)</f>
        <v>832</v>
      </c>
      <c r="U285" s="28">
        <f t="shared" si="50"/>
        <v>867.48304068476909</v>
      </c>
      <c r="V285" s="26">
        <f>VLOOKUP($F285,Munition!$B:$P,5,FALSE)</f>
        <v>9.4499999999999993</v>
      </c>
      <c r="W285" s="30">
        <f t="shared" si="52"/>
        <v>3555.6892522626486</v>
      </c>
      <c r="X285" s="26">
        <f>VLOOKUP($F285,Munition!$B:$P,15,FALSE)</f>
        <v>207.22015034594844</v>
      </c>
      <c r="Y285" s="26">
        <f>VLOOKUP($F285,Munition!$B:$P,9,FALSE)</f>
        <v>1</v>
      </c>
      <c r="Z285" s="26">
        <f>VLOOKUP($F285,Munition!$B:$P,14,FALSE)</f>
        <v>6.9830624463123905E-6</v>
      </c>
      <c r="AA285" s="30">
        <f t="shared" si="53"/>
        <v>15.59387219973204</v>
      </c>
      <c r="AB285" s="30">
        <f t="shared" si="54"/>
        <v>13.451469384156558</v>
      </c>
      <c r="AC285" s="30">
        <f t="shared" si="55"/>
        <v>11.603405894015886</v>
      </c>
      <c r="AD285" s="30">
        <f t="shared" si="56"/>
        <v>6.4246357781979535</v>
      </c>
      <c r="AE285" s="30">
        <f t="shared" si="57"/>
        <v>2.6469336386641986</v>
      </c>
      <c r="AF285" s="32" t="str">
        <f t="shared" si="51"/>
        <v>4D6+2</v>
      </c>
      <c r="AG285" s="33" t="str">
        <f t="shared" si="58"/>
        <v>2</v>
      </c>
      <c r="AH285" s="33" t="str">
        <f t="shared" si="59"/>
        <v>2+1</v>
      </c>
      <c r="AI285" s="33" t="str">
        <f t="shared" si="60"/>
        <v>2+2</v>
      </c>
      <c r="AJ285" s="33" t="str">
        <f t="shared" si="61"/>
        <v>-</v>
      </c>
      <c r="AK285">
        <v>1980</v>
      </c>
    </row>
    <row r="286" spans="1:37">
      <c r="A286" t="s">
        <v>575</v>
      </c>
      <c r="B286" t="s">
        <v>479</v>
      </c>
      <c r="C286" t="s">
        <v>681</v>
      </c>
      <c r="D286" t="s">
        <v>681</v>
      </c>
      <c r="F286" t="s">
        <v>170</v>
      </c>
      <c r="G286" t="s">
        <v>170</v>
      </c>
      <c r="H286">
        <v>6.4420000000000002</v>
      </c>
      <c r="I286">
        <v>28</v>
      </c>
      <c r="J286" s="9">
        <v>100</v>
      </c>
      <c r="K286" s="9">
        <v>200</v>
      </c>
      <c r="L286" s="9">
        <v>600</v>
      </c>
      <c r="M286" s="10">
        <v>1200</v>
      </c>
      <c r="N286" s="10">
        <v>2</v>
      </c>
      <c r="O286" s="10"/>
      <c r="P286" s="18">
        <v>5</v>
      </c>
      <c r="Q286" s="22" t="s">
        <v>712</v>
      </c>
      <c r="R286">
        <v>1</v>
      </c>
      <c r="S286" s="26">
        <f>VLOOKUP($F286,Munition!$B:$P,10,FALSE)</f>
        <v>27</v>
      </c>
      <c r="T286" s="26">
        <f>VLOOKUP($F286,Munition!$B:$P,11,FALSE)</f>
        <v>914</v>
      </c>
      <c r="U286" s="28">
        <f t="shared" si="50"/>
        <v>922.34789836269101</v>
      </c>
      <c r="V286" s="26">
        <f>VLOOKUP($F286,Munition!$B:$P,5,FALSE)</f>
        <v>16.2</v>
      </c>
      <c r="W286" s="30">
        <f t="shared" si="52"/>
        <v>6890.8777294739912</v>
      </c>
      <c r="X286" s="26">
        <f>VLOOKUP($F286,Munition!$B:$P,15,FALSE)</f>
        <v>280.18866210123878</v>
      </c>
      <c r="Y286" s="26">
        <f>VLOOKUP($F286,Munition!$B:$P,9,FALSE)</f>
        <v>1</v>
      </c>
      <c r="Z286" s="26">
        <f>VLOOKUP($F286,Munition!$B:$P,14,FALSE)</f>
        <v>8.8534096326270754E-6</v>
      </c>
      <c r="AA286" s="30">
        <f t="shared" si="53"/>
        <v>23.83636804598197</v>
      </c>
      <c r="AB286" s="30">
        <f t="shared" si="54"/>
        <v>21.368355870544846</v>
      </c>
      <c r="AC286" s="30">
        <f t="shared" si="55"/>
        <v>19.155881119532278</v>
      </c>
      <c r="AD286" s="30">
        <f t="shared" si="56"/>
        <v>12.371610384246594</v>
      </c>
      <c r="AE286" s="30">
        <f t="shared" si="57"/>
        <v>6.4211436576386696</v>
      </c>
      <c r="AF286" s="32" t="str">
        <f t="shared" si="51"/>
        <v>6D6+2</v>
      </c>
      <c r="AG286" s="33" t="str">
        <f t="shared" si="58"/>
        <v>2</v>
      </c>
      <c r="AH286" s="33" t="str">
        <f t="shared" si="59"/>
        <v>2</v>
      </c>
      <c r="AI286" s="33" t="str">
        <f t="shared" si="60"/>
        <v>2+1</v>
      </c>
      <c r="AJ286" s="33" t="str">
        <f t="shared" si="61"/>
        <v>3+2</v>
      </c>
      <c r="AK286">
        <v>1980</v>
      </c>
    </row>
    <row r="287" spans="1:37">
      <c r="A287" t="s">
        <v>575</v>
      </c>
      <c r="B287" t="s">
        <v>480</v>
      </c>
      <c r="C287" t="s">
        <v>681</v>
      </c>
      <c r="D287" t="s">
        <v>681</v>
      </c>
      <c r="F287" t="s">
        <v>130</v>
      </c>
      <c r="G287" t="s">
        <v>131</v>
      </c>
      <c r="H287">
        <v>15.153</v>
      </c>
      <c r="I287">
        <v>36</v>
      </c>
      <c r="J287" s="9">
        <v>200</v>
      </c>
      <c r="K287" s="9">
        <v>400</v>
      </c>
      <c r="L287" s="9">
        <v>1200</v>
      </c>
      <c r="M287" s="10">
        <v>2400</v>
      </c>
      <c r="N287" s="10">
        <v>2</v>
      </c>
      <c r="O287" s="10"/>
      <c r="P287" s="18">
        <v>5</v>
      </c>
      <c r="Q287" s="22" t="s">
        <v>712</v>
      </c>
      <c r="R287">
        <v>1</v>
      </c>
      <c r="S287" s="26">
        <f>VLOOKUP($F287,Munition!$B:$P,10,FALSE)</f>
        <v>30</v>
      </c>
      <c r="T287" s="26">
        <f>VLOOKUP($F287,Munition!$B:$P,11,FALSE)</f>
        <v>903</v>
      </c>
      <c r="U287" s="28">
        <f t="shared" si="50"/>
        <v>945.11153087107141</v>
      </c>
      <c r="V287" s="26">
        <f>VLOOKUP($F287,Munition!$B:$P,5,FALSE)</f>
        <v>42</v>
      </c>
      <c r="W287" s="30">
        <f t="shared" si="52"/>
        <v>18757.951921494663</v>
      </c>
      <c r="X287" s="26">
        <f>VLOOKUP($F287,Munition!$B:$P,15,FALSE)</f>
        <v>331.55224055351755</v>
      </c>
      <c r="Y287" s="26">
        <f>VLOOKUP($F287,Munition!$B:$P,9,FALSE)</f>
        <v>1</v>
      </c>
      <c r="Z287" s="26">
        <f>VLOOKUP($F287,Munition!$B:$P,14,FALSE)</f>
        <v>2.7156353957881518E-5</v>
      </c>
      <c r="AA287" s="30">
        <f t="shared" si="53"/>
        <v>29.615433275079596</v>
      </c>
      <c r="AB287" s="30">
        <f t="shared" si="54"/>
        <v>22.866287800232506</v>
      </c>
      <c r="AC287" s="30">
        <f t="shared" si="55"/>
        <v>17.655224318566265</v>
      </c>
      <c r="AD287" s="30">
        <f t="shared" si="56"/>
        <v>6.2745637779513608</v>
      </c>
      <c r="AE287" s="30">
        <f t="shared" si="57"/>
        <v>1.3293795244490958</v>
      </c>
      <c r="AF287" s="32" t="str">
        <f t="shared" si="51"/>
        <v>11D6+1</v>
      </c>
      <c r="AG287" s="33" t="str">
        <f t="shared" si="58"/>
        <v>2+2</v>
      </c>
      <c r="AH287" s="33" t="str">
        <f t="shared" si="59"/>
        <v>3+1</v>
      </c>
      <c r="AI287" s="33" t="str">
        <f t="shared" si="60"/>
        <v>4+1</v>
      </c>
      <c r="AJ287" s="33" t="str">
        <f t="shared" si="61"/>
        <v>-</v>
      </c>
      <c r="AK287">
        <v>1980</v>
      </c>
    </row>
    <row r="288" spans="1:37">
      <c r="A288" t="s">
        <v>575</v>
      </c>
      <c r="B288" t="s">
        <v>480</v>
      </c>
      <c r="C288" t="s">
        <v>681</v>
      </c>
      <c r="D288" t="s">
        <v>681</v>
      </c>
      <c r="F288" t="s">
        <v>130</v>
      </c>
      <c r="G288" t="s">
        <v>131</v>
      </c>
      <c r="H288">
        <v>15.153</v>
      </c>
      <c r="I288">
        <v>36</v>
      </c>
      <c r="J288" s="9">
        <v>200</v>
      </c>
      <c r="K288" s="9">
        <v>400</v>
      </c>
      <c r="L288" s="9">
        <v>1200</v>
      </c>
      <c r="M288" s="10">
        <v>2400</v>
      </c>
      <c r="N288" s="10">
        <v>2</v>
      </c>
      <c r="O288" s="10"/>
      <c r="P288" s="18">
        <v>5</v>
      </c>
      <c r="Q288" s="22" t="s">
        <v>712</v>
      </c>
      <c r="R288">
        <v>1</v>
      </c>
      <c r="S288" s="26">
        <f>VLOOKUP($F288,Munition!$B:$P,10,FALSE)</f>
        <v>30</v>
      </c>
      <c r="T288" s="26">
        <f>VLOOKUP($F288,Munition!$B:$P,11,FALSE)</f>
        <v>903</v>
      </c>
      <c r="U288" s="28">
        <f t="shared" si="50"/>
        <v>945.11153087107141</v>
      </c>
      <c r="V288" s="26">
        <f>VLOOKUP($F288,Munition!$B:$P,5,FALSE)</f>
        <v>42</v>
      </c>
      <c r="W288" s="30">
        <f t="shared" si="52"/>
        <v>18757.951921494663</v>
      </c>
      <c r="X288" s="26">
        <f>VLOOKUP($F288,Munition!$B:$P,15,FALSE)</f>
        <v>331.55224055351755</v>
      </c>
      <c r="Y288" s="26">
        <f>VLOOKUP($F288,Munition!$B:$P,9,FALSE)</f>
        <v>1</v>
      </c>
      <c r="Z288" s="26">
        <f>VLOOKUP($F288,Munition!$B:$P,14,FALSE)</f>
        <v>2.7156353957881518E-5</v>
      </c>
      <c r="AA288" s="30">
        <f t="shared" si="53"/>
        <v>29.615433275079596</v>
      </c>
      <c r="AB288" s="30">
        <f t="shared" si="54"/>
        <v>22.866287800232506</v>
      </c>
      <c r="AC288" s="30">
        <f t="shared" si="55"/>
        <v>17.655224318566265</v>
      </c>
      <c r="AD288" s="30">
        <f t="shared" si="56"/>
        <v>6.2745637779513608</v>
      </c>
      <c r="AE288" s="30">
        <f t="shared" si="57"/>
        <v>1.3293795244490958</v>
      </c>
      <c r="AF288" s="32" t="str">
        <f t="shared" si="51"/>
        <v>11D6+1</v>
      </c>
      <c r="AG288" s="33" t="str">
        <f t="shared" si="58"/>
        <v>2+2</v>
      </c>
      <c r="AH288" s="33" t="str">
        <f t="shared" si="59"/>
        <v>3+1</v>
      </c>
      <c r="AI288" s="33" t="str">
        <f t="shared" si="60"/>
        <v>4+1</v>
      </c>
      <c r="AJ288" s="33" t="str">
        <f t="shared" si="61"/>
        <v>-</v>
      </c>
      <c r="AK288">
        <v>1980</v>
      </c>
    </row>
    <row r="289" spans="1:37">
      <c r="A289" t="s">
        <v>576</v>
      </c>
      <c r="B289" t="s">
        <v>481</v>
      </c>
      <c r="C289" t="s">
        <v>681</v>
      </c>
      <c r="D289" t="s">
        <v>681</v>
      </c>
      <c r="F289" t="s">
        <v>154</v>
      </c>
      <c r="G289" t="s">
        <v>155</v>
      </c>
      <c r="H289">
        <v>3.58</v>
      </c>
      <c r="I289">
        <v>18.5</v>
      </c>
      <c r="J289" s="9">
        <v>6</v>
      </c>
      <c r="K289" s="9">
        <v>12</v>
      </c>
      <c r="L289" s="9">
        <v>36</v>
      </c>
      <c r="M289" s="10">
        <v>72</v>
      </c>
      <c r="N289" s="10">
        <v>2</v>
      </c>
      <c r="O289" s="10"/>
      <c r="P289" s="18">
        <v>6</v>
      </c>
      <c r="Q289" s="22" t="s">
        <v>702</v>
      </c>
      <c r="R289">
        <v>1</v>
      </c>
      <c r="S289" s="26">
        <f>VLOOKUP($F289,Munition!$B:$P,10,FALSE)</f>
        <v>20</v>
      </c>
      <c r="T289" s="26">
        <f>VLOOKUP($F289,Munition!$B:$P,11,FALSE)</f>
        <v>408</v>
      </c>
      <c r="U289" s="28">
        <f t="shared" si="50"/>
        <v>400.12491627253473</v>
      </c>
      <c r="V289" s="26">
        <f>VLOOKUP($F289,Munition!$B:$P,5,FALSE)</f>
        <v>38</v>
      </c>
      <c r="W289" s="30">
        <f t="shared" si="52"/>
        <v>3041.8990238199558</v>
      </c>
      <c r="X289" s="26">
        <f>VLOOKUP($F289,Munition!$B:$P,15,FALSE)</f>
        <v>141.36772154838914</v>
      </c>
      <c r="Y289" s="26">
        <f>VLOOKUP($F289,Munition!$B:$P,9,FALSE)</f>
        <v>1</v>
      </c>
      <c r="Z289" s="26">
        <f>VLOOKUP($F289,Munition!$B:$P,14,FALSE)</f>
        <v>9.8784926622870443E-5</v>
      </c>
      <c r="AA289" s="30">
        <f t="shared" si="53"/>
        <v>2.2632964956720856</v>
      </c>
      <c r="AB289" s="30">
        <f t="shared" si="54"/>
        <v>2.1937823113397972</v>
      </c>
      <c r="AC289" s="30">
        <f t="shared" si="55"/>
        <v>2.1264031640354122</v>
      </c>
      <c r="AD289" s="30">
        <f t="shared" si="56"/>
        <v>1.8769552892742285</v>
      </c>
      <c r="AE289" s="30">
        <f t="shared" si="57"/>
        <v>1.5565619284398526</v>
      </c>
      <c r="AF289" s="32" t="str">
        <f t="shared" si="51"/>
        <v>4D6+1</v>
      </c>
      <c r="AG289" s="33" t="str">
        <f t="shared" si="58"/>
        <v>-</v>
      </c>
      <c r="AH289" s="33" t="str">
        <f t="shared" si="59"/>
        <v>-</v>
      </c>
      <c r="AI289" s="33" t="str">
        <f t="shared" si="60"/>
        <v>-</v>
      </c>
      <c r="AJ289" s="33" t="str">
        <f t="shared" si="61"/>
        <v>-</v>
      </c>
      <c r="AK289">
        <v>1950</v>
      </c>
    </row>
    <row r="290" spans="1:37">
      <c r="A290" t="s">
        <v>572</v>
      </c>
      <c r="B290" t="s">
        <v>482</v>
      </c>
      <c r="C290" t="s">
        <v>681</v>
      </c>
      <c r="D290" t="s">
        <v>681</v>
      </c>
      <c r="F290" t="s">
        <v>51</v>
      </c>
      <c r="G290" t="s">
        <v>52</v>
      </c>
      <c r="H290">
        <v>3.95</v>
      </c>
      <c r="I290">
        <v>24</v>
      </c>
      <c r="J290" s="9">
        <v>116</v>
      </c>
      <c r="K290" s="9">
        <v>232</v>
      </c>
      <c r="L290" s="9">
        <v>696</v>
      </c>
      <c r="M290" s="10">
        <v>1392</v>
      </c>
      <c r="N290" s="10">
        <v>2</v>
      </c>
      <c r="O290" s="10"/>
      <c r="P290" s="18">
        <v>10</v>
      </c>
      <c r="Q290" s="22" t="s">
        <v>712</v>
      </c>
      <c r="R290">
        <v>1</v>
      </c>
      <c r="S290" s="26">
        <f>VLOOKUP($F290,Munition!$B:$P,10,FALSE)</f>
        <v>22</v>
      </c>
      <c r="T290" s="26">
        <f>VLOOKUP($F290,Munition!$B:$P,11,FALSE)</f>
        <v>832</v>
      </c>
      <c r="U290" s="28">
        <f t="shared" si="50"/>
        <v>850.29664699895284</v>
      </c>
      <c r="V290" s="26">
        <f>VLOOKUP($F290,Munition!$B:$P,5,FALSE)</f>
        <v>9.4499999999999993</v>
      </c>
      <c r="W290" s="30">
        <f t="shared" si="52"/>
        <v>3416.1957328164517</v>
      </c>
      <c r="X290" s="26">
        <f>VLOOKUP($F290,Munition!$B:$P,15,FALSE)</f>
        <v>207.22015034594844</v>
      </c>
      <c r="Y290" s="26">
        <f>VLOOKUP($F290,Munition!$B:$P,9,FALSE)</f>
        <v>1</v>
      </c>
      <c r="Z290" s="26">
        <f>VLOOKUP($F290,Munition!$B:$P,14,FALSE)</f>
        <v>6.9830624463123905E-6</v>
      </c>
      <c r="AA290" s="30">
        <f t="shared" si="53"/>
        <v>14.982107796093388</v>
      </c>
      <c r="AB290" s="30">
        <f t="shared" si="54"/>
        <v>12.621739004351939</v>
      </c>
      <c r="AC290" s="30">
        <f t="shared" si="55"/>
        <v>10.633236501977313</v>
      </c>
      <c r="AD290" s="30">
        <f t="shared" si="56"/>
        <v>5.3561235383318744</v>
      </c>
      <c r="AE290" s="30">
        <f t="shared" si="57"/>
        <v>1.9148213154195315</v>
      </c>
      <c r="AF290" s="32" t="str">
        <f t="shared" si="51"/>
        <v>4D6+2</v>
      </c>
      <c r="AG290" s="33" t="str">
        <f t="shared" si="58"/>
        <v>2</v>
      </c>
      <c r="AH290" s="33" t="str">
        <f t="shared" si="59"/>
        <v>2+2</v>
      </c>
      <c r="AI290" s="33" t="str">
        <f t="shared" si="60"/>
        <v>3</v>
      </c>
      <c r="AJ290" s="33" t="str">
        <f t="shared" si="61"/>
        <v>-</v>
      </c>
      <c r="AK290">
        <v>1988</v>
      </c>
    </row>
    <row r="291" spans="1:37">
      <c r="A291" t="s">
        <v>574</v>
      </c>
      <c r="B291" t="s">
        <v>483</v>
      </c>
      <c r="C291" t="s">
        <v>681</v>
      </c>
      <c r="D291" t="s">
        <v>681</v>
      </c>
      <c r="F291" t="s">
        <v>5</v>
      </c>
      <c r="G291" t="s">
        <v>6</v>
      </c>
      <c r="H291">
        <v>4.5999999999999996</v>
      </c>
      <c r="I291">
        <v>23.2</v>
      </c>
      <c r="J291" s="9">
        <v>50</v>
      </c>
      <c r="K291" s="9">
        <v>100</v>
      </c>
      <c r="L291" s="9">
        <v>300</v>
      </c>
      <c r="M291" s="10">
        <v>600</v>
      </c>
      <c r="N291" s="10"/>
      <c r="O291" s="10">
        <v>3</v>
      </c>
      <c r="P291" s="18">
        <v>100</v>
      </c>
      <c r="Q291" s="22">
        <v>50</v>
      </c>
      <c r="R291">
        <v>10</v>
      </c>
      <c r="S291" s="26">
        <f>VLOOKUP($F291,Munition!$B:$P,10,FALSE)</f>
        <v>16</v>
      </c>
      <c r="T291" s="26">
        <f>VLOOKUP($F291,Munition!$B:$P,11,FALSE)</f>
        <v>900</v>
      </c>
      <c r="U291" s="28">
        <f t="shared" si="50"/>
        <v>987.60779709466442</v>
      </c>
      <c r="V291" s="26">
        <f>VLOOKUP($F291,Munition!$B:$P,5,FALSE)</f>
        <v>3.43</v>
      </c>
      <c r="W291" s="30">
        <f t="shared" si="52"/>
        <v>1672.7581109129319</v>
      </c>
      <c r="X291" s="26">
        <f>VLOOKUP($F291,Munition!$B:$P,15,FALSE)</f>
        <v>147.03178649748705</v>
      </c>
      <c r="Y291" s="26">
        <f>VLOOKUP($F291,Munition!$B:$P,9,FALSE)</f>
        <v>1</v>
      </c>
      <c r="Z291" s="26">
        <f>VLOOKUP($F291,Munition!$B:$P,14,FALSE)</f>
        <v>3.5721442452103835E-6</v>
      </c>
      <c r="AA291" s="30">
        <f t="shared" si="53"/>
        <v>14.341027021906118</v>
      </c>
      <c r="AB291" s="30">
        <f t="shared" si="54"/>
        <v>12.922633448865106</v>
      </c>
      <c r="AC291" s="30">
        <f t="shared" si="55"/>
        <v>11.644525527958416</v>
      </c>
      <c r="AD291" s="30">
        <f t="shared" si="56"/>
        <v>7.6772358686764592</v>
      </c>
      <c r="AE291" s="30">
        <f t="shared" si="57"/>
        <v>4.1098835176351605</v>
      </c>
      <c r="AF291" s="32" t="str">
        <f t="shared" si="51"/>
        <v>3D6+1</v>
      </c>
      <c r="AG291" s="33" t="str">
        <f t="shared" si="58"/>
        <v>1+1</v>
      </c>
      <c r="AH291" s="33" t="str">
        <f t="shared" si="59"/>
        <v>1+2</v>
      </c>
      <c r="AI291" s="33" t="str">
        <f t="shared" si="60"/>
        <v>2</v>
      </c>
      <c r="AJ291" s="33" t="str">
        <f t="shared" si="61"/>
        <v>3</v>
      </c>
      <c r="AK291">
        <v>1974</v>
      </c>
    </row>
    <row r="292" spans="1:37">
      <c r="A292" t="s">
        <v>575</v>
      </c>
      <c r="B292" t="s">
        <v>484</v>
      </c>
      <c r="C292" t="s">
        <v>681</v>
      </c>
      <c r="D292" t="s">
        <v>681</v>
      </c>
      <c r="F292" t="s">
        <v>10</v>
      </c>
      <c r="G292" t="s">
        <v>11</v>
      </c>
      <c r="H292">
        <v>2.8919999999999999</v>
      </c>
      <c r="I292">
        <v>18.5</v>
      </c>
      <c r="J292" s="9">
        <v>33</v>
      </c>
      <c r="K292" s="9">
        <v>66</v>
      </c>
      <c r="L292" s="9">
        <v>198</v>
      </c>
      <c r="M292" s="10">
        <v>396</v>
      </c>
      <c r="N292" s="10">
        <v>2</v>
      </c>
      <c r="O292" s="10">
        <v>10</v>
      </c>
      <c r="P292" s="19">
        <v>30</v>
      </c>
      <c r="Q292" s="22" t="s">
        <v>695</v>
      </c>
      <c r="R292">
        <v>10</v>
      </c>
      <c r="S292" s="26">
        <f>VLOOKUP($F292,Munition!$B:$P,10,FALSE)</f>
        <v>20</v>
      </c>
      <c r="T292" s="26">
        <f>VLOOKUP($F292,Munition!$B:$P,11,FALSE)</f>
        <v>878</v>
      </c>
      <c r="U292" s="28">
        <f t="shared" si="50"/>
        <v>861.05312864530765</v>
      </c>
      <c r="V292" s="26">
        <f>VLOOKUP($F292,Munition!$B:$P,5,FALSE)</f>
        <v>3.56</v>
      </c>
      <c r="W292" s="30">
        <f t="shared" si="52"/>
        <v>1319.7142328227735</v>
      </c>
      <c r="X292" s="26">
        <f>VLOOKUP($F292,Munition!$B:$P,15,FALSE)</f>
        <v>146.62584685242678</v>
      </c>
      <c r="Y292" s="26">
        <f>VLOOKUP($F292,Munition!$B:$P,9,FALSE)</f>
        <v>1</v>
      </c>
      <c r="Z292" s="26">
        <f>VLOOKUP($F292,Munition!$B:$P,14,FALSE)</f>
        <v>3.7177960891755132E-6</v>
      </c>
      <c r="AA292" s="30">
        <f t="shared" si="53"/>
        <v>10.871023426451679</v>
      </c>
      <c r="AB292" s="30">
        <f t="shared" si="54"/>
        <v>10.146972803618524</v>
      </c>
      <c r="AC292" s="30">
        <f t="shared" si="55"/>
        <v>9.4711466472279202</v>
      </c>
      <c r="AD292" s="30">
        <f t="shared" si="56"/>
        <v>7.1889724624684703</v>
      </c>
      <c r="AE292" s="30">
        <f t="shared" si="57"/>
        <v>4.7540441261838824</v>
      </c>
      <c r="AF292" s="32" t="str">
        <f t="shared" si="51"/>
        <v>3D6</v>
      </c>
      <c r="AG292" s="33" t="str">
        <f t="shared" si="58"/>
        <v>1+2</v>
      </c>
      <c r="AH292" s="33" t="str">
        <f t="shared" si="59"/>
        <v>2</v>
      </c>
      <c r="AI292" s="33" t="str">
        <f t="shared" si="60"/>
        <v>2</v>
      </c>
      <c r="AJ292" s="33" t="str">
        <f t="shared" si="61"/>
        <v>2+2</v>
      </c>
      <c r="AK292">
        <v>1979</v>
      </c>
    </row>
    <row r="293" spans="1:37">
      <c r="A293" t="s">
        <v>575</v>
      </c>
      <c r="B293" t="s">
        <v>485</v>
      </c>
      <c r="C293" t="s">
        <v>681</v>
      </c>
      <c r="D293" t="s">
        <v>681</v>
      </c>
      <c r="F293" t="s">
        <v>10</v>
      </c>
      <c r="G293" t="s">
        <v>11</v>
      </c>
      <c r="H293">
        <v>3.1469999999999998</v>
      </c>
      <c r="I293">
        <v>18.5</v>
      </c>
      <c r="J293" s="9">
        <v>25</v>
      </c>
      <c r="K293" s="9">
        <v>50</v>
      </c>
      <c r="L293" s="9">
        <v>150</v>
      </c>
      <c r="M293" s="10">
        <v>300</v>
      </c>
      <c r="N293" s="10">
        <v>2</v>
      </c>
      <c r="O293" s="10">
        <v>10</v>
      </c>
      <c r="P293" s="19">
        <v>30</v>
      </c>
      <c r="Q293" s="22" t="s">
        <v>695</v>
      </c>
      <c r="R293">
        <v>10</v>
      </c>
      <c r="S293" s="26">
        <f>VLOOKUP($F293,Munition!$B:$P,10,FALSE)</f>
        <v>20</v>
      </c>
      <c r="T293" s="26">
        <f>VLOOKUP($F293,Munition!$B:$P,11,FALSE)</f>
        <v>878</v>
      </c>
      <c r="U293" s="28">
        <f t="shared" si="50"/>
        <v>861.05312864530765</v>
      </c>
      <c r="V293" s="26">
        <f>VLOOKUP($F293,Munition!$B:$P,5,FALSE)</f>
        <v>3.56</v>
      </c>
      <c r="W293" s="30">
        <f t="shared" si="52"/>
        <v>1319.7142328227735</v>
      </c>
      <c r="X293" s="26">
        <f>VLOOKUP($F293,Munition!$B:$P,15,FALSE)</f>
        <v>146.62584685242678</v>
      </c>
      <c r="Y293" s="26">
        <f>VLOOKUP($F293,Munition!$B:$P,9,FALSE)</f>
        <v>1</v>
      </c>
      <c r="Z293" s="26">
        <f>VLOOKUP($F293,Munition!$B:$P,14,FALSE)</f>
        <v>3.7177960891755132E-6</v>
      </c>
      <c r="AA293" s="30">
        <f t="shared" si="53"/>
        <v>10.871023426451679</v>
      </c>
      <c r="AB293" s="30">
        <f t="shared" si="54"/>
        <v>10.31794498600139</v>
      </c>
      <c r="AC293" s="30">
        <f t="shared" si="55"/>
        <v>9.7930051806447018</v>
      </c>
      <c r="AD293" s="30">
        <f t="shared" si="56"/>
        <v>7.9470709349641924</v>
      </c>
      <c r="AE293" s="30">
        <f t="shared" si="57"/>
        <v>5.8095667691856736</v>
      </c>
      <c r="AF293" s="32" t="str">
        <f t="shared" si="51"/>
        <v>3D6</v>
      </c>
      <c r="AG293" s="33" t="str">
        <f t="shared" si="58"/>
        <v>1+2</v>
      </c>
      <c r="AH293" s="33" t="str">
        <f t="shared" si="59"/>
        <v>2</v>
      </c>
      <c r="AI293" s="33" t="str">
        <f t="shared" si="60"/>
        <v>2</v>
      </c>
      <c r="AJ293" s="33" t="str">
        <f t="shared" si="61"/>
        <v>2+1</v>
      </c>
      <c r="AK293">
        <v>1979</v>
      </c>
    </row>
    <row r="294" spans="1:37">
      <c r="A294" t="s">
        <v>575</v>
      </c>
      <c r="B294" t="s">
        <v>486</v>
      </c>
      <c r="C294" t="s">
        <v>681</v>
      </c>
      <c r="D294" t="s">
        <v>681</v>
      </c>
      <c r="F294" t="s">
        <v>10</v>
      </c>
      <c r="G294" t="s">
        <v>11</v>
      </c>
      <c r="H294">
        <v>2.9</v>
      </c>
      <c r="I294">
        <v>18.5</v>
      </c>
      <c r="J294" s="9">
        <v>50</v>
      </c>
      <c r="K294" s="9">
        <v>100</v>
      </c>
      <c r="L294" s="9">
        <v>300</v>
      </c>
      <c r="M294" s="10">
        <v>600</v>
      </c>
      <c r="N294" s="10">
        <v>2</v>
      </c>
      <c r="O294" s="10"/>
      <c r="P294" s="18">
        <v>20</v>
      </c>
      <c r="Q294" s="22" t="s">
        <v>701</v>
      </c>
      <c r="R294">
        <v>1</v>
      </c>
      <c r="S294" s="26">
        <f>VLOOKUP($F294,Munition!$B:$P,10,FALSE)</f>
        <v>20</v>
      </c>
      <c r="T294" s="26">
        <f>VLOOKUP($F294,Munition!$B:$P,11,FALSE)</f>
        <v>878</v>
      </c>
      <c r="U294" s="28">
        <f t="shared" si="50"/>
        <v>861.05312864530765</v>
      </c>
      <c r="V294" s="26">
        <f>VLOOKUP($F294,Munition!$B:$P,5,FALSE)</f>
        <v>3.56</v>
      </c>
      <c r="W294" s="30">
        <f t="shared" si="52"/>
        <v>1319.7142328227735</v>
      </c>
      <c r="X294" s="26">
        <f>VLOOKUP($F294,Munition!$B:$P,15,FALSE)</f>
        <v>146.62584685242678</v>
      </c>
      <c r="Y294" s="26">
        <f>VLOOKUP($F294,Munition!$B:$P,9,FALSE)</f>
        <v>1</v>
      </c>
      <c r="Z294" s="26">
        <f>VLOOKUP($F294,Munition!$B:$P,14,FALSE)</f>
        <v>3.7177960891755132E-6</v>
      </c>
      <c r="AA294" s="30">
        <f t="shared" si="53"/>
        <v>10.871023426451679</v>
      </c>
      <c r="AB294" s="30">
        <f t="shared" si="54"/>
        <v>9.7930051806447018</v>
      </c>
      <c r="AC294" s="30">
        <f t="shared" si="55"/>
        <v>8.8218879406312602</v>
      </c>
      <c r="AD294" s="30">
        <f t="shared" si="56"/>
        <v>5.8095667691856736</v>
      </c>
      <c r="AE294" s="30">
        <f t="shared" si="57"/>
        <v>3.1046815669169128</v>
      </c>
      <c r="AF294" s="32" t="str">
        <f t="shared" si="51"/>
        <v>3D6</v>
      </c>
      <c r="AG294" s="33" t="str">
        <f t="shared" si="58"/>
        <v>1+2</v>
      </c>
      <c r="AH294" s="33" t="str">
        <f t="shared" si="59"/>
        <v>2</v>
      </c>
      <c r="AI294" s="33" t="str">
        <f t="shared" si="60"/>
        <v>2+1</v>
      </c>
      <c r="AJ294" s="33" t="str">
        <f t="shared" si="61"/>
        <v>-</v>
      </c>
      <c r="AK294">
        <v>1973</v>
      </c>
    </row>
    <row r="295" spans="1:37">
      <c r="A295" t="s">
        <v>580</v>
      </c>
      <c r="B295" t="s">
        <v>487</v>
      </c>
      <c r="C295" t="s">
        <v>681</v>
      </c>
      <c r="D295" t="s">
        <v>681</v>
      </c>
      <c r="F295" t="s">
        <v>102</v>
      </c>
      <c r="G295" t="s">
        <v>488</v>
      </c>
      <c r="H295">
        <v>1.54</v>
      </c>
      <c r="I295">
        <v>5</v>
      </c>
      <c r="J295" s="9">
        <v>6</v>
      </c>
      <c r="K295" s="9">
        <v>12</v>
      </c>
      <c r="L295" s="9">
        <v>36</v>
      </c>
      <c r="M295" s="10">
        <v>72</v>
      </c>
      <c r="N295" s="10">
        <v>3</v>
      </c>
      <c r="O295" s="10"/>
      <c r="P295" s="18">
        <v>6</v>
      </c>
      <c r="Q295" s="22" t="s">
        <v>705</v>
      </c>
      <c r="R295">
        <v>1</v>
      </c>
      <c r="S295" s="26">
        <f>VLOOKUP($F295,Munition!$B:$P,10,FALSE)</f>
        <v>5</v>
      </c>
      <c r="T295" s="26">
        <f>VLOOKUP($F295,Munition!$B:$P,11,FALSE)</f>
        <v>450</v>
      </c>
      <c r="U295" s="28">
        <f t="shared" si="50"/>
        <v>450</v>
      </c>
      <c r="V295" s="26">
        <f>VLOOKUP($F295,Munition!$B:$P,5,FALSE)</f>
        <v>19</v>
      </c>
      <c r="W295" s="30">
        <f t="shared" si="52"/>
        <v>1923.75</v>
      </c>
      <c r="X295" s="26">
        <f>VLOOKUP($F295,Munition!$B:$P,15,FALSE)</f>
        <v>185.17026956251715</v>
      </c>
      <c r="Y295" s="26">
        <f>VLOOKUP($F295,Munition!$B:$P,9,FALSE)</f>
        <v>1</v>
      </c>
      <c r="Z295" s="26">
        <f>VLOOKUP($F295,Munition!$B:$P,14,FALSE)</f>
        <v>2.8281402907565187E-5</v>
      </c>
      <c r="AA295" s="30">
        <f t="shared" si="53"/>
        <v>3.7496979586409718</v>
      </c>
      <c r="AB295" s="30">
        <f t="shared" si="54"/>
        <v>3.6833157064226061</v>
      </c>
      <c r="AC295" s="30">
        <f t="shared" si="55"/>
        <v>3.6181086431016363</v>
      </c>
      <c r="AD295" s="30">
        <f t="shared" si="56"/>
        <v>3.3686216686670698</v>
      </c>
      <c r="AE295" s="30">
        <f t="shared" si="57"/>
        <v>3.026273601707937</v>
      </c>
      <c r="AF295" s="32" t="str">
        <f t="shared" si="51"/>
        <v>3D6+1</v>
      </c>
      <c r="AG295" s="33" t="str">
        <f t="shared" si="58"/>
        <v>-</v>
      </c>
      <c r="AH295" s="33" t="str">
        <f t="shared" si="59"/>
        <v>-</v>
      </c>
      <c r="AI295" s="33" t="str">
        <f t="shared" si="60"/>
        <v>-</v>
      </c>
      <c r="AJ295" s="33" t="str">
        <f t="shared" si="61"/>
        <v>-</v>
      </c>
      <c r="AK295">
        <v>1955</v>
      </c>
    </row>
    <row r="296" spans="1:37">
      <c r="A296" t="s">
        <v>571</v>
      </c>
      <c r="B296" t="s">
        <v>489</v>
      </c>
      <c r="C296" t="s">
        <v>681</v>
      </c>
      <c r="D296" t="s">
        <v>681</v>
      </c>
      <c r="F296" t="s">
        <v>182</v>
      </c>
      <c r="G296" t="s">
        <v>79</v>
      </c>
      <c r="H296">
        <v>0.91</v>
      </c>
      <c r="I296">
        <v>4.5</v>
      </c>
      <c r="J296" s="9">
        <v>8</v>
      </c>
      <c r="K296" s="9">
        <v>16</v>
      </c>
      <c r="L296" s="9">
        <v>48</v>
      </c>
      <c r="M296" s="10">
        <v>96</v>
      </c>
      <c r="N296" s="10">
        <v>3</v>
      </c>
      <c r="O296" s="10"/>
      <c r="P296" s="18">
        <v>15</v>
      </c>
      <c r="Q296" s="22" t="s">
        <v>701</v>
      </c>
      <c r="R296">
        <v>1</v>
      </c>
      <c r="S296" s="26">
        <f>VLOOKUP($F296,Munition!$B:$P,10,FALSE)</f>
        <v>4.5</v>
      </c>
      <c r="T296" s="26">
        <f>VLOOKUP($F296,Munition!$B:$P,11,FALSE)</f>
        <v>450</v>
      </c>
      <c r="U296" s="28">
        <f t="shared" si="50"/>
        <v>450</v>
      </c>
      <c r="V296" s="26">
        <f>VLOOKUP($F296,Munition!$B:$P,5,FALSE)</f>
        <v>6.75</v>
      </c>
      <c r="W296" s="30">
        <f t="shared" si="52"/>
        <v>683.4375</v>
      </c>
      <c r="X296" s="26">
        <f>VLOOKUP($F296,Munition!$B:$P,15,FALSE)</f>
        <v>106.1032953945969</v>
      </c>
      <c r="Y296" s="26">
        <f>VLOOKUP($F296,Munition!$B:$P,9,FALSE)</f>
        <v>1</v>
      </c>
      <c r="Z296" s="26">
        <f>VLOOKUP($F296,Munition!$B:$P,14,FALSE)</f>
        <v>1.5586226552622361E-5</v>
      </c>
      <c r="AA296" s="30">
        <f t="shared" si="53"/>
        <v>2.1485917317405869</v>
      </c>
      <c r="AB296" s="30">
        <f t="shared" si="54"/>
        <v>2.0706601913097158</v>
      </c>
      <c r="AC296" s="30">
        <f t="shared" si="55"/>
        <v>1.9955553046838499</v>
      </c>
      <c r="AD296" s="30">
        <f t="shared" si="56"/>
        <v>1.7214067619556606</v>
      </c>
      <c r="AE296" s="30">
        <f t="shared" si="57"/>
        <v>1.3791550978864342</v>
      </c>
      <c r="AF296" s="32" t="str">
        <f t="shared" si="51"/>
        <v>2D6</v>
      </c>
      <c r="AG296" s="33" t="str">
        <f t="shared" si="58"/>
        <v>-</v>
      </c>
      <c r="AH296" s="33" t="str">
        <f t="shared" si="59"/>
        <v>-</v>
      </c>
      <c r="AI296" s="33" t="str">
        <f t="shared" si="60"/>
        <v>-</v>
      </c>
      <c r="AJ296" s="33" t="str">
        <f t="shared" si="61"/>
        <v>-</v>
      </c>
      <c r="AK296">
        <v>1987</v>
      </c>
    </row>
    <row r="297" spans="1:37">
      <c r="A297" t="s">
        <v>577</v>
      </c>
      <c r="B297" t="s">
        <v>490</v>
      </c>
      <c r="C297" t="s">
        <v>681</v>
      </c>
      <c r="D297" t="s">
        <v>681</v>
      </c>
      <c r="F297" t="s">
        <v>64</v>
      </c>
      <c r="G297" t="s">
        <v>491</v>
      </c>
      <c r="H297">
        <v>2.8</v>
      </c>
      <c r="I297">
        <v>10</v>
      </c>
      <c r="J297" s="9">
        <v>25</v>
      </c>
      <c r="K297" s="9">
        <v>50</v>
      </c>
      <c r="L297" s="9">
        <v>150</v>
      </c>
      <c r="M297" s="10">
        <v>300</v>
      </c>
      <c r="N297" s="10">
        <v>1</v>
      </c>
      <c r="O297" s="10">
        <v>5</v>
      </c>
      <c r="P297" s="19">
        <v>30</v>
      </c>
      <c r="Q297" s="22" t="s">
        <v>695</v>
      </c>
      <c r="R297">
        <v>10</v>
      </c>
      <c r="S297" s="26">
        <f>VLOOKUP($F297,Munition!$B:$P,10,FALSE)</f>
        <v>4</v>
      </c>
      <c r="T297" s="26">
        <f>VLOOKUP($F297,Munition!$B:$P,11,FALSE)</f>
        <v>318</v>
      </c>
      <c r="U297" s="28">
        <f t="shared" si="50"/>
        <v>399.8638306391735</v>
      </c>
      <c r="V297" s="26">
        <f>VLOOKUP($F297,Munition!$B:$P,5,FALSE)</f>
        <v>4.7</v>
      </c>
      <c r="W297" s="30">
        <f t="shared" si="52"/>
        <v>375.74404517556906</v>
      </c>
      <c r="X297" s="26">
        <f>VLOOKUP($F297,Munition!$B:$P,15,FALSE)</f>
        <v>102.25513025341134</v>
      </c>
      <c r="Y297" s="26">
        <f>VLOOKUP($F297,Munition!$B:$P,9,FALSE)</f>
        <v>1</v>
      </c>
      <c r="Z297" s="26">
        <f>VLOOKUP($F297,Munition!$B:$P,14,FALSE)</f>
        <v>1.1261048684269658E-5</v>
      </c>
      <c r="AA297" s="30">
        <f t="shared" si="53"/>
        <v>1.6349683523987866</v>
      </c>
      <c r="AB297" s="30">
        <f t="shared" si="54"/>
        <v>1.450379226235164</v>
      </c>
      <c r="AC297" s="30">
        <f t="shared" si="55"/>
        <v>1.2866303478034677</v>
      </c>
      <c r="AD297" s="30">
        <f t="shared" si="56"/>
        <v>0.79678779231552577</v>
      </c>
      <c r="AE297" s="30">
        <f t="shared" si="57"/>
        <v>0.38830769112538605</v>
      </c>
      <c r="AF297" s="32" t="str">
        <f t="shared" si="51"/>
        <v>1D6+1</v>
      </c>
      <c r="AG297" s="33" t="str">
        <f t="shared" si="58"/>
        <v>-</v>
      </c>
      <c r="AH297" s="33" t="str">
        <f t="shared" si="59"/>
        <v>-</v>
      </c>
      <c r="AI297" s="33" t="str">
        <f t="shared" si="60"/>
        <v>-</v>
      </c>
      <c r="AJ297" s="33" t="str">
        <f t="shared" si="61"/>
        <v>-</v>
      </c>
      <c r="AK297">
        <v>2002</v>
      </c>
    </row>
    <row r="298" spans="1:37">
      <c r="A298" t="s">
        <v>578</v>
      </c>
      <c r="B298" t="s">
        <v>492</v>
      </c>
      <c r="C298" t="s">
        <v>681</v>
      </c>
      <c r="D298" t="s">
        <v>681</v>
      </c>
      <c r="E298" t="s">
        <v>773</v>
      </c>
      <c r="F298" t="s">
        <v>177</v>
      </c>
      <c r="G298" t="s">
        <v>178</v>
      </c>
      <c r="H298">
        <v>0.67</v>
      </c>
      <c r="I298">
        <v>4</v>
      </c>
      <c r="J298" s="9">
        <v>5</v>
      </c>
      <c r="K298" s="9">
        <v>10</v>
      </c>
      <c r="L298" s="9">
        <v>30</v>
      </c>
      <c r="M298" s="10">
        <v>60</v>
      </c>
      <c r="N298" s="10">
        <v>3</v>
      </c>
      <c r="O298" s="10"/>
      <c r="P298" s="18">
        <v>8</v>
      </c>
      <c r="Q298" s="22" t="s">
        <v>701</v>
      </c>
      <c r="R298">
        <v>1</v>
      </c>
      <c r="S298" s="26">
        <f>VLOOKUP($F298,Munition!$B:$P,10,FALSE)</f>
        <v>4.5</v>
      </c>
      <c r="T298" s="26">
        <f>VLOOKUP($F298,Munition!$B:$P,11,FALSE)</f>
        <v>340</v>
      </c>
      <c r="U298" s="28">
        <f t="shared" si="50"/>
        <v>330.13440476097992</v>
      </c>
      <c r="V298" s="26">
        <f>VLOOKUP($F298,Munition!$B:$P,5,FALSE)</f>
        <v>5.7</v>
      </c>
      <c r="W298" s="30">
        <f t="shared" si="52"/>
        <v>310.61786683962657</v>
      </c>
      <c r="X298" s="26">
        <f>VLOOKUP($F298,Munition!$B:$P,15,FALSE)</f>
        <v>124.01154094562651</v>
      </c>
      <c r="Y298" s="26">
        <f>VLOOKUP($F298,Munition!$B:$P,9,FALSE)</f>
        <v>1</v>
      </c>
      <c r="Z298" s="26">
        <f>VLOOKUP($F298,Munition!$B:$P,14,FALSE)</f>
        <v>9.8534175987359497E-6</v>
      </c>
      <c r="AA298" s="30">
        <f t="shared" si="53"/>
        <v>1.351585975860544</v>
      </c>
      <c r="AB298" s="30">
        <f t="shared" si="54"/>
        <v>1.3284223063985259</v>
      </c>
      <c r="AC298" s="30">
        <f t="shared" si="55"/>
        <v>1.3056556191429887</v>
      </c>
      <c r="AD298" s="30">
        <f t="shared" si="56"/>
        <v>1.2184243584980881</v>
      </c>
      <c r="AE298" s="30">
        <f t="shared" si="57"/>
        <v>1.0983821554054456</v>
      </c>
      <c r="AF298" s="32" t="str">
        <f t="shared" si="51"/>
        <v>1D6+1</v>
      </c>
      <c r="AG298" s="33" t="str">
        <f t="shared" si="58"/>
        <v>-</v>
      </c>
      <c r="AH298" s="33" t="str">
        <f t="shared" si="59"/>
        <v>-</v>
      </c>
      <c r="AI298" s="33" t="str">
        <f t="shared" si="60"/>
        <v>-</v>
      </c>
      <c r="AJ298" s="33" t="str">
        <f t="shared" si="61"/>
        <v>-</v>
      </c>
      <c r="AK298">
        <v>1935</v>
      </c>
    </row>
    <row r="299" spans="1:37">
      <c r="A299" t="s">
        <v>576</v>
      </c>
      <c r="B299" t="s">
        <v>493</v>
      </c>
      <c r="C299" t="s">
        <v>681</v>
      </c>
      <c r="D299" t="s">
        <v>681</v>
      </c>
      <c r="F299" t="s">
        <v>154</v>
      </c>
      <c r="G299" t="s">
        <v>155</v>
      </c>
      <c r="H299">
        <v>3.6</v>
      </c>
      <c r="I299">
        <v>20</v>
      </c>
      <c r="J299" s="9">
        <v>8</v>
      </c>
      <c r="K299" s="9">
        <v>16</v>
      </c>
      <c r="L299" s="9">
        <v>48</v>
      </c>
      <c r="M299" s="10">
        <v>96</v>
      </c>
      <c r="N299" s="10">
        <v>2</v>
      </c>
      <c r="O299" s="10"/>
      <c r="P299" s="18">
        <v>7</v>
      </c>
      <c r="Q299" s="22" t="s">
        <v>701</v>
      </c>
      <c r="R299">
        <v>1</v>
      </c>
      <c r="S299" s="26">
        <f>VLOOKUP($F299,Munition!$B:$P,10,FALSE)</f>
        <v>20</v>
      </c>
      <c r="T299" s="26">
        <f>VLOOKUP($F299,Munition!$B:$P,11,FALSE)</f>
        <v>408</v>
      </c>
      <c r="U299" s="28">
        <f t="shared" si="50"/>
        <v>408</v>
      </c>
      <c r="V299" s="26">
        <f>VLOOKUP($F299,Munition!$B:$P,5,FALSE)</f>
        <v>38</v>
      </c>
      <c r="W299" s="30">
        <f t="shared" si="52"/>
        <v>3162.8159999999998</v>
      </c>
      <c r="X299" s="26">
        <f>VLOOKUP($F299,Munition!$B:$P,15,FALSE)</f>
        <v>141.36772154838914</v>
      </c>
      <c r="Y299" s="26">
        <f>VLOOKUP($F299,Munition!$B:$P,9,FALSE)</f>
        <v>1</v>
      </c>
      <c r="Z299" s="26">
        <f>VLOOKUP($F299,Munition!$B:$P,14,FALSE)</f>
        <v>9.8784926622870443E-5</v>
      </c>
      <c r="AA299" s="30">
        <f t="shared" si="53"/>
        <v>2.3532636399831048</v>
      </c>
      <c r="AB299" s="30">
        <f t="shared" si="54"/>
        <v>2.2573904868989088</v>
      </c>
      <c r="AC299" s="30">
        <f t="shared" si="55"/>
        <v>2.1654232546499879</v>
      </c>
      <c r="AD299" s="30">
        <f t="shared" si="56"/>
        <v>1.8335266212232062</v>
      </c>
      <c r="AE299" s="30">
        <f t="shared" si="57"/>
        <v>1.4285776627893347</v>
      </c>
      <c r="AF299" s="32" t="str">
        <f t="shared" si="51"/>
        <v>4D6+2</v>
      </c>
      <c r="AG299" s="33" t="str">
        <f t="shared" si="58"/>
        <v>-</v>
      </c>
      <c r="AH299" s="33" t="str">
        <f t="shared" si="59"/>
        <v>-</v>
      </c>
      <c r="AI299" s="33" t="str">
        <f t="shared" si="60"/>
        <v>-</v>
      </c>
      <c r="AJ299" s="33" t="str">
        <f t="shared" si="61"/>
        <v>-</v>
      </c>
      <c r="AK299">
        <v>1997</v>
      </c>
    </row>
    <row r="300" spans="1:37">
      <c r="A300" t="s">
        <v>575</v>
      </c>
      <c r="B300" t="s">
        <v>494</v>
      </c>
      <c r="C300" t="s">
        <v>681</v>
      </c>
      <c r="D300" t="s">
        <v>681</v>
      </c>
      <c r="F300" t="s">
        <v>10</v>
      </c>
      <c r="G300" t="s">
        <v>11</v>
      </c>
      <c r="H300">
        <v>3.4</v>
      </c>
      <c r="I300">
        <v>15</v>
      </c>
      <c r="J300" s="9">
        <v>50</v>
      </c>
      <c r="K300" s="9">
        <v>100</v>
      </c>
      <c r="L300" s="9">
        <v>300</v>
      </c>
      <c r="M300" s="10">
        <v>600</v>
      </c>
      <c r="N300" s="10">
        <v>2</v>
      </c>
      <c r="O300" s="10">
        <v>5</v>
      </c>
      <c r="P300" s="19">
        <v>30</v>
      </c>
      <c r="Q300" s="22" t="s">
        <v>729</v>
      </c>
      <c r="R300">
        <v>5</v>
      </c>
      <c r="S300" s="26">
        <f>VLOOKUP($F300,Munition!$B:$P,10,FALSE)</f>
        <v>20</v>
      </c>
      <c r="T300" s="26">
        <f>VLOOKUP($F300,Munition!$B:$P,11,FALSE)</f>
        <v>878</v>
      </c>
      <c r="U300" s="28">
        <f t="shared" si="50"/>
        <v>817.07106629164343</v>
      </c>
      <c r="V300" s="26">
        <f>VLOOKUP($F300,Munition!$B:$P,5,FALSE)</f>
        <v>3.56</v>
      </c>
      <c r="W300" s="30">
        <f t="shared" si="52"/>
        <v>1188.3371267203147</v>
      </c>
      <c r="X300" s="26">
        <f>VLOOKUP($F300,Munition!$B:$P,15,FALSE)</f>
        <v>146.62584685242678</v>
      </c>
      <c r="Y300" s="26">
        <f>VLOOKUP($F300,Munition!$B:$P,9,FALSE)</f>
        <v>1</v>
      </c>
      <c r="Z300" s="26">
        <f>VLOOKUP($F300,Munition!$B:$P,14,FALSE)</f>
        <v>3.7177960891755132E-6</v>
      </c>
      <c r="AA300" s="30">
        <f t="shared" si="53"/>
        <v>9.7888167163789728</v>
      </c>
      <c r="AB300" s="30">
        <f t="shared" si="54"/>
        <v>8.8181148228074679</v>
      </c>
      <c r="AC300" s="30">
        <f t="shared" si="55"/>
        <v>7.9436719760119283</v>
      </c>
      <c r="AD300" s="30">
        <f t="shared" si="56"/>
        <v>5.2312263596773958</v>
      </c>
      <c r="AE300" s="30">
        <f t="shared" si="57"/>
        <v>2.7956115656343195</v>
      </c>
      <c r="AF300" s="32" t="str">
        <f t="shared" si="51"/>
        <v>2D6+2</v>
      </c>
      <c r="AG300" s="33" t="str">
        <f t="shared" si="58"/>
        <v>2</v>
      </c>
      <c r="AH300" s="33" t="str">
        <f t="shared" si="59"/>
        <v>2</v>
      </c>
      <c r="AI300" s="33" t="str">
        <f t="shared" si="60"/>
        <v>2+1</v>
      </c>
      <c r="AJ300" s="33" t="str">
        <f t="shared" si="61"/>
        <v>-</v>
      </c>
      <c r="AK300">
        <v>1980</v>
      </c>
    </row>
    <row r="301" spans="1:37">
      <c r="A301" t="s">
        <v>571</v>
      </c>
      <c r="B301" t="s">
        <v>495</v>
      </c>
      <c r="C301" t="s">
        <v>681</v>
      </c>
      <c r="D301" t="s">
        <v>681</v>
      </c>
      <c r="F301" t="s">
        <v>73</v>
      </c>
      <c r="G301" t="s">
        <v>74</v>
      </c>
      <c r="H301">
        <v>0.44</v>
      </c>
      <c r="I301">
        <v>4.7</v>
      </c>
      <c r="J301" s="9">
        <v>4</v>
      </c>
      <c r="K301" s="9">
        <v>8</v>
      </c>
      <c r="L301" s="9">
        <v>24</v>
      </c>
      <c r="M301" s="10">
        <v>48</v>
      </c>
      <c r="N301" s="10">
        <v>4</v>
      </c>
      <c r="O301" s="10"/>
      <c r="P301" s="18">
        <v>8</v>
      </c>
      <c r="Q301" s="22" t="s">
        <v>701</v>
      </c>
      <c r="R301">
        <v>1</v>
      </c>
      <c r="S301" s="26">
        <f>VLOOKUP($F301,Munition!$B:$P,10,FALSE)</f>
        <v>3.7</v>
      </c>
      <c r="T301" s="26">
        <f>VLOOKUP($F301,Munition!$B:$P,11,FALSE)</f>
        <v>297</v>
      </c>
      <c r="U301" s="28">
        <f t="shared" si="50"/>
        <v>315.30472780701598</v>
      </c>
      <c r="V301" s="26">
        <f>VLOOKUP($F301,Munition!$B:$P,5,FALSE)</f>
        <v>5.68</v>
      </c>
      <c r="W301" s="30">
        <f t="shared" si="52"/>
        <v>282.34448271197624</v>
      </c>
      <c r="X301" s="26">
        <f>VLOOKUP($F301,Munition!$B:$P,15,FALSE)</f>
        <v>89.283958198712639</v>
      </c>
      <c r="Y301" s="26">
        <f>VLOOKUP($F301,Munition!$B:$P,9,FALSE)</f>
        <v>1</v>
      </c>
      <c r="Z301" s="26">
        <f>VLOOKUP($F301,Munition!$B:$P,14,FALSE)</f>
        <v>1.5586226552622361E-5</v>
      </c>
      <c r="AA301" s="30">
        <f t="shared" si="53"/>
        <v>0.88763496451032509</v>
      </c>
      <c r="AB301" s="30">
        <f t="shared" si="54"/>
        <v>0.86836154176636071</v>
      </c>
      <c r="AC301" s="30">
        <f t="shared" si="55"/>
        <v>0.84950660729642724</v>
      </c>
      <c r="AD301" s="30">
        <f t="shared" si="56"/>
        <v>0.77809295143174451</v>
      </c>
      <c r="AE301" s="30">
        <f t="shared" si="57"/>
        <v>0.68206939257035171</v>
      </c>
      <c r="AF301" s="32" t="str">
        <f t="shared" si="51"/>
        <v>1D6+1</v>
      </c>
      <c r="AG301" s="33" t="str">
        <f t="shared" si="58"/>
        <v>-</v>
      </c>
      <c r="AH301" s="33" t="str">
        <f t="shared" si="59"/>
        <v>-</v>
      </c>
      <c r="AI301" s="33" t="str">
        <f t="shared" si="60"/>
        <v>-</v>
      </c>
      <c r="AJ301" s="33" t="str">
        <f t="shared" si="61"/>
        <v>-</v>
      </c>
      <c r="AK301">
        <v>1976</v>
      </c>
    </row>
    <row r="302" spans="1:37">
      <c r="A302" t="s">
        <v>571</v>
      </c>
      <c r="B302" t="s">
        <v>496</v>
      </c>
      <c r="C302" t="s">
        <v>681</v>
      </c>
      <c r="D302" t="s">
        <v>681</v>
      </c>
      <c r="F302" t="s">
        <v>182</v>
      </c>
      <c r="G302" t="s">
        <v>79</v>
      </c>
      <c r="H302">
        <v>0.46</v>
      </c>
      <c r="I302">
        <v>4.5</v>
      </c>
      <c r="J302" s="9">
        <v>5</v>
      </c>
      <c r="K302" s="9">
        <v>10</v>
      </c>
      <c r="L302" s="9">
        <v>30</v>
      </c>
      <c r="M302" s="10">
        <v>60</v>
      </c>
      <c r="N302" s="10">
        <v>6</v>
      </c>
      <c r="O302" s="10"/>
      <c r="P302" s="18">
        <v>7</v>
      </c>
      <c r="Q302" s="22" t="s">
        <v>701</v>
      </c>
      <c r="R302">
        <v>1</v>
      </c>
      <c r="S302" s="26">
        <f>VLOOKUP($F302,Munition!$B:$P,10,FALSE)</f>
        <v>4.5</v>
      </c>
      <c r="T302" s="26">
        <f>VLOOKUP($F302,Munition!$B:$P,11,FALSE)</f>
        <v>450</v>
      </c>
      <c r="U302" s="28">
        <f t="shared" si="50"/>
        <v>450</v>
      </c>
      <c r="V302" s="26">
        <f>VLOOKUP($F302,Munition!$B:$P,5,FALSE)</f>
        <v>6.75</v>
      </c>
      <c r="W302" s="30">
        <f t="shared" si="52"/>
        <v>683.4375</v>
      </c>
      <c r="X302" s="26">
        <f>VLOOKUP($F302,Munition!$B:$P,15,FALSE)</f>
        <v>106.1032953945969</v>
      </c>
      <c r="Y302" s="26">
        <f>VLOOKUP($F302,Munition!$B:$P,9,FALSE)</f>
        <v>1</v>
      </c>
      <c r="Z302" s="26">
        <f>VLOOKUP($F302,Munition!$B:$P,14,FALSE)</f>
        <v>1.5586226552622361E-5</v>
      </c>
      <c r="AA302" s="30">
        <f t="shared" si="53"/>
        <v>2.1485917317405869</v>
      </c>
      <c r="AB302" s="30">
        <f t="shared" si="54"/>
        <v>2.0995476421615873</v>
      </c>
      <c r="AC302" s="30">
        <f t="shared" si="55"/>
        <v>2.0516230406114677</v>
      </c>
      <c r="AD302" s="30">
        <f t="shared" si="56"/>
        <v>1.8706171123147532</v>
      </c>
      <c r="AE302" s="30">
        <f t="shared" si="57"/>
        <v>1.6286055322618491</v>
      </c>
      <c r="AF302" s="32" t="str">
        <f t="shared" si="51"/>
        <v>2D6</v>
      </c>
      <c r="AG302" s="33" t="str">
        <f t="shared" si="58"/>
        <v>-</v>
      </c>
      <c r="AH302" s="33" t="str">
        <f t="shared" si="59"/>
        <v>-</v>
      </c>
      <c r="AI302" s="33" t="str">
        <f t="shared" si="60"/>
        <v>-</v>
      </c>
      <c r="AJ302" s="33" t="str">
        <f t="shared" si="61"/>
        <v>-</v>
      </c>
      <c r="AK302">
        <v>1976</v>
      </c>
    </row>
    <row r="303" spans="1:37">
      <c r="A303" t="s">
        <v>571</v>
      </c>
      <c r="B303" t="s">
        <v>497</v>
      </c>
      <c r="C303" t="s">
        <v>681</v>
      </c>
      <c r="D303" t="s">
        <v>681</v>
      </c>
      <c r="F303" t="s">
        <v>106</v>
      </c>
      <c r="G303" t="s">
        <v>208</v>
      </c>
      <c r="H303">
        <v>0.79</v>
      </c>
      <c r="I303">
        <v>4.5</v>
      </c>
      <c r="J303" s="9">
        <v>7</v>
      </c>
      <c r="K303" s="9">
        <v>14</v>
      </c>
      <c r="L303" s="9">
        <v>42</v>
      </c>
      <c r="M303" s="10">
        <v>84</v>
      </c>
      <c r="N303" s="10">
        <v>3</v>
      </c>
      <c r="O303" s="10"/>
      <c r="P303" s="18">
        <v>7</v>
      </c>
      <c r="Q303" s="22" t="s">
        <v>701</v>
      </c>
      <c r="R303">
        <v>1</v>
      </c>
      <c r="S303" s="26">
        <f>VLOOKUP($F303,Munition!$B:$P,10,FALSE)</f>
        <v>4.2</v>
      </c>
      <c r="T303" s="26">
        <f>VLOOKUP($F303,Munition!$B:$P,11,FALSE)</f>
        <v>340</v>
      </c>
      <c r="U303" s="28">
        <f t="shared" si="50"/>
        <v>345.91526128513641</v>
      </c>
      <c r="V303" s="26">
        <f>VLOOKUP($F303,Munition!$B:$P,5,FALSE)</f>
        <v>11.7</v>
      </c>
      <c r="W303" s="30">
        <f t="shared" si="52"/>
        <v>699.99560274129044</v>
      </c>
      <c r="X303" s="26">
        <f>VLOOKUP($F303,Munition!$B:$P,15,FALSE)</f>
        <v>148.96902673401402</v>
      </c>
      <c r="Y303" s="26">
        <f>VLOOKUP($F303,Munition!$B:$P,9,FALSE)</f>
        <v>1</v>
      </c>
      <c r="Z303" s="26">
        <f>VLOOKUP($F303,Munition!$B:$P,14,FALSE)</f>
        <v>1.9242255003237486E-5</v>
      </c>
      <c r="AA303" s="30">
        <f t="shared" si="53"/>
        <v>1.7825241651018728</v>
      </c>
      <c r="AB303" s="30">
        <f t="shared" si="54"/>
        <v>1.7419505821238723</v>
      </c>
      <c r="AC303" s="30">
        <f t="shared" si="55"/>
        <v>1.7023005297593146</v>
      </c>
      <c r="AD303" s="30">
        <f t="shared" si="56"/>
        <v>1.5525223129203496</v>
      </c>
      <c r="AE303" s="30">
        <f t="shared" si="57"/>
        <v>1.3521979557442907</v>
      </c>
      <c r="AF303" s="32" t="str">
        <f t="shared" si="51"/>
        <v>2D6</v>
      </c>
      <c r="AG303" s="33" t="str">
        <f t="shared" si="58"/>
        <v>-</v>
      </c>
      <c r="AH303" s="33" t="str">
        <f t="shared" si="59"/>
        <v>-</v>
      </c>
      <c r="AI303" s="33" t="str">
        <f t="shared" si="60"/>
        <v>-</v>
      </c>
      <c r="AJ303" s="33" t="str">
        <f t="shared" si="61"/>
        <v>-</v>
      </c>
      <c r="AK303">
        <v>1996</v>
      </c>
    </row>
    <row r="304" spans="1:37">
      <c r="A304" t="s">
        <v>576</v>
      </c>
      <c r="B304" t="s">
        <v>498</v>
      </c>
      <c r="C304" t="s">
        <v>681</v>
      </c>
      <c r="D304" t="s">
        <v>681</v>
      </c>
      <c r="F304" t="s">
        <v>154</v>
      </c>
      <c r="G304" t="s">
        <v>155</v>
      </c>
      <c r="H304">
        <v>3.4</v>
      </c>
      <c r="I304">
        <v>26</v>
      </c>
      <c r="J304" s="9">
        <v>6</v>
      </c>
      <c r="K304" s="9">
        <v>12</v>
      </c>
      <c r="L304" s="9">
        <v>36</v>
      </c>
      <c r="M304" s="10">
        <v>72</v>
      </c>
      <c r="N304" s="10">
        <v>2</v>
      </c>
      <c r="O304" s="10"/>
      <c r="P304" s="18">
        <v>2</v>
      </c>
      <c r="Q304" s="22" t="s">
        <v>701</v>
      </c>
      <c r="R304">
        <v>1</v>
      </c>
      <c r="S304" s="26">
        <f>VLOOKUP($F304,Munition!$B:$P,10,FALSE)</f>
        <v>20</v>
      </c>
      <c r="T304" s="26">
        <f>VLOOKUP($F304,Munition!$B:$P,11,FALSE)</f>
        <v>408</v>
      </c>
      <c r="U304" s="28">
        <f t="shared" si="50"/>
        <v>435.6583087279559</v>
      </c>
      <c r="V304" s="26">
        <f>VLOOKUP($F304,Munition!$B:$P,5,FALSE)</f>
        <v>38</v>
      </c>
      <c r="W304" s="30">
        <f t="shared" si="52"/>
        <v>3606.1650773103556</v>
      </c>
      <c r="X304" s="26">
        <f>VLOOKUP($F304,Munition!$B:$P,15,FALSE)</f>
        <v>141.36772154838914</v>
      </c>
      <c r="Y304" s="26">
        <f>VLOOKUP($F304,Munition!$B:$P,9,FALSE)</f>
        <v>1</v>
      </c>
      <c r="Z304" s="26">
        <f>VLOOKUP($F304,Munition!$B:$P,14,FALSE)</f>
        <v>9.8784926622870443E-5</v>
      </c>
      <c r="AA304" s="30">
        <f t="shared" si="53"/>
        <v>2.6831333710880818</v>
      </c>
      <c r="AB304" s="30">
        <f t="shared" si="54"/>
        <v>2.6007244475985662</v>
      </c>
      <c r="AC304" s="30">
        <f t="shared" si="55"/>
        <v>2.5208466061431674</v>
      </c>
      <c r="AD304" s="30">
        <f t="shared" si="56"/>
        <v>2.2251266603037312</v>
      </c>
      <c r="AE304" s="30">
        <f t="shared" si="57"/>
        <v>1.8453009856854778</v>
      </c>
      <c r="AF304" s="32" t="str">
        <f t="shared" si="51"/>
        <v>5D6</v>
      </c>
      <c r="AG304" s="33" t="str">
        <f t="shared" si="58"/>
        <v>-</v>
      </c>
      <c r="AH304" s="33" t="str">
        <f t="shared" si="59"/>
        <v>-</v>
      </c>
      <c r="AI304" s="33" t="str">
        <f t="shared" si="60"/>
        <v>-</v>
      </c>
      <c r="AJ304" s="33" t="str">
        <f t="shared" si="61"/>
        <v>-</v>
      </c>
      <c r="AK304">
        <v>1960</v>
      </c>
    </row>
    <row r="305" spans="1:37">
      <c r="A305" t="s">
        <v>576</v>
      </c>
      <c r="B305" t="s">
        <v>499</v>
      </c>
      <c r="C305" t="s">
        <v>681</v>
      </c>
      <c r="D305" t="s">
        <v>681</v>
      </c>
      <c r="F305" t="s">
        <v>154</v>
      </c>
      <c r="G305" t="s">
        <v>155</v>
      </c>
      <c r="H305">
        <v>3.4</v>
      </c>
      <c r="I305">
        <v>26</v>
      </c>
      <c r="J305" s="9">
        <v>6</v>
      </c>
      <c r="K305" s="9">
        <v>12</v>
      </c>
      <c r="L305" s="9">
        <v>36</v>
      </c>
      <c r="M305" s="10">
        <v>72</v>
      </c>
      <c r="N305" s="10">
        <v>2</v>
      </c>
      <c r="O305" s="10"/>
      <c r="P305" s="18">
        <v>2</v>
      </c>
      <c r="Q305" s="22" t="s">
        <v>701</v>
      </c>
      <c r="R305">
        <v>1</v>
      </c>
      <c r="S305" s="26">
        <f>VLOOKUP($F305,Munition!$B:$P,10,FALSE)</f>
        <v>20</v>
      </c>
      <c r="T305" s="26">
        <f>VLOOKUP($F305,Munition!$B:$P,11,FALSE)</f>
        <v>408</v>
      </c>
      <c r="U305" s="28">
        <f t="shared" si="50"/>
        <v>435.6583087279559</v>
      </c>
      <c r="V305" s="26">
        <f>VLOOKUP($F305,Munition!$B:$P,5,FALSE)</f>
        <v>38</v>
      </c>
      <c r="W305" s="30">
        <f t="shared" si="52"/>
        <v>3606.1650773103556</v>
      </c>
      <c r="X305" s="26">
        <f>VLOOKUP($F305,Munition!$B:$P,15,FALSE)</f>
        <v>141.36772154838914</v>
      </c>
      <c r="Y305" s="26">
        <f>VLOOKUP($F305,Munition!$B:$P,9,FALSE)</f>
        <v>1</v>
      </c>
      <c r="Z305" s="26">
        <f>VLOOKUP($F305,Munition!$B:$P,14,FALSE)</f>
        <v>9.8784926622870443E-5</v>
      </c>
      <c r="AA305" s="30">
        <f t="shared" si="53"/>
        <v>2.6831333710880818</v>
      </c>
      <c r="AB305" s="30">
        <f t="shared" si="54"/>
        <v>2.6007244475985662</v>
      </c>
      <c r="AC305" s="30">
        <f t="shared" si="55"/>
        <v>2.5208466061431674</v>
      </c>
      <c r="AD305" s="30">
        <f t="shared" si="56"/>
        <v>2.2251266603037312</v>
      </c>
      <c r="AE305" s="30">
        <f t="shared" si="57"/>
        <v>1.8453009856854778</v>
      </c>
      <c r="AF305" s="32" t="str">
        <f t="shared" si="51"/>
        <v>5D6</v>
      </c>
      <c r="AG305" s="33" t="str">
        <f t="shared" si="58"/>
        <v>-</v>
      </c>
      <c r="AH305" s="33" t="str">
        <f t="shared" si="59"/>
        <v>-</v>
      </c>
      <c r="AI305" s="33" t="str">
        <f t="shared" si="60"/>
        <v>-</v>
      </c>
      <c r="AJ305" s="33" t="str">
        <f t="shared" si="61"/>
        <v>-</v>
      </c>
      <c r="AK305">
        <v>1960</v>
      </c>
    </row>
    <row r="306" spans="1:37">
      <c r="A306" t="s">
        <v>576</v>
      </c>
      <c r="B306" t="s">
        <v>500</v>
      </c>
      <c r="C306" t="s">
        <v>681</v>
      </c>
      <c r="D306" t="s">
        <v>681</v>
      </c>
      <c r="F306" t="s">
        <v>154</v>
      </c>
      <c r="G306" t="s">
        <v>155</v>
      </c>
      <c r="H306">
        <v>3.4</v>
      </c>
      <c r="I306">
        <v>30</v>
      </c>
      <c r="J306" s="9">
        <v>6</v>
      </c>
      <c r="K306" s="9">
        <v>12</v>
      </c>
      <c r="L306" s="9">
        <v>36</v>
      </c>
      <c r="M306" s="10">
        <v>72</v>
      </c>
      <c r="N306" s="10">
        <v>2</v>
      </c>
      <c r="O306" s="10"/>
      <c r="P306" s="18">
        <v>2</v>
      </c>
      <c r="Q306" s="22" t="s">
        <v>701</v>
      </c>
      <c r="R306">
        <v>1</v>
      </c>
      <c r="S306" s="26">
        <f>VLOOKUP($F306,Munition!$B:$P,10,FALSE)</f>
        <v>20</v>
      </c>
      <c r="T306" s="26">
        <f>VLOOKUP($F306,Munition!$B:$P,11,FALSE)</f>
        <v>408</v>
      </c>
      <c r="U306" s="28">
        <f t="shared" si="50"/>
        <v>451.52622323773124</v>
      </c>
      <c r="V306" s="26">
        <f>VLOOKUP($F306,Munition!$B:$P,5,FALSE)</f>
        <v>38</v>
      </c>
      <c r="W306" s="30">
        <f t="shared" si="52"/>
        <v>3873.6426751552603</v>
      </c>
      <c r="X306" s="26">
        <f>VLOOKUP($F306,Munition!$B:$P,15,FALSE)</f>
        <v>141.36772154838914</v>
      </c>
      <c r="Y306" s="26">
        <f>VLOOKUP($F306,Munition!$B:$P,9,FALSE)</f>
        <v>1</v>
      </c>
      <c r="Z306" s="26">
        <f>VLOOKUP($F306,Munition!$B:$P,14,FALSE)</f>
        <v>9.8784926622870443E-5</v>
      </c>
      <c r="AA306" s="30">
        <f t="shared" si="53"/>
        <v>2.8821475741016109</v>
      </c>
      <c r="AB306" s="30">
        <f t="shared" si="54"/>
        <v>2.7936261903049808</v>
      </c>
      <c r="AC306" s="30">
        <f t="shared" si="55"/>
        <v>2.7078236247464194</v>
      </c>
      <c r="AD306" s="30">
        <f t="shared" si="56"/>
        <v>2.3901694470977857</v>
      </c>
      <c r="AE306" s="30">
        <f t="shared" si="57"/>
        <v>1.9821712243934959</v>
      </c>
      <c r="AF306" s="32" t="str">
        <f t="shared" si="51"/>
        <v>5D6</v>
      </c>
      <c r="AG306" s="33" t="str">
        <f t="shared" si="58"/>
        <v>-</v>
      </c>
      <c r="AH306" s="33" t="str">
        <f t="shared" si="59"/>
        <v>-</v>
      </c>
      <c r="AI306" s="33" t="str">
        <f t="shared" si="60"/>
        <v>-</v>
      </c>
      <c r="AJ306" s="33" t="str">
        <f t="shared" si="61"/>
        <v>-</v>
      </c>
      <c r="AK306">
        <v>1960</v>
      </c>
    </row>
    <row r="307" spans="1:37">
      <c r="A307" t="s">
        <v>575</v>
      </c>
      <c r="B307" t="s">
        <v>848</v>
      </c>
      <c r="C307" t="s">
        <v>681</v>
      </c>
      <c r="D307" t="s">
        <v>681</v>
      </c>
      <c r="F307" t="s">
        <v>10</v>
      </c>
      <c r="G307" t="s">
        <v>11</v>
      </c>
      <c r="H307">
        <v>3.5950000000000002</v>
      </c>
      <c r="I307">
        <v>17.7</v>
      </c>
      <c r="J307" s="9">
        <v>50</v>
      </c>
      <c r="K307" s="9">
        <v>100</v>
      </c>
      <c r="L307" s="9">
        <v>300</v>
      </c>
      <c r="M307" s="10">
        <v>600</v>
      </c>
      <c r="N307" s="10">
        <v>2</v>
      </c>
      <c r="O307" s="10">
        <v>5</v>
      </c>
      <c r="P307" s="19">
        <v>30</v>
      </c>
      <c r="Q307" s="22" t="s">
        <v>729</v>
      </c>
      <c r="R307">
        <v>5</v>
      </c>
      <c r="S307" s="26">
        <f>VLOOKUP($F307,Munition!$B:$P,10,FALSE)</f>
        <v>20</v>
      </c>
      <c r="T307" s="26">
        <f>VLOOKUP($F307,Munition!$B:$P,11,FALSE)</f>
        <v>878</v>
      </c>
      <c r="U307" s="28">
        <f t="shared" si="50"/>
        <v>851.58956977117407</v>
      </c>
      <c r="V307" s="26">
        <f>VLOOKUP($F307,Munition!$B:$P,5,FALSE)</f>
        <v>3.56</v>
      </c>
      <c r="W307" s="30">
        <f t="shared" si="52"/>
        <v>1290.864535710635</v>
      </c>
      <c r="X307" s="26">
        <f>VLOOKUP($F307,Munition!$B:$P,15,FALSE)</f>
        <v>146.62584685242678</v>
      </c>
      <c r="Y307" s="26">
        <f>VLOOKUP($F307,Munition!$B:$P,9,FALSE)</f>
        <v>1</v>
      </c>
      <c r="Z307" s="26">
        <f>VLOOKUP($F307,Munition!$B:$P,14,FALSE)</f>
        <v>3.7177960891755132E-6</v>
      </c>
      <c r="AA307" s="30">
        <f t="shared" si="53"/>
        <v>10.633376725861604</v>
      </c>
      <c r="AB307" s="30">
        <f t="shared" si="54"/>
        <v>9.5789245666356369</v>
      </c>
      <c r="AC307" s="30">
        <f t="shared" si="55"/>
        <v>8.6290364969516222</v>
      </c>
      <c r="AD307" s="30">
        <f t="shared" si="56"/>
        <v>5.6825663644955924</v>
      </c>
      <c r="AE307" s="30">
        <f t="shared" si="57"/>
        <v>3.0368114776146173</v>
      </c>
      <c r="AF307" s="32" t="str">
        <f t="shared" si="51"/>
        <v>2D6+2</v>
      </c>
      <c r="AG307" s="33" t="str">
        <f t="shared" si="58"/>
        <v>1+2</v>
      </c>
      <c r="AH307" s="33" t="str">
        <f t="shared" si="59"/>
        <v>2</v>
      </c>
      <c r="AI307" s="33" t="str">
        <f t="shared" si="60"/>
        <v>2+1</v>
      </c>
      <c r="AJ307" s="33" t="str">
        <f t="shared" si="61"/>
        <v>-</v>
      </c>
      <c r="AK307">
        <v>1972</v>
      </c>
    </row>
    <row r="308" spans="1:37">
      <c r="A308" t="s">
        <v>575</v>
      </c>
      <c r="B308" t="s">
        <v>849</v>
      </c>
      <c r="C308" t="s">
        <v>681</v>
      </c>
      <c r="D308" t="s">
        <v>681</v>
      </c>
      <c r="F308" t="s">
        <v>10</v>
      </c>
      <c r="G308" t="s">
        <v>11</v>
      </c>
      <c r="H308">
        <v>3.4449999999999998</v>
      </c>
      <c r="I308">
        <v>14.2</v>
      </c>
      <c r="J308" s="9">
        <v>50</v>
      </c>
      <c r="K308" s="9">
        <v>100</v>
      </c>
      <c r="L308" s="9">
        <v>300</v>
      </c>
      <c r="M308" s="10">
        <v>600</v>
      </c>
      <c r="N308" s="10">
        <v>2</v>
      </c>
      <c r="O308" s="10">
        <v>5</v>
      </c>
      <c r="P308" s="19">
        <v>25</v>
      </c>
      <c r="Q308" s="22" t="s">
        <v>729</v>
      </c>
      <c r="R308">
        <v>5</v>
      </c>
      <c r="S308" s="26">
        <f>VLOOKUP($F308,Munition!$B:$P,10,FALSE)</f>
        <v>20</v>
      </c>
      <c r="T308" s="26">
        <f>VLOOKUP($F308,Munition!$B:$P,11,FALSE)</f>
        <v>878</v>
      </c>
      <c r="U308" s="28">
        <f t="shared" si="50"/>
        <v>805.95186219434254</v>
      </c>
      <c r="V308" s="26">
        <f>VLOOKUP($F308,Munition!$B:$P,5,FALSE)</f>
        <v>3.56</v>
      </c>
      <c r="W308" s="30">
        <f t="shared" si="52"/>
        <v>1156.2139594306609</v>
      </c>
      <c r="X308" s="26">
        <f>VLOOKUP($F308,Munition!$B:$P,15,FALSE)</f>
        <v>146.62584685242678</v>
      </c>
      <c r="Y308" s="26">
        <f>VLOOKUP($F308,Munition!$B:$P,9,FALSE)</f>
        <v>1</v>
      </c>
      <c r="Z308" s="26">
        <f>VLOOKUP($F308,Munition!$B:$P,14,FALSE)</f>
        <v>3.7177960891755132E-6</v>
      </c>
      <c r="AA308" s="30">
        <f t="shared" si="53"/>
        <v>9.5242051092201159</v>
      </c>
      <c r="AB308" s="30">
        <f t="shared" si="54"/>
        <v>8.579743260341683</v>
      </c>
      <c r="AC308" s="30">
        <f t="shared" si="55"/>
        <v>7.7289383806021608</v>
      </c>
      <c r="AD308" s="30">
        <f t="shared" si="56"/>
        <v>5.0898156810884458</v>
      </c>
      <c r="AE308" s="30">
        <f t="shared" si="57"/>
        <v>2.720040504206986</v>
      </c>
      <c r="AF308" s="32" t="str">
        <f t="shared" si="51"/>
        <v>2D6+2</v>
      </c>
      <c r="AG308" s="33" t="str">
        <f t="shared" si="58"/>
        <v>2</v>
      </c>
      <c r="AH308" s="33" t="str">
        <f t="shared" si="59"/>
        <v>2</v>
      </c>
      <c r="AI308" s="33" t="str">
        <f t="shared" si="60"/>
        <v>2+1</v>
      </c>
      <c r="AJ308" s="33" t="str">
        <f t="shared" si="61"/>
        <v>-</v>
      </c>
      <c r="AK308">
        <v>1972</v>
      </c>
    </row>
    <row r="309" spans="1:37">
      <c r="A309" t="s">
        <v>575</v>
      </c>
      <c r="B309" t="s">
        <v>850</v>
      </c>
      <c r="C309" t="s">
        <v>681</v>
      </c>
      <c r="D309" t="s">
        <v>681</v>
      </c>
      <c r="F309" t="s">
        <v>10</v>
      </c>
      <c r="G309" t="s">
        <v>11</v>
      </c>
      <c r="H309">
        <v>3.99</v>
      </c>
      <c r="I309">
        <v>17.7</v>
      </c>
      <c r="J309" s="9">
        <v>50</v>
      </c>
      <c r="K309" s="9">
        <v>100</v>
      </c>
      <c r="L309" s="9">
        <v>300</v>
      </c>
      <c r="M309" s="10">
        <v>600</v>
      </c>
      <c r="N309" s="10">
        <v>2</v>
      </c>
      <c r="O309" s="10">
        <v>3</v>
      </c>
      <c r="P309" s="18">
        <v>30</v>
      </c>
      <c r="Q309" s="22" t="s">
        <v>729</v>
      </c>
      <c r="R309">
        <v>3</v>
      </c>
      <c r="S309" s="26">
        <f>VLOOKUP($F309,Munition!$B:$P,10,FALSE)</f>
        <v>20</v>
      </c>
      <c r="T309" s="26">
        <f>VLOOKUP($F309,Munition!$B:$P,11,FALSE)</f>
        <v>878</v>
      </c>
      <c r="U309" s="28">
        <f t="shared" si="50"/>
        <v>851.58956977117407</v>
      </c>
      <c r="V309" s="26">
        <f>VLOOKUP($F309,Munition!$B:$P,5,FALSE)</f>
        <v>3.56</v>
      </c>
      <c r="W309" s="30">
        <f t="shared" si="52"/>
        <v>1290.864535710635</v>
      </c>
      <c r="X309" s="26">
        <f>VLOOKUP($F309,Munition!$B:$P,15,FALSE)</f>
        <v>146.62584685242678</v>
      </c>
      <c r="Y309" s="26">
        <f>VLOOKUP($F309,Munition!$B:$P,9,FALSE)</f>
        <v>1</v>
      </c>
      <c r="Z309" s="26">
        <f>VLOOKUP($F309,Munition!$B:$P,14,FALSE)</f>
        <v>3.7177960891755132E-6</v>
      </c>
      <c r="AA309" s="30">
        <f t="shared" si="53"/>
        <v>10.633376725861604</v>
      </c>
      <c r="AB309" s="30">
        <f t="shared" si="54"/>
        <v>9.5789245666356369</v>
      </c>
      <c r="AC309" s="30">
        <f t="shared" si="55"/>
        <v>8.6290364969516222</v>
      </c>
      <c r="AD309" s="30">
        <f t="shared" si="56"/>
        <v>5.6825663644955924</v>
      </c>
      <c r="AE309" s="30">
        <f t="shared" si="57"/>
        <v>3.0368114776146173</v>
      </c>
      <c r="AF309" s="32" t="str">
        <f t="shared" si="51"/>
        <v>2D6+2</v>
      </c>
      <c r="AG309" s="33" t="str">
        <f t="shared" si="58"/>
        <v>1+2</v>
      </c>
      <c r="AH309" s="33" t="str">
        <f t="shared" si="59"/>
        <v>2</v>
      </c>
      <c r="AI309" s="33" t="str">
        <f t="shared" si="60"/>
        <v>2+1</v>
      </c>
      <c r="AJ309" s="33" t="str">
        <f t="shared" si="61"/>
        <v>-</v>
      </c>
      <c r="AK309">
        <v>1990</v>
      </c>
    </row>
    <row r="310" spans="1:37">
      <c r="A310" t="s">
        <v>575</v>
      </c>
      <c r="B310" t="s">
        <v>501</v>
      </c>
      <c r="C310" t="s">
        <v>681</v>
      </c>
      <c r="D310" t="s">
        <v>681</v>
      </c>
      <c r="F310" t="s">
        <v>51</v>
      </c>
      <c r="G310" t="s">
        <v>52</v>
      </c>
      <c r="H310">
        <v>3.49</v>
      </c>
      <c r="I310">
        <v>13</v>
      </c>
      <c r="J310" s="9">
        <v>100</v>
      </c>
      <c r="K310" s="9">
        <v>200</v>
      </c>
      <c r="L310" s="9">
        <v>600</v>
      </c>
      <c r="M310" s="10">
        <v>1200</v>
      </c>
      <c r="N310" s="10">
        <v>2</v>
      </c>
      <c r="O310" s="10">
        <v>3</v>
      </c>
      <c r="P310" s="19">
        <v>20</v>
      </c>
      <c r="Q310" s="22" t="s">
        <v>719</v>
      </c>
      <c r="R310">
        <v>3</v>
      </c>
      <c r="S310" s="26">
        <f>VLOOKUP($F310,Munition!$B:$P,10,FALSE)</f>
        <v>22</v>
      </c>
      <c r="T310" s="26">
        <f>VLOOKUP($F310,Munition!$B:$P,11,FALSE)</f>
        <v>832</v>
      </c>
      <c r="U310" s="28">
        <f t="shared" si="50"/>
        <v>729.46337920521466</v>
      </c>
      <c r="V310" s="26">
        <f>VLOOKUP($F310,Munition!$B:$P,5,FALSE)</f>
        <v>9.4499999999999993</v>
      </c>
      <c r="W310" s="30">
        <f t="shared" si="52"/>
        <v>2514.2519820670441</v>
      </c>
      <c r="X310" s="26">
        <f>VLOOKUP($F310,Munition!$B:$P,15,FALSE)</f>
        <v>207.22015034594844</v>
      </c>
      <c r="Y310" s="26">
        <f>VLOOKUP($F310,Munition!$B:$P,9,FALSE)</f>
        <v>1</v>
      </c>
      <c r="Z310" s="26">
        <f>VLOOKUP($F310,Munition!$B:$P,14,FALSE)</f>
        <v>6.9830624463123905E-6</v>
      </c>
      <c r="AA310" s="30">
        <f t="shared" si="53"/>
        <v>11.026532777386914</v>
      </c>
      <c r="AB310" s="30">
        <f t="shared" si="54"/>
        <v>9.5116252184603365</v>
      </c>
      <c r="AC310" s="30">
        <f t="shared" si="55"/>
        <v>8.2048469925185881</v>
      </c>
      <c r="AD310" s="30">
        <f t="shared" si="56"/>
        <v>4.5429035254174854</v>
      </c>
      <c r="AE310" s="30">
        <f t="shared" si="57"/>
        <v>1.8716647252502379</v>
      </c>
      <c r="AF310" s="32" t="str">
        <f t="shared" si="51"/>
        <v>4D6</v>
      </c>
      <c r="AG310" s="33" t="str">
        <f t="shared" si="58"/>
        <v>2+1</v>
      </c>
      <c r="AH310" s="33" t="str">
        <f t="shared" si="59"/>
        <v>3</v>
      </c>
      <c r="AI310" s="33" t="str">
        <f t="shared" si="60"/>
        <v>3+1</v>
      </c>
      <c r="AJ310" s="33" t="str">
        <f t="shared" si="61"/>
        <v>-</v>
      </c>
      <c r="AK310">
        <v>2009</v>
      </c>
    </row>
    <row r="311" spans="1:37">
      <c r="A311" t="s">
        <v>575</v>
      </c>
      <c r="B311" t="s">
        <v>502</v>
      </c>
      <c r="C311" t="s">
        <v>681</v>
      </c>
      <c r="D311" t="s">
        <v>681</v>
      </c>
      <c r="F311" t="s">
        <v>51</v>
      </c>
      <c r="G311" t="s">
        <v>52</v>
      </c>
      <c r="H311">
        <v>3.58</v>
      </c>
      <c r="I311">
        <v>16</v>
      </c>
      <c r="J311" s="9">
        <v>100</v>
      </c>
      <c r="K311" s="9">
        <v>200</v>
      </c>
      <c r="L311" s="9">
        <v>600</v>
      </c>
      <c r="M311" s="10">
        <v>1200</v>
      </c>
      <c r="N311" s="10">
        <v>2</v>
      </c>
      <c r="O311" s="10">
        <v>3</v>
      </c>
      <c r="P311" s="19">
        <v>20</v>
      </c>
      <c r="Q311" s="22" t="s">
        <v>719</v>
      </c>
      <c r="R311">
        <v>3</v>
      </c>
      <c r="S311" s="26">
        <f>VLOOKUP($F311,Munition!$B:$P,10,FALSE)</f>
        <v>22</v>
      </c>
      <c r="T311" s="26">
        <f>VLOOKUP($F311,Munition!$B:$P,11,FALSE)</f>
        <v>832</v>
      </c>
      <c r="U311" s="28">
        <f t="shared" si="50"/>
        <v>768.32975389098669</v>
      </c>
      <c r="V311" s="26">
        <f>VLOOKUP($F311,Munition!$B:$P,5,FALSE)</f>
        <v>9.4499999999999993</v>
      </c>
      <c r="W311" s="30">
        <f t="shared" si="52"/>
        <v>2789.3121356245206</v>
      </c>
      <c r="X311" s="26">
        <f>VLOOKUP($F311,Munition!$B:$P,15,FALSE)</f>
        <v>207.22015034594844</v>
      </c>
      <c r="Y311" s="26">
        <f>VLOOKUP($F311,Munition!$B:$P,9,FALSE)</f>
        <v>1</v>
      </c>
      <c r="Z311" s="26">
        <f>VLOOKUP($F311,Munition!$B:$P,14,FALSE)</f>
        <v>6.9830624463123905E-6</v>
      </c>
      <c r="AA311" s="30">
        <f t="shared" si="53"/>
        <v>12.232839790600881</v>
      </c>
      <c r="AB311" s="30">
        <f t="shared" si="54"/>
        <v>10.552200750201569</v>
      </c>
      <c r="AC311" s="30">
        <f t="shared" si="55"/>
        <v>9.1024604734960803</v>
      </c>
      <c r="AD311" s="30">
        <f t="shared" si="56"/>
        <v>5.0398989539627275</v>
      </c>
      <c r="AE311" s="30">
        <f t="shared" si="57"/>
        <v>2.0764255807282925</v>
      </c>
      <c r="AF311" s="32" t="str">
        <f t="shared" si="51"/>
        <v>4D6+1</v>
      </c>
      <c r="AG311" s="33" t="str">
        <f t="shared" si="58"/>
        <v>2+1</v>
      </c>
      <c r="AH311" s="33" t="str">
        <f t="shared" si="59"/>
        <v>2+2</v>
      </c>
      <c r="AI311" s="33" t="str">
        <f t="shared" si="60"/>
        <v>3+1</v>
      </c>
      <c r="AJ311" s="33" t="str">
        <f t="shared" si="61"/>
        <v>-</v>
      </c>
      <c r="AK311">
        <v>2009</v>
      </c>
    </row>
    <row r="312" spans="1:37">
      <c r="A312" t="s">
        <v>572</v>
      </c>
      <c r="B312" t="s">
        <v>851</v>
      </c>
      <c r="C312" t="s">
        <v>681</v>
      </c>
      <c r="D312" t="s">
        <v>681</v>
      </c>
      <c r="F312" t="s">
        <v>51</v>
      </c>
      <c r="G312" t="s">
        <v>52</v>
      </c>
      <c r="H312">
        <v>3.72</v>
      </c>
      <c r="I312">
        <v>20</v>
      </c>
      <c r="J312" s="9">
        <v>100</v>
      </c>
      <c r="K312" s="9">
        <v>200</v>
      </c>
      <c r="L312" s="9">
        <v>600</v>
      </c>
      <c r="M312" s="10">
        <v>1200</v>
      </c>
      <c r="N312" s="10">
        <v>2</v>
      </c>
      <c r="O312" s="10">
        <v>3</v>
      </c>
      <c r="P312" s="19">
        <v>20</v>
      </c>
      <c r="Q312" s="22" t="s">
        <v>719</v>
      </c>
      <c r="R312">
        <v>3</v>
      </c>
      <c r="S312" s="26">
        <f>VLOOKUP($F312,Munition!$B:$P,10,FALSE)</f>
        <v>22</v>
      </c>
      <c r="T312" s="26">
        <f>VLOOKUP($F312,Munition!$B:$P,11,FALSE)</f>
        <v>832</v>
      </c>
      <c r="U312" s="28">
        <f t="shared" si="50"/>
        <v>812.40980261069035</v>
      </c>
      <c r="V312" s="26">
        <f>VLOOKUP($F312,Munition!$B:$P,5,FALSE)</f>
        <v>9.4499999999999993</v>
      </c>
      <c r="W312" s="30">
        <f t="shared" si="52"/>
        <v>3118.5457728607707</v>
      </c>
      <c r="X312" s="26">
        <f>VLOOKUP($F312,Munition!$B:$P,15,FALSE)</f>
        <v>207.22015034594844</v>
      </c>
      <c r="Y312" s="26">
        <f>VLOOKUP($F312,Munition!$B:$P,9,FALSE)</f>
        <v>1</v>
      </c>
      <c r="Z312" s="26">
        <f>VLOOKUP($F312,Munition!$B:$P,14,FALSE)</f>
        <v>6.9830624463123905E-6</v>
      </c>
      <c r="AA312" s="30">
        <f t="shared" si="53"/>
        <v>13.676730664823932</v>
      </c>
      <c r="AB312" s="30">
        <f t="shared" si="54"/>
        <v>11.797719094837495</v>
      </c>
      <c r="AC312" s="30">
        <f t="shared" si="55"/>
        <v>10.176860190621081</v>
      </c>
      <c r="AD312" s="30">
        <f t="shared" si="56"/>
        <v>5.6347783303953722</v>
      </c>
      <c r="AE312" s="30">
        <f t="shared" si="57"/>
        <v>2.3215143743639701</v>
      </c>
      <c r="AF312" s="32" t="str">
        <f t="shared" si="51"/>
        <v>4D6+1</v>
      </c>
      <c r="AG312" s="33" t="str">
        <f t="shared" si="58"/>
        <v>2+1</v>
      </c>
      <c r="AH312" s="33" t="str">
        <f t="shared" si="59"/>
        <v>2+2</v>
      </c>
      <c r="AI312" s="33" t="str">
        <f t="shared" si="60"/>
        <v>3</v>
      </c>
      <c r="AJ312" s="33" t="str">
        <f t="shared" si="61"/>
        <v>-</v>
      </c>
      <c r="AK312">
        <v>2009</v>
      </c>
    </row>
    <row r="313" spans="1:37">
      <c r="A313" t="s">
        <v>575</v>
      </c>
      <c r="B313" t="s">
        <v>503</v>
      </c>
      <c r="C313" t="s">
        <v>681</v>
      </c>
      <c r="D313" t="s">
        <v>681</v>
      </c>
      <c r="F313" t="s">
        <v>10</v>
      </c>
      <c r="G313" t="s">
        <v>11</v>
      </c>
      <c r="H313">
        <v>3.04</v>
      </c>
      <c r="I313">
        <v>10</v>
      </c>
      <c r="J313" s="9">
        <v>50</v>
      </c>
      <c r="K313" s="9">
        <v>100</v>
      </c>
      <c r="L313" s="9">
        <v>300</v>
      </c>
      <c r="M313" s="10">
        <v>600</v>
      </c>
      <c r="N313" s="10">
        <v>2</v>
      </c>
      <c r="O313" s="10">
        <v>3</v>
      </c>
      <c r="P313" s="19">
        <v>30</v>
      </c>
      <c r="Q313" s="22" t="s">
        <v>719</v>
      </c>
      <c r="R313">
        <v>3</v>
      </c>
      <c r="S313" s="26">
        <f>VLOOKUP($F313,Munition!$B:$P,10,FALSE)</f>
        <v>20</v>
      </c>
      <c r="T313" s="26">
        <f>VLOOKUP($F313,Munition!$B:$P,11,FALSE)</f>
        <v>878</v>
      </c>
      <c r="U313" s="28">
        <f t="shared" si="50"/>
        <v>738.30705259276135</v>
      </c>
      <c r="V313" s="26">
        <f>VLOOKUP($F313,Munition!$B:$P,5,FALSE)</f>
        <v>3.56</v>
      </c>
      <c r="W313" s="30">
        <f t="shared" si="52"/>
        <v>970.27320095661469</v>
      </c>
      <c r="X313" s="26">
        <f>VLOOKUP($F313,Munition!$B:$P,15,FALSE)</f>
        <v>146.62584685242678</v>
      </c>
      <c r="Y313" s="26">
        <f>VLOOKUP($F313,Munition!$B:$P,9,FALSE)</f>
        <v>1</v>
      </c>
      <c r="Z313" s="26">
        <f>VLOOKUP($F313,Munition!$B:$P,14,FALSE)</f>
        <v>3.7177960891755132E-6</v>
      </c>
      <c r="AA313" s="30">
        <f t="shared" si="53"/>
        <v>7.9925353802516002</v>
      </c>
      <c r="AB313" s="30">
        <f t="shared" si="54"/>
        <v>7.1999606030503953</v>
      </c>
      <c r="AC313" s="30">
        <f t="shared" si="55"/>
        <v>6.4859810084251306</v>
      </c>
      <c r="AD313" s="30">
        <f t="shared" si="56"/>
        <v>4.2712784367355878</v>
      </c>
      <c r="AE313" s="30">
        <f t="shared" si="57"/>
        <v>2.2826072849424288</v>
      </c>
      <c r="AF313" s="32" t="str">
        <f t="shared" si="51"/>
        <v>2D6+1</v>
      </c>
      <c r="AG313" s="33" t="str">
        <f t="shared" si="58"/>
        <v>2</v>
      </c>
      <c r="AH313" s="33" t="str">
        <f t="shared" si="59"/>
        <v>2+1</v>
      </c>
      <c r="AI313" s="33" t="str">
        <f t="shared" si="60"/>
        <v>-</v>
      </c>
      <c r="AJ313" s="33" t="str">
        <f t="shared" si="61"/>
        <v>-</v>
      </c>
      <c r="AK313">
        <v>2009</v>
      </c>
    </row>
    <row r="314" spans="1:37">
      <c r="A314" t="s">
        <v>575</v>
      </c>
      <c r="B314" t="s">
        <v>504</v>
      </c>
      <c r="C314" t="s">
        <v>681</v>
      </c>
      <c r="D314" t="s">
        <v>681</v>
      </c>
      <c r="F314" t="s">
        <v>10</v>
      </c>
      <c r="G314" t="s">
        <v>11</v>
      </c>
      <c r="H314">
        <v>3.29</v>
      </c>
      <c r="I314">
        <v>14</v>
      </c>
      <c r="J314" s="9">
        <v>50</v>
      </c>
      <c r="K314" s="9">
        <v>100</v>
      </c>
      <c r="L314" s="9">
        <v>300</v>
      </c>
      <c r="M314" s="10">
        <v>600</v>
      </c>
      <c r="N314" s="10">
        <v>2</v>
      </c>
      <c r="O314" s="10">
        <v>3</v>
      </c>
      <c r="P314" s="19">
        <v>30</v>
      </c>
      <c r="Q314" s="22" t="s">
        <v>719</v>
      </c>
      <c r="R314">
        <v>3</v>
      </c>
      <c r="S314" s="26">
        <f>VLOOKUP($F314,Munition!$B:$P,10,FALSE)</f>
        <v>20</v>
      </c>
      <c r="T314" s="26">
        <f>VLOOKUP($F314,Munition!$B:$P,11,FALSE)</f>
        <v>878</v>
      </c>
      <c r="U314" s="28">
        <f t="shared" si="50"/>
        <v>803.09889048279376</v>
      </c>
      <c r="V314" s="26">
        <f>VLOOKUP($F314,Munition!$B:$P,5,FALSE)</f>
        <v>3.56</v>
      </c>
      <c r="W314" s="30">
        <f t="shared" si="52"/>
        <v>1148.0427336525561</v>
      </c>
      <c r="X314" s="26">
        <f>VLOOKUP($F314,Munition!$B:$P,15,FALSE)</f>
        <v>146.62584685242678</v>
      </c>
      <c r="Y314" s="26">
        <f>VLOOKUP($F314,Munition!$B:$P,9,FALSE)</f>
        <v>1</v>
      </c>
      <c r="Z314" s="26">
        <f>VLOOKUP($F314,Munition!$B:$P,14,FALSE)</f>
        <v>3.7177960891755132E-6</v>
      </c>
      <c r="AA314" s="30">
        <f t="shared" si="53"/>
        <v>9.4568953957629809</v>
      </c>
      <c r="AB314" s="30">
        <f t="shared" si="54"/>
        <v>8.5191082725640364</v>
      </c>
      <c r="AC314" s="30">
        <f t="shared" si="55"/>
        <v>7.6743162235023981</v>
      </c>
      <c r="AD314" s="30">
        <f t="shared" si="56"/>
        <v>5.0538448015121507</v>
      </c>
      <c r="AE314" s="30">
        <f t="shared" si="57"/>
        <v>2.7008173622407621</v>
      </c>
      <c r="AF314" s="32" t="str">
        <f t="shared" si="51"/>
        <v>2D6+2</v>
      </c>
      <c r="AG314" s="33" t="str">
        <f t="shared" si="58"/>
        <v>2</v>
      </c>
      <c r="AH314" s="33" t="str">
        <f t="shared" si="59"/>
        <v>2</v>
      </c>
      <c r="AI314" s="33" t="str">
        <f t="shared" si="60"/>
        <v>2+1</v>
      </c>
      <c r="AJ314" s="33" t="str">
        <f t="shared" si="61"/>
        <v>-</v>
      </c>
      <c r="AK314">
        <v>2009</v>
      </c>
    </row>
    <row r="315" spans="1:37">
      <c r="A315" t="s">
        <v>575</v>
      </c>
      <c r="B315" t="s">
        <v>505</v>
      </c>
      <c r="C315" t="s">
        <v>681</v>
      </c>
      <c r="D315" t="s">
        <v>681</v>
      </c>
      <c r="F315" t="s">
        <v>10</v>
      </c>
      <c r="G315" t="s">
        <v>11</v>
      </c>
      <c r="H315">
        <v>3.79</v>
      </c>
      <c r="I315">
        <v>17.7</v>
      </c>
      <c r="J315" s="9">
        <v>50</v>
      </c>
      <c r="K315" s="9">
        <v>100</v>
      </c>
      <c r="L315" s="9">
        <v>300</v>
      </c>
      <c r="M315" s="10">
        <v>600</v>
      </c>
      <c r="N315" s="10">
        <v>2</v>
      </c>
      <c r="O315" s="10">
        <v>3</v>
      </c>
      <c r="P315" s="19">
        <v>30</v>
      </c>
      <c r="Q315" s="22" t="s">
        <v>719</v>
      </c>
      <c r="R315">
        <v>3</v>
      </c>
      <c r="S315" s="26">
        <f>VLOOKUP($F315,Munition!$B:$P,10,FALSE)</f>
        <v>20</v>
      </c>
      <c r="T315" s="26">
        <f>VLOOKUP($F315,Munition!$B:$P,11,FALSE)</f>
        <v>878</v>
      </c>
      <c r="U315" s="28">
        <f t="shared" si="50"/>
        <v>851.58956977117407</v>
      </c>
      <c r="V315" s="26">
        <f>VLOOKUP($F315,Munition!$B:$P,5,FALSE)</f>
        <v>3.56</v>
      </c>
      <c r="W315" s="30">
        <f t="shared" si="52"/>
        <v>1290.864535710635</v>
      </c>
      <c r="X315" s="26">
        <f>VLOOKUP($F315,Munition!$B:$P,15,FALSE)</f>
        <v>146.62584685242678</v>
      </c>
      <c r="Y315" s="26">
        <f>VLOOKUP($F315,Munition!$B:$P,9,FALSE)</f>
        <v>1</v>
      </c>
      <c r="Z315" s="26">
        <f>VLOOKUP($F315,Munition!$B:$P,14,FALSE)</f>
        <v>3.7177960891755132E-6</v>
      </c>
      <c r="AA315" s="30">
        <f t="shared" si="53"/>
        <v>10.633376725861604</v>
      </c>
      <c r="AB315" s="30">
        <f t="shared" si="54"/>
        <v>9.5789245666356369</v>
      </c>
      <c r="AC315" s="30">
        <f t="shared" si="55"/>
        <v>8.6290364969516222</v>
      </c>
      <c r="AD315" s="30">
        <f t="shared" si="56"/>
        <v>5.6825663644955924</v>
      </c>
      <c r="AE315" s="30">
        <f t="shared" si="57"/>
        <v>3.0368114776146173</v>
      </c>
      <c r="AF315" s="32" t="str">
        <f t="shared" si="51"/>
        <v>2D6+2</v>
      </c>
      <c r="AG315" s="33" t="str">
        <f t="shared" si="58"/>
        <v>1+2</v>
      </c>
      <c r="AH315" s="33" t="str">
        <f t="shared" si="59"/>
        <v>2</v>
      </c>
      <c r="AI315" s="33" t="str">
        <f t="shared" si="60"/>
        <v>2+1</v>
      </c>
      <c r="AJ315" s="33" t="str">
        <f t="shared" si="61"/>
        <v>-</v>
      </c>
      <c r="AK315">
        <v>1990</v>
      </c>
    </row>
    <row r="316" spans="1:37">
      <c r="A316" t="s">
        <v>575</v>
      </c>
      <c r="B316" t="s">
        <v>506</v>
      </c>
      <c r="C316" t="s">
        <v>681</v>
      </c>
      <c r="D316" t="s">
        <v>681</v>
      </c>
      <c r="F316" t="s">
        <v>10</v>
      </c>
      <c r="G316" t="s">
        <v>11</v>
      </c>
      <c r="H316">
        <v>3.54</v>
      </c>
      <c r="I316">
        <v>20.8</v>
      </c>
      <c r="J316" s="9">
        <v>50</v>
      </c>
      <c r="K316" s="9">
        <v>100</v>
      </c>
      <c r="L316" s="9">
        <v>300</v>
      </c>
      <c r="M316" s="10">
        <v>600</v>
      </c>
      <c r="N316" s="10">
        <v>2</v>
      </c>
      <c r="O316" s="10">
        <v>10</v>
      </c>
      <c r="P316" s="19">
        <v>30</v>
      </c>
      <c r="Q316" s="22" t="s">
        <v>716</v>
      </c>
      <c r="R316">
        <v>10</v>
      </c>
      <c r="S316" s="26">
        <f>VLOOKUP($F316,Munition!$B:$P,10,FALSE)</f>
        <v>20</v>
      </c>
      <c r="T316" s="26">
        <f>VLOOKUP($F316,Munition!$B:$P,11,FALSE)</f>
        <v>878</v>
      </c>
      <c r="U316" s="28">
        <f t="shared" si="50"/>
        <v>886.65129094999463</v>
      </c>
      <c r="V316" s="26">
        <f>VLOOKUP($F316,Munition!$B:$P,5,FALSE)</f>
        <v>3.56</v>
      </c>
      <c r="W316" s="30">
        <f t="shared" si="52"/>
        <v>1399.3479109030598</v>
      </c>
      <c r="X316" s="26">
        <f>VLOOKUP($F316,Munition!$B:$P,15,FALSE)</f>
        <v>146.62584685242678</v>
      </c>
      <c r="Y316" s="26">
        <f>VLOOKUP($F316,Munition!$B:$P,9,FALSE)</f>
        <v>1</v>
      </c>
      <c r="Z316" s="26">
        <f>VLOOKUP($F316,Munition!$B:$P,14,FALSE)</f>
        <v>3.7177960891755132E-6</v>
      </c>
      <c r="AA316" s="30">
        <f t="shared" si="53"/>
        <v>11.526998453782886</v>
      </c>
      <c r="AB316" s="30">
        <f t="shared" si="54"/>
        <v>10.383930854247533</v>
      </c>
      <c r="AC316" s="30">
        <f t="shared" si="55"/>
        <v>9.3542148390249764</v>
      </c>
      <c r="AD316" s="30">
        <f t="shared" si="56"/>
        <v>6.1601253661735322</v>
      </c>
      <c r="AE316" s="30">
        <f t="shared" si="57"/>
        <v>3.2920230430430264</v>
      </c>
      <c r="AF316" s="32" t="str">
        <f t="shared" si="51"/>
        <v>3D6</v>
      </c>
      <c r="AG316" s="33" t="str">
        <f t="shared" si="58"/>
        <v>1+2</v>
      </c>
      <c r="AH316" s="33" t="str">
        <f t="shared" si="59"/>
        <v>2</v>
      </c>
      <c r="AI316" s="33" t="str">
        <f t="shared" si="60"/>
        <v>2</v>
      </c>
      <c r="AJ316" s="33" t="str">
        <f t="shared" si="61"/>
        <v>-</v>
      </c>
      <c r="AK316">
        <v>1977</v>
      </c>
    </row>
    <row r="317" spans="1:37">
      <c r="A317" t="s">
        <v>575</v>
      </c>
      <c r="B317" t="s">
        <v>507</v>
      </c>
      <c r="C317" t="s">
        <v>681</v>
      </c>
      <c r="D317" t="s">
        <v>681</v>
      </c>
      <c r="F317" t="s">
        <v>51</v>
      </c>
      <c r="G317" t="s">
        <v>52</v>
      </c>
      <c r="H317">
        <v>3.55</v>
      </c>
      <c r="I317">
        <v>20.8</v>
      </c>
      <c r="J317" s="9">
        <v>100</v>
      </c>
      <c r="K317" s="9">
        <v>200</v>
      </c>
      <c r="L317" s="9">
        <v>600</v>
      </c>
      <c r="M317" s="10">
        <v>1200</v>
      </c>
      <c r="N317" s="10">
        <v>2</v>
      </c>
      <c r="O317" s="10">
        <v>10</v>
      </c>
      <c r="P317" s="19">
        <v>20</v>
      </c>
      <c r="Q317" s="22" t="s">
        <v>725</v>
      </c>
      <c r="R317">
        <v>10</v>
      </c>
      <c r="S317" s="26">
        <f>VLOOKUP($F317,Munition!$B:$P,10,FALSE)</f>
        <v>22</v>
      </c>
      <c r="T317" s="26">
        <f>VLOOKUP($F317,Munition!$B:$P,11,FALSE)</f>
        <v>832</v>
      </c>
      <c r="U317" s="28">
        <f t="shared" si="50"/>
        <v>820.41480668018107</v>
      </c>
      <c r="V317" s="26">
        <f>VLOOKUP($F317,Munition!$B:$P,5,FALSE)</f>
        <v>9.4499999999999993</v>
      </c>
      <c r="W317" s="30">
        <f t="shared" si="52"/>
        <v>3180.3051499698731</v>
      </c>
      <c r="X317" s="26">
        <f>VLOOKUP($F317,Munition!$B:$P,15,FALSE)</f>
        <v>207.22015034594844</v>
      </c>
      <c r="Y317" s="26">
        <f>VLOOKUP($F317,Munition!$B:$P,9,FALSE)</f>
        <v>1</v>
      </c>
      <c r="Z317" s="26">
        <f>VLOOKUP($F317,Munition!$B:$P,14,FALSE)</f>
        <v>6.9830624463123905E-6</v>
      </c>
      <c r="AA317" s="30">
        <f t="shared" si="53"/>
        <v>13.947583308418013</v>
      </c>
      <c r="AB317" s="30">
        <f t="shared" si="54"/>
        <v>12.031359976092523</v>
      </c>
      <c r="AC317" s="30">
        <f t="shared" si="55"/>
        <v>10.378401739816496</v>
      </c>
      <c r="AD317" s="30">
        <f t="shared" si="56"/>
        <v>5.7463689322911549</v>
      </c>
      <c r="AE317" s="30">
        <f t="shared" si="57"/>
        <v>2.3674894191936064</v>
      </c>
      <c r="AF317" s="32" t="str">
        <f t="shared" si="51"/>
        <v>4D6+2</v>
      </c>
      <c r="AG317" s="33" t="str">
        <f t="shared" si="58"/>
        <v>2+1</v>
      </c>
      <c r="AH317" s="33" t="str">
        <f t="shared" si="59"/>
        <v>2+2</v>
      </c>
      <c r="AI317" s="33" t="str">
        <f t="shared" si="60"/>
        <v>3</v>
      </c>
      <c r="AJ317" s="33" t="str">
        <f t="shared" si="61"/>
        <v>-</v>
      </c>
      <c r="AK317">
        <v>1979</v>
      </c>
    </row>
    <row r="318" spans="1:37">
      <c r="A318" t="s">
        <v>575</v>
      </c>
      <c r="B318" t="s">
        <v>508</v>
      </c>
      <c r="C318" t="s">
        <v>681</v>
      </c>
      <c r="D318" t="s">
        <v>681</v>
      </c>
      <c r="F318" t="s">
        <v>10</v>
      </c>
      <c r="G318" t="s">
        <v>11</v>
      </c>
      <c r="H318">
        <v>3</v>
      </c>
      <c r="I318">
        <v>11</v>
      </c>
      <c r="J318" s="9">
        <v>50</v>
      </c>
      <c r="K318" s="9">
        <v>100</v>
      </c>
      <c r="L318" s="9">
        <v>300</v>
      </c>
      <c r="M318" s="10">
        <v>600</v>
      </c>
      <c r="N318" s="10">
        <v>2</v>
      </c>
      <c r="O318" s="10">
        <v>10</v>
      </c>
      <c r="P318" s="19">
        <v>30</v>
      </c>
      <c r="Q318" s="22" t="s">
        <v>725</v>
      </c>
      <c r="R318">
        <v>10</v>
      </c>
      <c r="S318" s="26">
        <f>VLOOKUP($F318,Munition!$B:$P,10,FALSE)</f>
        <v>20</v>
      </c>
      <c r="T318" s="26">
        <f>VLOOKUP($F318,Munition!$B:$P,11,FALSE)</f>
        <v>878</v>
      </c>
      <c r="U318" s="28">
        <f t="shared" si="50"/>
        <v>756.11035930783623</v>
      </c>
      <c r="V318" s="26">
        <f>VLOOKUP($F318,Munition!$B:$P,5,FALSE)</f>
        <v>3.56</v>
      </c>
      <c r="W318" s="30">
        <f t="shared" si="52"/>
        <v>1017.631118305673</v>
      </c>
      <c r="X318" s="26">
        <f>VLOOKUP($F318,Munition!$B:$P,15,FALSE)</f>
        <v>146.62584685242678</v>
      </c>
      <c r="Y318" s="26">
        <f>VLOOKUP($F318,Munition!$B:$P,9,FALSE)</f>
        <v>1</v>
      </c>
      <c r="Z318" s="26">
        <f>VLOOKUP($F318,Munition!$B:$P,14,FALSE)</f>
        <v>3.7177960891755132E-6</v>
      </c>
      <c r="AA318" s="30">
        <f t="shared" si="53"/>
        <v>8.3826418261208637</v>
      </c>
      <c r="AB318" s="30">
        <f t="shared" si="54"/>
        <v>7.5513823869557548</v>
      </c>
      <c r="AC318" s="30">
        <f t="shared" si="55"/>
        <v>6.8025542706998392</v>
      </c>
      <c r="AD318" s="30">
        <f t="shared" si="56"/>
        <v>4.4797546174466572</v>
      </c>
      <c r="AE318" s="30">
        <f t="shared" si="57"/>
        <v>2.3940187173452654</v>
      </c>
      <c r="AF318" s="32" t="str">
        <f t="shared" si="51"/>
        <v>2D6+1</v>
      </c>
      <c r="AG318" s="33" t="str">
        <f t="shared" si="58"/>
        <v>2</v>
      </c>
      <c r="AH318" s="33" t="str">
        <f t="shared" si="59"/>
        <v>2+1</v>
      </c>
      <c r="AI318" s="33" t="str">
        <f t="shared" si="60"/>
        <v>-</v>
      </c>
      <c r="AJ318" s="33" t="str">
        <f t="shared" si="61"/>
        <v>-</v>
      </c>
      <c r="AK318">
        <v>1979</v>
      </c>
    </row>
    <row r="319" spans="1:37">
      <c r="A319" t="s">
        <v>572</v>
      </c>
      <c r="B319" t="s">
        <v>509</v>
      </c>
      <c r="C319" t="s">
        <v>681</v>
      </c>
      <c r="D319" t="s">
        <v>681</v>
      </c>
      <c r="F319" t="s">
        <v>44</v>
      </c>
      <c r="G319" t="s">
        <v>45</v>
      </c>
      <c r="H319">
        <v>6.6219999999999999</v>
      </c>
      <c r="I319">
        <v>16</v>
      </c>
      <c r="J319" s="9">
        <v>66</v>
      </c>
      <c r="K319" s="9">
        <v>132</v>
      </c>
      <c r="L319" s="9">
        <v>396</v>
      </c>
      <c r="M319" s="10">
        <v>792</v>
      </c>
      <c r="N319" s="10">
        <v>1</v>
      </c>
      <c r="O319" s="10"/>
      <c r="P319" s="18">
        <v>4</v>
      </c>
      <c r="Q319" s="22" t="s">
        <v>712</v>
      </c>
      <c r="R319">
        <v>1</v>
      </c>
      <c r="S319" s="26">
        <f>VLOOKUP($F319,Munition!$B:$P,10,FALSE)</f>
        <v>18</v>
      </c>
      <c r="T319" s="26">
        <f>VLOOKUP($F319,Munition!$B:$P,11,FALSE)</f>
        <v>675</v>
      </c>
      <c r="U319" s="28">
        <f t="shared" si="50"/>
        <v>655.41389180488659</v>
      </c>
      <c r="V319" s="26">
        <f>VLOOKUP($F319,Munition!$B:$P,5,FALSE)</f>
        <v>8</v>
      </c>
      <c r="W319" s="30">
        <f t="shared" si="52"/>
        <v>1718.2694782833103</v>
      </c>
      <c r="X319" s="26">
        <f>VLOOKUP($F319,Munition!$B:$P,15,FALSE)</f>
        <v>167.42137340370323</v>
      </c>
      <c r="Y319" s="26">
        <f>VLOOKUP($F319,Munition!$B:$P,9,FALSE)</f>
        <v>1</v>
      </c>
      <c r="Z319" s="26">
        <f>VLOOKUP($F319,Munition!$B:$P,14,FALSE)</f>
        <v>8.1948915607787798E-6</v>
      </c>
      <c r="AA319" s="30">
        <f t="shared" si="53"/>
        <v>7.1918758982964102</v>
      </c>
      <c r="AB319" s="30">
        <f t="shared" si="54"/>
        <v>6.2823011011552978</v>
      </c>
      <c r="AC319" s="30">
        <f t="shared" si="55"/>
        <v>5.4877625370212488</v>
      </c>
      <c r="AD319" s="30">
        <f t="shared" si="56"/>
        <v>3.1952258598276901</v>
      </c>
      <c r="AE319" s="30">
        <f t="shared" si="57"/>
        <v>1.4195834911069574</v>
      </c>
      <c r="AF319" s="32" t="str">
        <f t="shared" si="51"/>
        <v>3D6+1</v>
      </c>
      <c r="AG319" s="33" t="str">
        <f t="shared" si="58"/>
        <v>3+1</v>
      </c>
      <c r="AH319" s="33" t="str">
        <f t="shared" si="59"/>
        <v>-</v>
      </c>
      <c r="AI319" s="33" t="str">
        <f t="shared" si="60"/>
        <v>-</v>
      </c>
      <c r="AJ319" s="33" t="str">
        <f t="shared" si="61"/>
        <v>-</v>
      </c>
      <c r="AK319">
        <v>1988</v>
      </c>
    </row>
    <row r="320" spans="1:37">
      <c r="A320" t="s">
        <v>572</v>
      </c>
      <c r="B320" t="s">
        <v>510</v>
      </c>
      <c r="C320" t="s">
        <v>681</v>
      </c>
      <c r="D320" t="s">
        <v>681</v>
      </c>
      <c r="F320" t="s">
        <v>51</v>
      </c>
      <c r="G320" t="s">
        <v>52</v>
      </c>
      <c r="H320">
        <v>6.5220000000000002</v>
      </c>
      <c r="I320">
        <v>16</v>
      </c>
      <c r="J320" s="9">
        <v>100</v>
      </c>
      <c r="K320" s="9">
        <v>200</v>
      </c>
      <c r="L320" s="9">
        <v>600</v>
      </c>
      <c r="M320" s="10">
        <v>1200</v>
      </c>
      <c r="N320" s="10">
        <v>2</v>
      </c>
      <c r="O320" s="10"/>
      <c r="P320" s="18">
        <v>4</v>
      </c>
      <c r="Q320" s="22" t="s">
        <v>712</v>
      </c>
      <c r="R320">
        <v>1</v>
      </c>
      <c r="S320" s="26">
        <f>VLOOKUP($F320,Munition!$B:$P,10,FALSE)</f>
        <v>22</v>
      </c>
      <c r="T320" s="26">
        <f>VLOOKUP($F320,Munition!$B:$P,11,FALSE)</f>
        <v>832</v>
      </c>
      <c r="U320" s="28">
        <f t="shared" ref="U320:U381" si="62">T320 * POWER(I320/S320,0.25)</f>
        <v>768.32975389098669</v>
      </c>
      <c r="V320" s="26">
        <f>VLOOKUP($F320,Munition!$B:$P,5,FALSE)</f>
        <v>9.4499999999999993</v>
      </c>
      <c r="W320" s="30">
        <f t="shared" si="52"/>
        <v>2789.3121356245206</v>
      </c>
      <c r="X320" s="26">
        <f>VLOOKUP($F320,Munition!$B:$P,15,FALSE)</f>
        <v>207.22015034594844</v>
      </c>
      <c r="Y320" s="26">
        <f>VLOOKUP($F320,Munition!$B:$P,9,FALSE)</f>
        <v>1</v>
      </c>
      <c r="Z320" s="26">
        <f>VLOOKUP($F320,Munition!$B:$P,14,FALSE)</f>
        <v>6.9830624463123905E-6</v>
      </c>
      <c r="AA320" s="30">
        <f t="shared" si="53"/>
        <v>12.232839790600881</v>
      </c>
      <c r="AB320" s="30">
        <f t="shared" si="54"/>
        <v>10.552200750201569</v>
      </c>
      <c r="AC320" s="30">
        <f t="shared" si="55"/>
        <v>9.1024604734960803</v>
      </c>
      <c r="AD320" s="30">
        <f t="shared" si="56"/>
        <v>5.0398989539627275</v>
      </c>
      <c r="AE320" s="30">
        <f t="shared" si="57"/>
        <v>2.0764255807282925</v>
      </c>
      <c r="AF320" s="32" t="str">
        <f t="shared" ref="AF320:AF381" si="63">IF(INT(SQRT(W320)/12)=0, MOD(INT(SQRT(W320)/4),3), INT(SQRT(W320)/12) &amp; "D6" &amp; IF(MOD(INT(SQRT(W320)/4),3)=0, "", "+" &amp; MOD(INT(SQRT(W320)/4),3)))</f>
        <v>4D6+1</v>
      </c>
      <c r="AG320" s="33" t="str">
        <f t="shared" si="58"/>
        <v>2+1</v>
      </c>
      <c r="AH320" s="33" t="str">
        <f t="shared" si="59"/>
        <v>2+2</v>
      </c>
      <c r="AI320" s="33" t="str">
        <f t="shared" si="60"/>
        <v>3+1</v>
      </c>
      <c r="AJ320" s="33" t="str">
        <f t="shared" si="61"/>
        <v>-</v>
      </c>
      <c r="AK320">
        <v>1988</v>
      </c>
    </row>
    <row r="321" spans="1:37">
      <c r="A321" t="s">
        <v>572</v>
      </c>
      <c r="B321" t="s">
        <v>511</v>
      </c>
      <c r="C321" t="s">
        <v>681</v>
      </c>
      <c r="D321" t="s">
        <v>681</v>
      </c>
      <c r="F321" t="s">
        <v>28</v>
      </c>
      <c r="G321" t="s">
        <v>512</v>
      </c>
      <c r="H321">
        <v>6.5220000000000002</v>
      </c>
      <c r="I321">
        <v>16</v>
      </c>
      <c r="J321" s="9">
        <v>150</v>
      </c>
      <c r="K321" s="9">
        <v>300</v>
      </c>
      <c r="L321" s="9">
        <v>900</v>
      </c>
      <c r="M321" s="10">
        <v>1800</v>
      </c>
      <c r="N321" s="10">
        <v>2</v>
      </c>
      <c r="O321" s="10"/>
      <c r="P321" s="18">
        <v>4</v>
      </c>
      <c r="Q321" s="22" t="s">
        <v>712</v>
      </c>
      <c r="R321">
        <v>1</v>
      </c>
      <c r="S321" s="26">
        <f>VLOOKUP($F321,Munition!$B:$P,10,FALSE)</f>
        <v>24</v>
      </c>
      <c r="T321" s="26">
        <f>VLOOKUP($F321,Munition!$B:$P,11,FALSE)</f>
        <v>850</v>
      </c>
      <c r="U321" s="28">
        <f t="shared" si="62"/>
        <v>768.06170306836805</v>
      </c>
      <c r="V321" s="26">
        <f>VLOOKUP($F321,Munition!$B:$P,5,FALSE)</f>
        <v>10</v>
      </c>
      <c r="W321" s="30">
        <f t="shared" ref="W321:W381" si="64">0.5 * (V321/1000) * (U321^2)</f>
        <v>2949.5938986014098</v>
      </c>
      <c r="X321" s="26">
        <f>VLOOKUP($F321,Munition!$B:$P,15,FALSE)</f>
        <v>226.35369684180674</v>
      </c>
      <c r="Y321" s="26">
        <f>VLOOKUP($F321,Munition!$B:$P,9,FALSE)</f>
        <v>1</v>
      </c>
      <c r="Z321" s="26">
        <f>VLOOKUP($F321,Munition!$B:$P,14,FALSE)</f>
        <v>7.0354494855587057E-6</v>
      </c>
      <c r="AA321" s="30">
        <f t="shared" ref="AA321:AA381" si="65">0.0000001 * X321 * (2 * W321 / (V321/1000)) * Y321</f>
        <v>13.353029662609327</v>
      </c>
      <c r="AB321" s="30">
        <f t="shared" ref="AB321:AB381" si="66">0.0000001 * $X321 * (2 * $W321 * EXP(-(2*$Z321/($V321/1000)) * J321) / ($V321/1000))  * $Y321</f>
        <v>10.812250702237209</v>
      </c>
      <c r="AC321" s="30">
        <f t="shared" ref="AC321:AC381" si="67">0.0000001 * $X321 * (2 * $W321 * EXP(-(2*$Z321/($V321/1000)) * K321) / ($V321/1000))  * $Y321</f>
        <v>8.7549244030649902</v>
      </c>
      <c r="AD321" s="30">
        <f t="shared" ref="AD321:AD381" si="68">0.0000001 * $X321 * (2 * $W321 * EXP(-(2*$Z321/($V321/1000)) * L321) / ($V321/1000))  * $Y321</f>
        <v>3.7635489906468393</v>
      </c>
      <c r="AE321" s="30">
        <f t="shared" ref="AE321:AE381" si="69">0.0000001 * $X321 * (2 * $W321 * EXP(-(2*$Z321/($V321/1000)) * M321) / ($V321/1000))  * $Y321</f>
        <v>1.060755601005007</v>
      </c>
      <c r="AF321" s="32" t="str">
        <f t="shared" si="63"/>
        <v>4D6+1</v>
      </c>
      <c r="AG321" s="33" t="str">
        <f t="shared" ref="AG321:AG381" si="70">IF((SQRT($W321)*(7/AA321))&gt;=(SQRT($W321)),"-",IF(INT(SQRT($W321)*(7/AA321)/12)=0, MOD(INT(SQRT($W321)*(7/AA321)/4),3), INT(SQRT($W321)*(7/AA321)/12)  &amp; IF(MOD(INT(SQRT($W321)*(7/AA321)/4),3)=0, "", "+" &amp; MOD(INT(SQRT($W321)*(7/AA321)/4),3))))</f>
        <v>2+1</v>
      </c>
      <c r="AH321" s="33" t="str">
        <f t="shared" ref="AH321:AH381" si="71">IF((SQRT($W321)*(7/AB321))&gt;=(SQRT($W321)),"-",IF(INT(SQRT($W321)*(7/AB321)/12)=0, MOD(INT(SQRT($W321)*(7/AB321)/4),3), INT(SQRT($W321)*(7/AB321)/12)  &amp; IF(MOD(INT(SQRT($W321)*(7/AB321)/4),3)=0, "", "+" &amp; MOD(INT(SQRT($W321)*(7/AB321)/4),3))))</f>
        <v>2+2</v>
      </c>
      <c r="AI321" s="33" t="str">
        <f t="shared" ref="AI321:AI381" si="72">IF((SQRT($W321)*(7/AC321))&gt;=(SQRT($W321)),"-",IF(INT(SQRT($W321)*(7/AC321)/12)=0, MOD(INT(SQRT($W321)*(7/AC321)/4),3), INT(SQRT($W321)*(7/AC321)/12)  &amp; IF(MOD(INT(SQRT($W321)*(7/AC321)/4),3)=0, "", "+" &amp; MOD(INT(SQRT($W321)*(7/AC321)/4),3))))</f>
        <v>3+1</v>
      </c>
      <c r="AJ321" s="33" t="str">
        <f t="shared" ref="AJ321:AJ381" si="73">IF((SQRT($W321)*(7/AD321))&gt;=(SQRT($W321)),"-",IF(INT(SQRT($W321)*(7/AD321)/12)=0, MOD(INT(SQRT($W321)*(7/AD321)/4),3), INT(SQRT($W321)*(7/AD321)/12)  &amp; IF(MOD(INT(SQRT($W321)*(7/AD321)/4),3)=0, "", "+" &amp; MOD(INT(SQRT($W321)*(7/AD321)/4),3))))</f>
        <v>-</v>
      </c>
      <c r="AK321">
        <v>1988</v>
      </c>
    </row>
    <row r="322" spans="1:37">
      <c r="A322" t="s">
        <v>575</v>
      </c>
      <c r="B322" t="s">
        <v>513</v>
      </c>
      <c r="C322" t="s">
        <v>681</v>
      </c>
      <c r="D322" t="s">
        <v>681</v>
      </c>
      <c r="F322" t="s">
        <v>28</v>
      </c>
      <c r="G322" t="s">
        <v>512</v>
      </c>
      <c r="H322">
        <v>5.95</v>
      </c>
      <c r="I322">
        <v>23.3</v>
      </c>
      <c r="J322" s="9">
        <v>100</v>
      </c>
      <c r="K322" s="9">
        <v>200</v>
      </c>
      <c r="L322" s="9">
        <v>600</v>
      </c>
      <c r="M322" s="10">
        <v>1200</v>
      </c>
      <c r="N322" s="10">
        <v>2</v>
      </c>
      <c r="O322" s="10">
        <v>3</v>
      </c>
      <c r="P322" s="19">
        <v>24</v>
      </c>
      <c r="Q322" s="22" t="s">
        <v>725</v>
      </c>
      <c r="R322">
        <v>12</v>
      </c>
      <c r="S322" s="26">
        <f>VLOOKUP($F322,Munition!$B:$P,10,FALSE)</f>
        <v>24</v>
      </c>
      <c r="T322" s="26">
        <f>VLOOKUP($F322,Munition!$B:$P,11,FALSE)</f>
        <v>850</v>
      </c>
      <c r="U322" s="28">
        <f t="shared" si="62"/>
        <v>843.73311660785282</v>
      </c>
      <c r="V322" s="26">
        <f>VLOOKUP($F322,Munition!$B:$P,5,FALSE)</f>
        <v>10</v>
      </c>
      <c r="W322" s="30">
        <f t="shared" si="64"/>
        <v>3559.4278603040034</v>
      </c>
      <c r="X322" s="26">
        <f>VLOOKUP($F322,Munition!$B:$P,15,FALSE)</f>
        <v>226.35369684180674</v>
      </c>
      <c r="Y322" s="26">
        <f>VLOOKUP($F322,Munition!$B:$P,9,FALSE)</f>
        <v>1</v>
      </c>
      <c r="Z322" s="26">
        <f>VLOOKUP($F322,Munition!$B:$P,14,FALSE)</f>
        <v>7.0354494855587057E-6</v>
      </c>
      <c r="AA322" s="30">
        <f t="shared" si="65"/>
        <v>16.113793096430662</v>
      </c>
      <c r="AB322" s="30">
        <f t="shared" si="66"/>
        <v>13.998730256995328</v>
      </c>
      <c r="AC322" s="30">
        <f t="shared" si="67"/>
        <v>12.161286150032804</v>
      </c>
      <c r="AD322" s="30">
        <f t="shared" si="68"/>
        <v>6.9269644090053539</v>
      </c>
      <c r="AE322" s="30">
        <f t="shared" si="69"/>
        <v>2.9777492882327916</v>
      </c>
      <c r="AF322" s="32" t="str">
        <f t="shared" si="63"/>
        <v>4D6+2</v>
      </c>
      <c r="AG322" s="33" t="str">
        <f t="shared" si="70"/>
        <v>2</v>
      </c>
      <c r="AH322" s="33" t="str">
        <f t="shared" si="71"/>
        <v>2+1</v>
      </c>
      <c r="AI322" s="33" t="str">
        <f t="shared" si="72"/>
        <v>2+2</v>
      </c>
      <c r="AJ322" s="33" t="str">
        <f t="shared" si="73"/>
        <v>-</v>
      </c>
      <c r="AK322">
        <v>1957</v>
      </c>
    </row>
    <row r="323" spans="1:37">
      <c r="A323" t="s">
        <v>579</v>
      </c>
      <c r="B323" t="s">
        <v>514</v>
      </c>
      <c r="C323" t="s">
        <v>681</v>
      </c>
      <c r="D323" t="s">
        <v>681</v>
      </c>
      <c r="F323" t="s">
        <v>37</v>
      </c>
      <c r="G323" t="s">
        <v>38</v>
      </c>
      <c r="H323">
        <v>3.85</v>
      </c>
      <c r="I323">
        <v>20.5</v>
      </c>
      <c r="J323" s="9">
        <v>50</v>
      </c>
      <c r="K323" s="9">
        <v>100</v>
      </c>
      <c r="L323" s="9">
        <v>300</v>
      </c>
      <c r="M323" s="10">
        <v>600</v>
      </c>
      <c r="N323" s="10">
        <v>2</v>
      </c>
      <c r="O323" s="10"/>
      <c r="P323" s="18">
        <v>5</v>
      </c>
      <c r="Q323" s="22" t="s">
        <v>701</v>
      </c>
      <c r="R323">
        <v>1</v>
      </c>
      <c r="S323" s="26">
        <f>VLOOKUP($F323,Munition!$B:$P,10,FALSE)</f>
        <v>16</v>
      </c>
      <c r="T323" s="26">
        <f>VLOOKUP($F323,Munition!$B:$P,11,FALSE)</f>
        <v>725</v>
      </c>
      <c r="U323" s="28">
        <f t="shared" si="62"/>
        <v>771.34110590204193</v>
      </c>
      <c r="V323" s="26">
        <f>VLOOKUP($F323,Munition!$B:$P,5,FALSE)</f>
        <v>7.9</v>
      </c>
      <c r="W323" s="30">
        <f t="shared" si="64"/>
        <v>2350.1200515340315</v>
      </c>
      <c r="X323" s="26">
        <f>VLOOKUP($F323,Munition!$B:$P,15,FALSE)</f>
        <v>173.23166007756538</v>
      </c>
      <c r="Y323" s="26">
        <f>VLOOKUP($F323,Munition!$B:$P,9,FALSE)</f>
        <v>1</v>
      </c>
      <c r="Z323" s="26">
        <f>VLOOKUP($F323,Munition!$B:$P,14,FALSE)</f>
        <v>7.8210299398698787E-6</v>
      </c>
      <c r="AA323" s="30">
        <f t="shared" si="65"/>
        <v>10.306713871109206</v>
      </c>
      <c r="AB323" s="30">
        <f t="shared" si="66"/>
        <v>9.335227394524015</v>
      </c>
      <c r="AC323" s="30">
        <f t="shared" si="67"/>
        <v>8.4553109358892993</v>
      </c>
      <c r="AD323" s="30">
        <f t="shared" si="68"/>
        <v>5.6904722496492566</v>
      </c>
      <c r="AE323" s="30">
        <f t="shared" si="69"/>
        <v>3.1417845521836902</v>
      </c>
      <c r="AF323" s="32" t="str">
        <f t="shared" si="63"/>
        <v>4D6</v>
      </c>
      <c r="AG323" s="33" t="str">
        <f t="shared" si="70"/>
        <v>2+2</v>
      </c>
      <c r="AH323" s="33" t="str">
        <f t="shared" si="71"/>
        <v>3</v>
      </c>
      <c r="AI323" s="33" t="str">
        <f t="shared" si="72"/>
        <v>3+1</v>
      </c>
      <c r="AJ323" s="33" t="str">
        <f t="shared" si="73"/>
        <v>-</v>
      </c>
      <c r="AK323">
        <v>1945</v>
      </c>
    </row>
    <row r="324" spans="1:37">
      <c r="A324" t="s">
        <v>571</v>
      </c>
      <c r="B324" t="s">
        <v>515</v>
      </c>
      <c r="C324" t="s">
        <v>681</v>
      </c>
      <c r="D324" t="s">
        <v>681</v>
      </c>
      <c r="F324" t="s">
        <v>108</v>
      </c>
      <c r="G324" t="s">
        <v>103</v>
      </c>
      <c r="I324">
        <v>5</v>
      </c>
      <c r="J324" s="9">
        <v>7</v>
      </c>
      <c r="K324" s="9">
        <v>14</v>
      </c>
      <c r="L324" s="9">
        <v>42</v>
      </c>
      <c r="M324" s="10">
        <v>84</v>
      </c>
      <c r="N324" s="10">
        <v>10</v>
      </c>
      <c r="O324" s="10"/>
      <c r="P324" s="18">
        <v>10</v>
      </c>
      <c r="Q324" s="22" t="s">
        <v>701</v>
      </c>
      <c r="R324">
        <v>1</v>
      </c>
      <c r="S324" s="26">
        <f>VLOOKUP($F324,Munition!$B:$P,10,FALSE)</f>
        <v>5</v>
      </c>
      <c r="T324" s="26">
        <f>VLOOKUP($F324,Munition!$B:$P,11,FALSE)</f>
        <v>285</v>
      </c>
      <c r="U324" s="28">
        <f t="shared" si="62"/>
        <v>285</v>
      </c>
      <c r="V324" s="26">
        <f>VLOOKUP($F324,Munition!$B:$P,5,FALSE)</f>
        <v>14.84</v>
      </c>
      <c r="W324" s="30">
        <f t="shared" si="64"/>
        <v>602.68949999999995</v>
      </c>
      <c r="X324" s="26">
        <f>VLOOKUP($F324,Munition!$B:$P,15,FALSE)</f>
        <v>144.62772633198708</v>
      </c>
      <c r="Y324" s="26">
        <f>VLOOKUP($F324,Munition!$B:$P,9,FALSE)</f>
        <v>1</v>
      </c>
      <c r="Z324" s="26">
        <f>VLOOKUP($F324,Munition!$B:$P,14,FALSE)</f>
        <v>2.8281402907565187E-5</v>
      </c>
      <c r="AA324" s="30">
        <f t="shared" si="65"/>
        <v>1.1747387071315649</v>
      </c>
      <c r="AB324" s="30">
        <f t="shared" si="66"/>
        <v>1.14381043685386</v>
      </c>
      <c r="AC324" s="30">
        <f t="shared" si="67"/>
        <v>1.1136964394834525</v>
      </c>
      <c r="AD324" s="30">
        <f t="shared" si="68"/>
        <v>1.0009627964643073</v>
      </c>
      <c r="AE324" s="30">
        <f t="shared" si="69"/>
        <v>0.85289308492448901</v>
      </c>
      <c r="AF324" s="32" t="str">
        <f t="shared" si="63"/>
        <v>2D6</v>
      </c>
      <c r="AG324" s="33" t="str">
        <f t="shared" si="70"/>
        <v>-</v>
      </c>
      <c r="AH324" s="33" t="str">
        <f t="shared" si="71"/>
        <v>-</v>
      </c>
      <c r="AI324" s="33" t="str">
        <f t="shared" si="72"/>
        <v>-</v>
      </c>
      <c r="AJ324" s="33" t="str">
        <f t="shared" si="73"/>
        <v>-</v>
      </c>
      <c r="AK324">
        <v>2005</v>
      </c>
    </row>
    <row r="325" spans="1:37">
      <c r="A325" t="s">
        <v>571</v>
      </c>
      <c r="B325" t="s">
        <v>516</v>
      </c>
      <c r="C325" t="s">
        <v>681</v>
      </c>
      <c r="D325" t="s">
        <v>681</v>
      </c>
      <c r="F325" t="s">
        <v>182</v>
      </c>
      <c r="G325" t="s">
        <v>79</v>
      </c>
      <c r="I325">
        <v>5</v>
      </c>
      <c r="J325" s="9">
        <v>5</v>
      </c>
      <c r="K325" s="9">
        <v>10</v>
      </c>
      <c r="L325" s="9">
        <v>30</v>
      </c>
      <c r="M325" s="10">
        <v>60</v>
      </c>
      <c r="N325" s="10">
        <v>15</v>
      </c>
      <c r="O325" s="10"/>
      <c r="P325" s="18">
        <v>17</v>
      </c>
      <c r="Q325" s="22" t="s">
        <v>701</v>
      </c>
      <c r="R325">
        <v>1</v>
      </c>
      <c r="S325" s="26">
        <f>VLOOKUP($F325,Munition!$B:$P,10,FALSE)</f>
        <v>4.5</v>
      </c>
      <c r="T325" s="26">
        <f>VLOOKUP($F325,Munition!$B:$P,11,FALSE)</f>
        <v>450</v>
      </c>
      <c r="U325" s="28">
        <f t="shared" si="62"/>
        <v>462.01054323615341</v>
      </c>
      <c r="V325" s="26">
        <f>VLOOKUP($F325,Munition!$B:$P,5,FALSE)</f>
        <v>6.75</v>
      </c>
      <c r="W325" s="30">
        <f t="shared" si="64"/>
        <v>720.40637945710876</v>
      </c>
      <c r="X325" s="26">
        <f>VLOOKUP($F325,Munition!$B:$P,15,FALSE)</f>
        <v>106.1032953945969</v>
      </c>
      <c r="Y325" s="26">
        <f>VLOOKUP($F325,Munition!$B:$P,9,FALSE)</f>
        <v>1</v>
      </c>
      <c r="Z325" s="26">
        <f>VLOOKUP($F325,Munition!$B:$P,14,FALSE)</f>
        <v>1.5586226552622361E-5</v>
      </c>
      <c r="AA325" s="30">
        <f t="shared" si="65"/>
        <v>2.2648145447019159</v>
      </c>
      <c r="AB325" s="30">
        <f t="shared" si="66"/>
        <v>2.2131175350889274</v>
      </c>
      <c r="AC325" s="30">
        <f t="shared" si="67"/>
        <v>2.162600569470789</v>
      </c>
      <c r="AD325" s="30">
        <f t="shared" si="68"/>
        <v>1.9718035683338757</v>
      </c>
      <c r="AE325" s="30">
        <f t="shared" si="69"/>
        <v>1.7167009639660926</v>
      </c>
      <c r="AF325" s="32" t="str">
        <f t="shared" si="63"/>
        <v>2D6</v>
      </c>
      <c r="AG325" s="33" t="str">
        <f t="shared" si="70"/>
        <v>-</v>
      </c>
      <c r="AH325" s="33" t="str">
        <f t="shared" si="71"/>
        <v>-</v>
      </c>
      <c r="AI325" s="33" t="str">
        <f t="shared" si="72"/>
        <v>-</v>
      </c>
      <c r="AJ325" s="33" t="str">
        <f t="shared" si="73"/>
        <v>-</v>
      </c>
      <c r="AK325">
        <v>2005</v>
      </c>
    </row>
    <row r="326" spans="1:37">
      <c r="A326" t="s">
        <v>580</v>
      </c>
      <c r="B326" t="s">
        <v>517</v>
      </c>
      <c r="C326" t="s">
        <v>681</v>
      </c>
      <c r="D326" t="s">
        <v>681</v>
      </c>
      <c r="F326" t="s">
        <v>102</v>
      </c>
      <c r="G326" t="s">
        <v>488</v>
      </c>
      <c r="I326">
        <v>8</v>
      </c>
      <c r="J326" s="9">
        <v>5</v>
      </c>
      <c r="K326" s="9">
        <v>10</v>
      </c>
      <c r="L326" s="9">
        <v>30</v>
      </c>
      <c r="M326" s="10">
        <v>60</v>
      </c>
      <c r="N326" s="10">
        <v>25</v>
      </c>
      <c r="O326" s="10"/>
      <c r="P326" s="18">
        <v>6</v>
      </c>
      <c r="Q326" s="22" t="s">
        <v>705</v>
      </c>
      <c r="R326">
        <v>1</v>
      </c>
      <c r="S326" s="26">
        <f>VLOOKUP($F326,Munition!$B:$P,10,FALSE)</f>
        <v>5</v>
      </c>
      <c r="T326" s="26">
        <f>VLOOKUP($F326,Munition!$B:$P,11,FALSE)</f>
        <v>450</v>
      </c>
      <c r="U326" s="28">
        <f t="shared" si="62"/>
        <v>506.10719267131418</v>
      </c>
      <c r="V326" s="26">
        <f>VLOOKUP($F326,Munition!$B:$P,5,FALSE)</f>
        <v>19</v>
      </c>
      <c r="W326" s="30">
        <f t="shared" si="64"/>
        <v>2433.3726594995678</v>
      </c>
      <c r="X326" s="26">
        <f>VLOOKUP($F326,Munition!$B:$P,15,FALSE)</f>
        <v>185.17026956251715</v>
      </c>
      <c r="Y326" s="26">
        <f>VLOOKUP($F326,Munition!$B:$P,9,FALSE)</f>
        <v>1</v>
      </c>
      <c r="Z326" s="26">
        <f>VLOOKUP($F326,Munition!$B:$P,14,FALSE)</f>
        <v>2.8281402907565187E-5</v>
      </c>
      <c r="AA326" s="30">
        <f t="shared" si="65"/>
        <v>4.7430344347957289</v>
      </c>
      <c r="AB326" s="30">
        <f t="shared" si="66"/>
        <v>4.6729574496403474</v>
      </c>
      <c r="AC326" s="30">
        <f t="shared" si="67"/>
        <v>4.6039158320151765</v>
      </c>
      <c r="AD326" s="30">
        <f t="shared" si="68"/>
        <v>4.3378004618031998</v>
      </c>
      <c r="AE326" s="30">
        <f t="shared" si="69"/>
        <v>3.9671887491220454</v>
      </c>
      <c r="AF326" s="32" t="str">
        <f t="shared" si="63"/>
        <v>4D6</v>
      </c>
      <c r="AG326" s="33" t="str">
        <f t="shared" si="70"/>
        <v>-</v>
      </c>
      <c r="AH326" s="33" t="str">
        <f t="shared" si="71"/>
        <v>-</v>
      </c>
      <c r="AI326" s="33" t="str">
        <f t="shared" si="72"/>
        <v>-</v>
      </c>
      <c r="AJ326" s="33" t="str">
        <f t="shared" si="73"/>
        <v>-</v>
      </c>
      <c r="AK326">
        <v>1956</v>
      </c>
    </row>
    <row r="327" spans="1:37">
      <c r="A327" t="s">
        <v>580</v>
      </c>
      <c r="B327" t="s">
        <v>518</v>
      </c>
      <c r="C327" t="s">
        <v>681</v>
      </c>
      <c r="D327" t="s">
        <v>681</v>
      </c>
      <c r="F327" t="s">
        <v>94</v>
      </c>
      <c r="G327" t="s">
        <v>95</v>
      </c>
      <c r="I327">
        <v>6.5</v>
      </c>
      <c r="J327" s="9">
        <v>6</v>
      </c>
      <c r="K327" s="9">
        <v>12</v>
      </c>
      <c r="L327" s="9">
        <v>36</v>
      </c>
      <c r="M327" s="10">
        <v>72</v>
      </c>
      <c r="N327" s="10">
        <v>29</v>
      </c>
      <c r="O327" s="10"/>
      <c r="P327" s="18">
        <v>6</v>
      </c>
      <c r="Q327" s="22" t="s">
        <v>705</v>
      </c>
      <c r="R327">
        <v>1</v>
      </c>
      <c r="S327" s="26">
        <f>VLOOKUP($F327,Munition!$B:$P,10,FALSE)</f>
        <v>6</v>
      </c>
      <c r="T327" s="26">
        <f>VLOOKUP($F327,Munition!$B:$P,11,FALSE)</f>
        <v>395</v>
      </c>
      <c r="U327" s="28">
        <f t="shared" si="62"/>
        <v>402.98383191308267</v>
      </c>
      <c r="V327" s="26">
        <f>VLOOKUP($F327,Munition!$B:$P,5,FALSE)</f>
        <v>10.199999999999999</v>
      </c>
      <c r="W327" s="30">
        <f t="shared" si="64"/>
        <v>828.21944079509331</v>
      </c>
      <c r="X327" s="26">
        <f>VLOOKUP($F327,Munition!$B:$P,15,FALSE)</f>
        <v>160.33386859627976</v>
      </c>
      <c r="Y327" s="26">
        <f>VLOOKUP($F327,Munition!$B:$P,9,FALSE)</f>
        <v>1</v>
      </c>
      <c r="Z327" s="26">
        <f>VLOOKUP($F327,Munition!$B:$P,14,FALSE)</f>
        <v>1.7534504871700157E-5</v>
      </c>
      <c r="AA327" s="30">
        <f t="shared" si="65"/>
        <v>2.603757391947545</v>
      </c>
      <c r="AB327" s="30">
        <f t="shared" si="66"/>
        <v>2.5505951479462539</v>
      </c>
      <c r="AC327" s="30">
        <f t="shared" si="67"/>
        <v>2.4985183446223438</v>
      </c>
      <c r="AD327" s="30">
        <f t="shared" si="68"/>
        <v>2.3006290303189623</v>
      </c>
      <c r="AE327" s="30">
        <f t="shared" si="69"/>
        <v>2.0327907475233005</v>
      </c>
      <c r="AF327" s="32" t="str">
        <f t="shared" si="63"/>
        <v>2D6+1</v>
      </c>
      <c r="AG327" s="33" t="str">
        <f t="shared" si="70"/>
        <v>-</v>
      </c>
      <c r="AH327" s="33" t="str">
        <f t="shared" si="71"/>
        <v>-</v>
      </c>
      <c r="AI327" s="33" t="str">
        <f t="shared" si="72"/>
        <v>-</v>
      </c>
      <c r="AJ327" s="33" t="str">
        <f t="shared" si="73"/>
        <v>-</v>
      </c>
      <c r="AK327">
        <v>1956</v>
      </c>
    </row>
    <row r="328" spans="1:37">
      <c r="A328" t="s">
        <v>580</v>
      </c>
      <c r="B328" t="s">
        <v>519</v>
      </c>
      <c r="C328" t="s">
        <v>681</v>
      </c>
      <c r="D328" t="s">
        <v>681</v>
      </c>
      <c r="F328" t="s">
        <v>248</v>
      </c>
      <c r="G328" t="s">
        <v>84</v>
      </c>
      <c r="I328">
        <v>2</v>
      </c>
      <c r="J328" s="9">
        <v>2</v>
      </c>
      <c r="K328" s="9">
        <v>4</v>
      </c>
      <c r="L328" s="9">
        <v>12</v>
      </c>
      <c r="M328" s="10">
        <v>24</v>
      </c>
      <c r="N328" s="10">
        <v>20</v>
      </c>
      <c r="O328" s="10"/>
      <c r="P328" s="18">
        <v>5</v>
      </c>
      <c r="Q328" s="22" t="s">
        <v>705</v>
      </c>
      <c r="R328">
        <v>1</v>
      </c>
      <c r="S328" s="26">
        <f>VLOOKUP($F328,Munition!$B:$P,10,FALSE)</f>
        <v>4</v>
      </c>
      <c r="T328" s="26">
        <f>VLOOKUP($F328,Munition!$B:$P,11,FALSE)</f>
        <v>260</v>
      </c>
      <c r="U328" s="28">
        <f t="shared" si="62"/>
        <v>218.63306796596578</v>
      </c>
      <c r="V328" s="26">
        <f>VLOOKUP($F328,Munition!$B:$P,5,FALSE)</f>
        <v>10.6</v>
      </c>
      <c r="W328" s="30">
        <f t="shared" si="64"/>
        <v>253.34221756351627</v>
      </c>
      <c r="X328" s="26">
        <f>VLOOKUP($F328,Munition!$B:$P,15,FALSE)</f>
        <v>166.62147128632995</v>
      </c>
      <c r="Y328" s="26">
        <f>VLOOKUP($F328,Munition!$B:$P,9,FALSE)</f>
        <v>1</v>
      </c>
      <c r="Z328" s="26">
        <f>VLOOKUP($F328,Munition!$B:$P,14,FALSE)</f>
        <v>1.7534504871700157E-5</v>
      </c>
      <c r="AA328" s="30">
        <f t="shared" si="65"/>
        <v>0.7964576043278222</v>
      </c>
      <c r="AB328" s="30">
        <f t="shared" si="66"/>
        <v>0.79120500504686497</v>
      </c>
      <c r="AC328" s="30">
        <f t="shared" si="67"/>
        <v>0.7859870464034715</v>
      </c>
      <c r="AD328" s="30">
        <f t="shared" si="68"/>
        <v>0.76545707167906007</v>
      </c>
      <c r="AE328" s="30">
        <f t="shared" si="69"/>
        <v>0.73566317328086561</v>
      </c>
      <c r="AF328" s="32" t="str">
        <f t="shared" si="63"/>
        <v>1D6</v>
      </c>
      <c r="AG328" s="33" t="str">
        <f t="shared" si="70"/>
        <v>-</v>
      </c>
      <c r="AH328" s="33" t="str">
        <f t="shared" si="71"/>
        <v>-</v>
      </c>
      <c r="AI328" s="33" t="str">
        <f t="shared" si="72"/>
        <v>-</v>
      </c>
      <c r="AJ328" s="33" t="str">
        <f t="shared" si="73"/>
        <v>-</v>
      </c>
      <c r="AK328">
        <v>1952</v>
      </c>
    </row>
    <row r="329" spans="1:37">
      <c r="A329" t="s">
        <v>571</v>
      </c>
      <c r="B329" t="s">
        <v>520</v>
      </c>
      <c r="C329" t="s">
        <v>681</v>
      </c>
      <c r="D329" t="s">
        <v>681</v>
      </c>
      <c r="F329" t="s">
        <v>182</v>
      </c>
      <c r="G329" t="s">
        <v>79</v>
      </c>
      <c r="I329">
        <v>4</v>
      </c>
      <c r="J329" s="9">
        <v>5</v>
      </c>
      <c r="K329" s="9">
        <v>10</v>
      </c>
      <c r="L329" s="9">
        <v>30</v>
      </c>
      <c r="M329" s="10">
        <v>60</v>
      </c>
      <c r="N329" s="10">
        <v>31</v>
      </c>
      <c r="O329" s="10"/>
      <c r="P329" s="18">
        <v>8</v>
      </c>
      <c r="Q329" s="22" t="s">
        <v>701</v>
      </c>
      <c r="R329">
        <v>1</v>
      </c>
      <c r="S329" s="26">
        <f>VLOOKUP($F329,Munition!$B:$P,10,FALSE)</f>
        <v>4.5</v>
      </c>
      <c r="T329" s="26">
        <f>VLOOKUP($F329,Munition!$B:$P,11,FALSE)</f>
        <v>450</v>
      </c>
      <c r="U329" s="28">
        <f t="shared" si="62"/>
        <v>436.94259453659112</v>
      </c>
      <c r="V329" s="26">
        <f>VLOOKUP($F329,Munition!$B:$P,5,FALSE)</f>
        <v>6.75</v>
      </c>
      <c r="W329" s="30">
        <f t="shared" si="64"/>
        <v>644.35105435624143</v>
      </c>
      <c r="X329" s="26">
        <f>VLOOKUP($F329,Munition!$B:$P,15,FALSE)</f>
        <v>106.1032953945969</v>
      </c>
      <c r="Y329" s="26">
        <f>VLOOKUP($F329,Munition!$B:$P,9,FALSE)</f>
        <v>1</v>
      </c>
      <c r="Z329" s="26">
        <f>VLOOKUP($F329,Munition!$B:$P,14,FALSE)</f>
        <v>1.5586226552622361E-5</v>
      </c>
      <c r="AA329" s="30">
        <f t="shared" si="65"/>
        <v>2.0257117113534884</v>
      </c>
      <c r="AB329" s="30">
        <f t="shared" si="66"/>
        <v>1.9794725002622475</v>
      </c>
      <c r="AC329" s="30">
        <f t="shared" si="67"/>
        <v>1.9342887526065766</v>
      </c>
      <c r="AD329" s="30">
        <f t="shared" si="68"/>
        <v>1.7636347268284795</v>
      </c>
      <c r="AE329" s="30">
        <f t="shared" si="69"/>
        <v>1.53546402098704</v>
      </c>
      <c r="AF329" s="32" t="str">
        <f t="shared" si="63"/>
        <v>2D6</v>
      </c>
      <c r="AG329" s="33" t="str">
        <f t="shared" si="70"/>
        <v>-</v>
      </c>
      <c r="AH329" s="33" t="str">
        <f t="shared" si="71"/>
        <v>-</v>
      </c>
      <c r="AI329" s="33" t="str">
        <f t="shared" si="72"/>
        <v>-</v>
      </c>
      <c r="AJ329" s="33" t="str">
        <f t="shared" si="73"/>
        <v>-</v>
      </c>
      <c r="AK329">
        <v>1980</v>
      </c>
    </row>
    <row r="330" spans="1:37">
      <c r="A330" t="s">
        <v>571</v>
      </c>
      <c r="B330" t="s">
        <v>521</v>
      </c>
      <c r="C330" t="s">
        <v>681</v>
      </c>
      <c r="D330" t="s">
        <v>681</v>
      </c>
      <c r="F330" t="s">
        <v>182</v>
      </c>
      <c r="G330" t="s">
        <v>79</v>
      </c>
      <c r="I330">
        <v>4</v>
      </c>
      <c r="J330" s="9">
        <v>5</v>
      </c>
      <c r="K330" s="9">
        <v>10</v>
      </c>
      <c r="L330" s="9">
        <v>30</v>
      </c>
      <c r="M330" s="10">
        <v>60</v>
      </c>
      <c r="N330" s="10">
        <v>18</v>
      </c>
      <c r="O330" s="10"/>
      <c r="P330" s="18">
        <v>14</v>
      </c>
      <c r="Q330" s="22" t="s">
        <v>701</v>
      </c>
      <c r="R330">
        <v>1</v>
      </c>
      <c r="S330" s="26">
        <f>VLOOKUP($F330,Munition!$B:$P,10,FALSE)</f>
        <v>4.5</v>
      </c>
      <c r="T330" s="26">
        <f>VLOOKUP($F330,Munition!$B:$P,11,FALSE)</f>
        <v>450</v>
      </c>
      <c r="U330" s="28">
        <f t="shared" si="62"/>
        <v>436.94259453659112</v>
      </c>
      <c r="V330" s="26">
        <f>VLOOKUP($F330,Munition!$B:$P,5,FALSE)</f>
        <v>6.75</v>
      </c>
      <c r="W330" s="30">
        <f t="shared" si="64"/>
        <v>644.35105435624143</v>
      </c>
      <c r="X330" s="26">
        <f>VLOOKUP($F330,Munition!$B:$P,15,FALSE)</f>
        <v>106.1032953945969</v>
      </c>
      <c r="Y330" s="26">
        <f>VLOOKUP($F330,Munition!$B:$P,9,FALSE)</f>
        <v>1</v>
      </c>
      <c r="Z330" s="26">
        <f>VLOOKUP($F330,Munition!$B:$P,14,FALSE)</f>
        <v>1.5586226552622361E-5</v>
      </c>
      <c r="AA330" s="30">
        <f t="shared" si="65"/>
        <v>2.0257117113534884</v>
      </c>
      <c r="AB330" s="30">
        <f t="shared" si="66"/>
        <v>1.9794725002622475</v>
      </c>
      <c r="AC330" s="30">
        <f t="shared" si="67"/>
        <v>1.9342887526065766</v>
      </c>
      <c r="AD330" s="30">
        <f t="shared" si="68"/>
        <v>1.7636347268284795</v>
      </c>
      <c r="AE330" s="30">
        <f t="shared" si="69"/>
        <v>1.53546402098704</v>
      </c>
      <c r="AF330" s="32" t="str">
        <f t="shared" si="63"/>
        <v>2D6</v>
      </c>
      <c r="AG330" s="33" t="str">
        <f t="shared" si="70"/>
        <v>-</v>
      </c>
      <c r="AH330" s="33" t="str">
        <f t="shared" si="71"/>
        <v>-</v>
      </c>
      <c r="AI330" s="33" t="str">
        <f t="shared" si="72"/>
        <v>-</v>
      </c>
      <c r="AJ330" s="33" t="str">
        <f t="shared" si="73"/>
        <v>-</v>
      </c>
      <c r="AK330">
        <v>1980</v>
      </c>
    </row>
    <row r="331" spans="1:37">
      <c r="A331" t="s">
        <v>575</v>
      </c>
      <c r="B331" t="s">
        <v>522</v>
      </c>
      <c r="C331" t="s">
        <v>681</v>
      </c>
      <c r="D331" t="s">
        <v>681</v>
      </c>
      <c r="F331" t="s">
        <v>182</v>
      </c>
      <c r="G331" t="s">
        <v>79</v>
      </c>
      <c r="H331">
        <v>2.903</v>
      </c>
      <c r="I331">
        <v>5</v>
      </c>
      <c r="J331" s="9">
        <v>5</v>
      </c>
      <c r="K331" s="9">
        <v>10</v>
      </c>
      <c r="L331" s="9">
        <v>30</v>
      </c>
      <c r="M331" s="10">
        <v>60</v>
      </c>
      <c r="N331" s="10">
        <v>1</v>
      </c>
      <c r="O331" s="10">
        <v>5</v>
      </c>
      <c r="P331" s="19">
        <v>30</v>
      </c>
      <c r="Q331" s="22" t="s">
        <v>761</v>
      </c>
      <c r="R331">
        <v>12</v>
      </c>
      <c r="S331" s="26">
        <f>VLOOKUP($F331,Munition!$B:$P,10,FALSE)</f>
        <v>4.5</v>
      </c>
      <c r="T331" s="26">
        <f>VLOOKUP($F331,Munition!$B:$P,11,FALSE)</f>
        <v>450</v>
      </c>
      <c r="U331" s="28">
        <f t="shared" si="62"/>
        <v>462.01054323615341</v>
      </c>
      <c r="V331" s="26">
        <f>VLOOKUP($F331,Munition!$B:$P,5,FALSE)</f>
        <v>6.75</v>
      </c>
      <c r="W331" s="30">
        <f t="shared" si="64"/>
        <v>720.40637945710876</v>
      </c>
      <c r="X331" s="26">
        <f>VLOOKUP($F331,Munition!$B:$P,15,FALSE)</f>
        <v>106.1032953945969</v>
      </c>
      <c r="Y331" s="26">
        <f>VLOOKUP($F331,Munition!$B:$P,9,FALSE)</f>
        <v>1</v>
      </c>
      <c r="Z331" s="26">
        <f>VLOOKUP($F331,Munition!$B:$P,14,FALSE)</f>
        <v>1.5586226552622361E-5</v>
      </c>
      <c r="AA331" s="30">
        <f t="shared" si="65"/>
        <v>2.2648145447019159</v>
      </c>
      <c r="AB331" s="30">
        <f t="shared" si="66"/>
        <v>2.2131175350889274</v>
      </c>
      <c r="AC331" s="30">
        <f t="shared" si="67"/>
        <v>2.162600569470789</v>
      </c>
      <c r="AD331" s="30">
        <f t="shared" si="68"/>
        <v>1.9718035683338757</v>
      </c>
      <c r="AE331" s="30">
        <f t="shared" si="69"/>
        <v>1.7167009639660926</v>
      </c>
      <c r="AF331" s="32" t="str">
        <f t="shared" si="63"/>
        <v>2D6</v>
      </c>
      <c r="AG331" s="33" t="str">
        <f t="shared" si="70"/>
        <v>-</v>
      </c>
      <c r="AH331" s="33" t="str">
        <f t="shared" si="71"/>
        <v>-</v>
      </c>
      <c r="AI331" s="33" t="str">
        <f t="shared" si="72"/>
        <v>-</v>
      </c>
      <c r="AJ331" s="33" t="str">
        <f t="shared" si="73"/>
        <v>-</v>
      </c>
      <c r="AK331">
        <v>1984</v>
      </c>
    </row>
    <row r="332" spans="1:37">
      <c r="A332" t="s">
        <v>579</v>
      </c>
      <c r="B332" t="s">
        <v>523</v>
      </c>
      <c r="C332" t="s">
        <v>681</v>
      </c>
      <c r="D332" t="s">
        <v>681</v>
      </c>
      <c r="F332" t="s">
        <v>57</v>
      </c>
      <c r="G332" t="s">
        <v>58</v>
      </c>
      <c r="H332">
        <v>4.7</v>
      </c>
      <c r="I332">
        <v>24</v>
      </c>
      <c r="J332" s="9">
        <v>66</v>
      </c>
      <c r="K332" s="9">
        <v>132</v>
      </c>
      <c r="L332" s="9">
        <v>396</v>
      </c>
      <c r="M332" s="10">
        <v>792</v>
      </c>
      <c r="N332" s="10">
        <v>2</v>
      </c>
      <c r="O332" s="10"/>
      <c r="P332" s="18">
        <v>8</v>
      </c>
      <c r="Q332" s="22" t="s">
        <v>701</v>
      </c>
      <c r="R332">
        <v>1</v>
      </c>
      <c r="S332" s="26">
        <f>VLOOKUP($F332,Munition!$B:$P,10,FALSE)</f>
        <v>24</v>
      </c>
      <c r="T332" s="26">
        <f>VLOOKUP($F332,Munition!$B:$P,11,FALSE)</f>
        <v>810</v>
      </c>
      <c r="U332" s="28">
        <f t="shared" si="62"/>
        <v>810</v>
      </c>
      <c r="V332" s="26">
        <f>VLOOKUP($F332,Munition!$B:$P,5,FALSE)</f>
        <v>8</v>
      </c>
      <c r="W332" s="30">
        <f t="shared" si="64"/>
        <v>2624.4</v>
      </c>
      <c r="X332" s="26">
        <f>VLOOKUP($F332,Munition!$B:$P,15,FALSE)</f>
        <v>175.42446590133201</v>
      </c>
      <c r="Y332" s="26">
        <f>VLOOKUP($F332,Munition!$B:$P,9,FALSE)</f>
        <v>1</v>
      </c>
      <c r="Z332" s="26">
        <f>VLOOKUP($F332,Munition!$B:$P,14,FALSE)</f>
        <v>6.9830624463123905E-6</v>
      </c>
      <c r="AA332" s="30">
        <f t="shared" si="65"/>
        <v>11.509599207786392</v>
      </c>
      <c r="AB332" s="30">
        <f t="shared" si="66"/>
        <v>10.257004833310571</v>
      </c>
      <c r="AC332" s="30">
        <f t="shared" si="67"/>
        <v>9.1407308153165818</v>
      </c>
      <c r="AD332" s="30">
        <f t="shared" si="68"/>
        <v>5.7653059278653291</v>
      </c>
      <c r="AE332" s="30">
        <f t="shared" si="69"/>
        <v>2.8879157164215292</v>
      </c>
      <c r="AF332" s="32" t="str">
        <f t="shared" si="63"/>
        <v>4D6</v>
      </c>
      <c r="AG332" s="33" t="str">
        <f t="shared" si="70"/>
        <v>2+1</v>
      </c>
      <c r="AH332" s="33" t="str">
        <f t="shared" si="71"/>
        <v>2+2</v>
      </c>
      <c r="AI332" s="33" t="str">
        <f t="shared" si="72"/>
        <v>3</v>
      </c>
      <c r="AJ332" s="33" t="str">
        <f t="shared" si="73"/>
        <v>-</v>
      </c>
      <c r="AK332">
        <v>1936</v>
      </c>
    </row>
    <row r="333" spans="1:37">
      <c r="A333" t="s">
        <v>572</v>
      </c>
      <c r="B333" t="s">
        <v>524</v>
      </c>
      <c r="C333" t="s">
        <v>681</v>
      </c>
      <c r="D333" t="s">
        <v>681</v>
      </c>
      <c r="F333" t="s">
        <v>51</v>
      </c>
      <c r="G333" t="s">
        <v>52</v>
      </c>
      <c r="H333">
        <v>5.27</v>
      </c>
      <c r="I333">
        <v>22</v>
      </c>
      <c r="J333" s="9">
        <v>91</v>
      </c>
      <c r="K333" s="9">
        <v>182</v>
      </c>
      <c r="L333" s="9">
        <v>546</v>
      </c>
      <c r="M333" s="10">
        <v>1092</v>
      </c>
      <c r="N333" s="10">
        <v>2</v>
      </c>
      <c r="O333" s="10"/>
      <c r="P333" s="18">
        <v>10</v>
      </c>
      <c r="Q333" s="22" t="s">
        <v>704</v>
      </c>
      <c r="R333">
        <v>1</v>
      </c>
      <c r="S333" s="26">
        <f>VLOOKUP($F333,Munition!$B:$P,10,FALSE)</f>
        <v>22</v>
      </c>
      <c r="T333" s="26">
        <f>VLOOKUP($F333,Munition!$B:$P,11,FALSE)</f>
        <v>832</v>
      </c>
      <c r="U333" s="28">
        <f t="shared" si="62"/>
        <v>832</v>
      </c>
      <c r="V333" s="26">
        <f>VLOOKUP($F333,Munition!$B:$P,5,FALSE)</f>
        <v>9.4499999999999993</v>
      </c>
      <c r="W333" s="30">
        <f t="shared" si="64"/>
        <v>3270.7584000000002</v>
      </c>
      <c r="X333" s="26">
        <f>VLOOKUP($F333,Munition!$B:$P,15,FALSE)</f>
        <v>207.22015034594844</v>
      </c>
      <c r="Y333" s="26">
        <f>VLOOKUP($F333,Munition!$B:$P,9,FALSE)</f>
        <v>1</v>
      </c>
      <c r="Z333" s="26">
        <f>VLOOKUP($F333,Munition!$B:$P,14,FALSE)</f>
        <v>6.9830624463123905E-6</v>
      </c>
      <c r="AA333" s="30">
        <f t="shared" si="65"/>
        <v>14.34427613530738</v>
      </c>
      <c r="AB333" s="30">
        <f t="shared" si="66"/>
        <v>12.53923309916398</v>
      </c>
      <c r="AC333" s="30">
        <f t="shared" si="67"/>
        <v>10.961331560548642</v>
      </c>
      <c r="AD333" s="30">
        <f t="shared" si="68"/>
        <v>6.4007765989018353</v>
      </c>
      <c r="AE333" s="30">
        <f t="shared" si="69"/>
        <v>2.8561874215600778</v>
      </c>
      <c r="AF333" s="32" t="str">
        <f t="shared" si="63"/>
        <v>4D6+2</v>
      </c>
      <c r="AG333" s="33" t="str">
        <f t="shared" si="70"/>
        <v>2</v>
      </c>
      <c r="AH333" s="33" t="str">
        <f t="shared" si="71"/>
        <v>2+1</v>
      </c>
      <c r="AI333" s="33" t="str">
        <f t="shared" si="72"/>
        <v>3</v>
      </c>
      <c r="AJ333" s="33" t="str">
        <f t="shared" si="73"/>
        <v>-</v>
      </c>
      <c r="AK333">
        <v>1969</v>
      </c>
    </row>
    <row r="334" spans="1:37">
      <c r="A334" t="s">
        <v>577</v>
      </c>
      <c r="B334" t="s">
        <v>525</v>
      </c>
      <c r="C334" t="s">
        <v>681</v>
      </c>
      <c r="D334" t="s">
        <v>681</v>
      </c>
      <c r="F334" t="s">
        <v>182</v>
      </c>
      <c r="G334" t="s">
        <v>79</v>
      </c>
      <c r="H334">
        <v>2.72</v>
      </c>
      <c r="I334">
        <v>7.7</v>
      </c>
      <c r="J334" s="9">
        <v>15</v>
      </c>
      <c r="K334" s="9">
        <v>30</v>
      </c>
      <c r="L334" s="9">
        <v>90</v>
      </c>
      <c r="M334" s="10">
        <v>180</v>
      </c>
      <c r="N334" s="10">
        <v>1</v>
      </c>
      <c r="O334" s="10">
        <v>3</v>
      </c>
      <c r="P334" s="19">
        <v>34</v>
      </c>
      <c r="Q334" s="22" t="s">
        <v>755</v>
      </c>
      <c r="R334">
        <v>5</v>
      </c>
      <c r="S334" s="26">
        <f>VLOOKUP($F334,Munition!$B:$P,10,FALSE)</f>
        <v>4.5</v>
      </c>
      <c r="T334" s="26">
        <f>VLOOKUP($F334,Munition!$B:$P,11,FALSE)</f>
        <v>450</v>
      </c>
      <c r="U334" s="28">
        <f t="shared" si="62"/>
        <v>514.67380713390298</v>
      </c>
      <c r="V334" s="26">
        <f>VLOOKUP($F334,Munition!$B:$P,5,FALSE)</f>
        <v>6.75</v>
      </c>
      <c r="W334" s="30">
        <f t="shared" si="64"/>
        <v>894.00080615525769</v>
      </c>
      <c r="X334" s="26">
        <f>VLOOKUP($F334,Munition!$B:$P,15,FALSE)</f>
        <v>106.1032953945969</v>
      </c>
      <c r="Y334" s="26">
        <f>VLOOKUP($F334,Munition!$B:$P,9,FALSE)</f>
        <v>1</v>
      </c>
      <c r="Z334" s="26">
        <f>VLOOKUP($F334,Munition!$B:$P,14,FALSE)</f>
        <v>1.5586226552622361E-5</v>
      </c>
      <c r="AA334" s="30">
        <f t="shared" si="65"/>
        <v>2.8105609368444164</v>
      </c>
      <c r="AB334" s="30">
        <f t="shared" si="66"/>
        <v>2.6224577932391719</v>
      </c>
      <c r="AC334" s="30">
        <f t="shared" si="67"/>
        <v>2.4469438777023647</v>
      </c>
      <c r="AD334" s="30">
        <f t="shared" si="68"/>
        <v>1.8547527096420378</v>
      </c>
      <c r="AE334" s="30">
        <f t="shared" si="69"/>
        <v>1.2239932494710091</v>
      </c>
      <c r="AF334" s="32" t="str">
        <f t="shared" si="63"/>
        <v>2D6+1</v>
      </c>
      <c r="AG334" s="33" t="str">
        <f t="shared" si="70"/>
        <v>-</v>
      </c>
      <c r="AH334" s="33" t="str">
        <f t="shared" si="71"/>
        <v>-</v>
      </c>
      <c r="AI334" s="33" t="str">
        <f t="shared" si="72"/>
        <v>-</v>
      </c>
      <c r="AJ334" s="33" t="str">
        <f t="shared" si="73"/>
        <v>-</v>
      </c>
      <c r="AK334">
        <v>1953</v>
      </c>
    </row>
    <row r="335" spans="1:37">
      <c r="A335" t="s">
        <v>577</v>
      </c>
      <c r="B335" t="s">
        <v>526</v>
      </c>
      <c r="C335" t="s">
        <v>681</v>
      </c>
      <c r="D335" t="s">
        <v>681</v>
      </c>
      <c r="F335" t="s">
        <v>182</v>
      </c>
      <c r="G335" t="s">
        <v>79</v>
      </c>
      <c r="H335">
        <v>3.6</v>
      </c>
      <c r="I335">
        <v>7.7</v>
      </c>
      <c r="J335" s="9">
        <v>15</v>
      </c>
      <c r="K335" s="9">
        <v>30</v>
      </c>
      <c r="L335" s="9">
        <v>90</v>
      </c>
      <c r="M335" s="10">
        <v>180</v>
      </c>
      <c r="N335" s="10">
        <v>1</v>
      </c>
      <c r="O335" s="10">
        <v>3</v>
      </c>
      <c r="P335" s="19">
        <v>34</v>
      </c>
      <c r="Q335" s="22" t="s">
        <v>755</v>
      </c>
      <c r="R335">
        <v>5</v>
      </c>
      <c r="S335" s="26">
        <f>VLOOKUP($F335,Munition!$B:$P,10,FALSE)</f>
        <v>4.5</v>
      </c>
      <c r="T335" s="26">
        <f>VLOOKUP($F335,Munition!$B:$P,11,FALSE)</f>
        <v>450</v>
      </c>
      <c r="U335" s="28">
        <f t="shared" si="62"/>
        <v>514.67380713390298</v>
      </c>
      <c r="V335" s="26">
        <f>VLOOKUP($F335,Munition!$B:$P,5,FALSE)</f>
        <v>6.75</v>
      </c>
      <c r="W335" s="30">
        <f t="shared" si="64"/>
        <v>894.00080615525769</v>
      </c>
      <c r="X335" s="26">
        <f>VLOOKUP($F335,Munition!$B:$P,15,FALSE)</f>
        <v>106.1032953945969</v>
      </c>
      <c r="Y335" s="26">
        <f>VLOOKUP($F335,Munition!$B:$P,9,FALSE)</f>
        <v>1</v>
      </c>
      <c r="Z335" s="26">
        <f>VLOOKUP($F335,Munition!$B:$P,14,FALSE)</f>
        <v>1.5586226552622361E-5</v>
      </c>
      <c r="AA335" s="30">
        <f t="shared" si="65"/>
        <v>2.8105609368444164</v>
      </c>
      <c r="AB335" s="30">
        <f t="shared" si="66"/>
        <v>2.6224577932391719</v>
      </c>
      <c r="AC335" s="30">
        <f t="shared" si="67"/>
        <v>2.4469438777023647</v>
      </c>
      <c r="AD335" s="30">
        <f t="shared" si="68"/>
        <v>1.8547527096420378</v>
      </c>
      <c r="AE335" s="30">
        <f t="shared" si="69"/>
        <v>1.2239932494710091</v>
      </c>
      <c r="AF335" s="32" t="str">
        <f t="shared" si="63"/>
        <v>2D6+1</v>
      </c>
      <c r="AG335" s="33" t="str">
        <f t="shared" si="70"/>
        <v>-</v>
      </c>
      <c r="AH335" s="33" t="str">
        <f t="shared" si="71"/>
        <v>-</v>
      </c>
      <c r="AI335" s="33" t="str">
        <f t="shared" si="72"/>
        <v>-</v>
      </c>
      <c r="AJ335" s="33" t="str">
        <f t="shared" si="73"/>
        <v>-</v>
      </c>
      <c r="AK335">
        <v>1967</v>
      </c>
    </row>
    <row r="336" spans="1:37">
      <c r="A336" t="s">
        <v>575</v>
      </c>
      <c r="B336" t="s">
        <v>527</v>
      </c>
      <c r="C336" t="s">
        <v>681</v>
      </c>
      <c r="D336" t="s">
        <v>681</v>
      </c>
      <c r="F336" t="s">
        <v>10</v>
      </c>
      <c r="G336" t="s">
        <v>11</v>
      </c>
      <c r="H336">
        <v>3.266</v>
      </c>
      <c r="I336">
        <v>20</v>
      </c>
      <c r="J336" s="9">
        <v>50</v>
      </c>
      <c r="K336" s="9">
        <v>100</v>
      </c>
      <c r="L336" s="9">
        <v>300</v>
      </c>
      <c r="M336" s="10">
        <v>600</v>
      </c>
      <c r="N336" s="10">
        <v>2</v>
      </c>
      <c r="O336" s="10">
        <v>5</v>
      </c>
      <c r="P336" s="19">
        <v>30</v>
      </c>
      <c r="Q336" s="22" t="s">
        <v>755</v>
      </c>
      <c r="R336">
        <v>5</v>
      </c>
      <c r="S336" s="26">
        <f>VLOOKUP($F336,Munition!$B:$P,10,FALSE)</f>
        <v>20</v>
      </c>
      <c r="T336" s="26">
        <f>VLOOKUP($F336,Munition!$B:$P,11,FALSE)</f>
        <v>878</v>
      </c>
      <c r="U336" s="28">
        <f t="shared" si="62"/>
        <v>878</v>
      </c>
      <c r="V336" s="26">
        <f>VLOOKUP($F336,Munition!$B:$P,5,FALSE)</f>
        <v>3.56</v>
      </c>
      <c r="W336" s="30">
        <f t="shared" si="64"/>
        <v>1372.1735200000001</v>
      </c>
      <c r="X336" s="26">
        <f>VLOOKUP($F336,Munition!$B:$P,15,FALSE)</f>
        <v>146.62584685242678</v>
      </c>
      <c r="Y336" s="26">
        <f>VLOOKUP($F336,Munition!$B:$P,9,FALSE)</f>
        <v>1</v>
      </c>
      <c r="Z336" s="26">
        <f>VLOOKUP($F336,Munition!$B:$P,14,FALSE)</f>
        <v>3.7177960891755132E-6</v>
      </c>
      <c r="AA336" s="30">
        <f t="shared" si="65"/>
        <v>11.303151932498615</v>
      </c>
      <c r="AB336" s="30">
        <f t="shared" si="66"/>
        <v>10.182281933385839</v>
      </c>
      <c r="AC336" s="30">
        <f t="shared" si="67"/>
        <v>9.1725623074091445</v>
      </c>
      <c r="AD336" s="30">
        <f t="shared" si="68"/>
        <v>6.0404998939032204</v>
      </c>
      <c r="AE336" s="30">
        <f t="shared" si="69"/>
        <v>3.2280941799372109</v>
      </c>
      <c r="AF336" s="32" t="str">
        <f t="shared" si="63"/>
        <v>3D6</v>
      </c>
      <c r="AG336" s="33" t="str">
        <f t="shared" si="70"/>
        <v>1+2</v>
      </c>
      <c r="AH336" s="33" t="str">
        <f t="shared" si="71"/>
        <v>2</v>
      </c>
      <c r="AI336" s="33" t="str">
        <f t="shared" si="72"/>
        <v>2+1</v>
      </c>
      <c r="AJ336" s="33" t="str">
        <f t="shared" si="73"/>
        <v>-</v>
      </c>
      <c r="AK336">
        <v>1978</v>
      </c>
    </row>
    <row r="337" spans="1:37">
      <c r="A337" t="s">
        <v>574</v>
      </c>
      <c r="B337" t="s">
        <v>528</v>
      </c>
      <c r="C337" t="s">
        <v>681</v>
      </c>
      <c r="D337" t="s">
        <v>681</v>
      </c>
      <c r="F337" t="s">
        <v>10</v>
      </c>
      <c r="G337" t="s">
        <v>11</v>
      </c>
      <c r="H337">
        <v>5.4429999999999996</v>
      </c>
      <c r="I337">
        <v>24</v>
      </c>
      <c r="J337" s="9">
        <v>50</v>
      </c>
      <c r="K337" s="9">
        <v>100</v>
      </c>
      <c r="L337" s="9">
        <v>300</v>
      </c>
      <c r="M337" s="10">
        <v>600</v>
      </c>
      <c r="N337" s="10">
        <v>1</v>
      </c>
      <c r="O337" s="10">
        <v>3</v>
      </c>
      <c r="P337" s="19">
        <v>50</v>
      </c>
      <c r="Q337" s="22" t="s">
        <v>755</v>
      </c>
      <c r="R337">
        <v>5</v>
      </c>
      <c r="S337" s="26">
        <f>VLOOKUP($F337,Munition!$B:$P,10,FALSE)</f>
        <v>20</v>
      </c>
      <c r="T337" s="26">
        <f>VLOOKUP($F337,Munition!$B:$P,11,FALSE)</f>
        <v>878</v>
      </c>
      <c r="U337" s="28">
        <f t="shared" si="62"/>
        <v>918.94565238626876</v>
      </c>
      <c r="V337" s="26">
        <f>VLOOKUP($F337,Munition!$B:$P,5,FALSE)</f>
        <v>3.56</v>
      </c>
      <c r="W337" s="30">
        <f t="shared" si="64"/>
        <v>1503.1407794305328</v>
      </c>
      <c r="X337" s="26">
        <f>VLOOKUP($F337,Munition!$B:$P,15,FALSE)</f>
        <v>146.62584685242678</v>
      </c>
      <c r="Y337" s="26">
        <f>VLOOKUP($F337,Munition!$B:$P,9,FALSE)</f>
        <v>1</v>
      </c>
      <c r="Z337" s="26">
        <f>VLOOKUP($F337,Munition!$B:$P,14,FALSE)</f>
        <v>3.7177960891755132E-6</v>
      </c>
      <c r="AA337" s="30">
        <f t="shared" si="65"/>
        <v>12.381982568675207</v>
      </c>
      <c r="AB337" s="30">
        <f t="shared" si="66"/>
        <v>11.15413100358548</v>
      </c>
      <c r="AC337" s="30">
        <f t="shared" si="67"/>
        <v>10.048038571779252</v>
      </c>
      <c r="AD337" s="30">
        <f t="shared" si="68"/>
        <v>6.6170361009967138</v>
      </c>
      <c r="AE337" s="30">
        <f t="shared" si="69"/>
        <v>3.5362000002055027</v>
      </c>
      <c r="AF337" s="32" t="str">
        <f t="shared" si="63"/>
        <v>3D6</v>
      </c>
      <c r="AG337" s="33" t="str">
        <f t="shared" si="70"/>
        <v>1+2</v>
      </c>
      <c r="AH337" s="33" t="str">
        <f t="shared" si="71"/>
        <v>2</v>
      </c>
      <c r="AI337" s="33" t="str">
        <f t="shared" si="72"/>
        <v>2</v>
      </c>
      <c r="AJ337" s="33" t="str">
        <f t="shared" si="73"/>
        <v>-</v>
      </c>
      <c r="AK337">
        <v>1978</v>
      </c>
    </row>
    <row r="338" spans="1:37">
      <c r="A338" t="s">
        <v>574</v>
      </c>
      <c r="B338" t="s">
        <v>529</v>
      </c>
      <c r="C338" t="s">
        <v>681</v>
      </c>
      <c r="D338" t="s">
        <v>681</v>
      </c>
      <c r="F338" t="s">
        <v>10</v>
      </c>
      <c r="G338" t="s">
        <v>11</v>
      </c>
      <c r="H338">
        <v>4.03</v>
      </c>
      <c r="I338">
        <v>24</v>
      </c>
      <c r="J338" s="9">
        <v>25</v>
      </c>
      <c r="K338" s="9">
        <v>50</v>
      </c>
      <c r="L338" s="9">
        <v>150</v>
      </c>
      <c r="M338" s="10">
        <v>300</v>
      </c>
      <c r="N338" s="10">
        <v>2</v>
      </c>
      <c r="O338" s="10">
        <v>10</v>
      </c>
      <c r="P338" s="19">
        <v>30</v>
      </c>
      <c r="Q338" s="22" t="s">
        <v>852</v>
      </c>
      <c r="R338">
        <v>10</v>
      </c>
      <c r="S338" s="26">
        <f>VLOOKUP($F338,Munition!$B:$P,10,FALSE)</f>
        <v>20</v>
      </c>
      <c r="T338" s="26">
        <f>VLOOKUP($F338,Munition!$B:$P,11,FALSE)</f>
        <v>878</v>
      </c>
      <c r="U338" s="28">
        <f t="shared" si="62"/>
        <v>918.94565238626876</v>
      </c>
      <c r="V338" s="26">
        <f>VLOOKUP($F338,Munition!$B:$P,5,FALSE)</f>
        <v>3.56</v>
      </c>
      <c r="W338" s="30">
        <f t="shared" si="64"/>
        <v>1503.1407794305328</v>
      </c>
      <c r="X338" s="26">
        <f>VLOOKUP($F338,Munition!$B:$P,15,FALSE)</f>
        <v>146.62584685242678</v>
      </c>
      <c r="Y338" s="26">
        <f>VLOOKUP($F338,Munition!$B:$P,9,FALSE)</f>
        <v>1</v>
      </c>
      <c r="Z338" s="26">
        <f>VLOOKUP($F338,Munition!$B:$P,14,FALSE)</f>
        <v>3.7177960891755132E-6</v>
      </c>
      <c r="AA338" s="30">
        <f t="shared" si="65"/>
        <v>12.381982568675207</v>
      </c>
      <c r="AB338" s="30">
        <f t="shared" si="66"/>
        <v>11.752031979837152</v>
      </c>
      <c r="AC338" s="30">
        <f t="shared" si="67"/>
        <v>11.15413100358548</v>
      </c>
      <c r="AD338" s="30">
        <f t="shared" si="68"/>
        <v>9.0516311048802613</v>
      </c>
      <c r="AE338" s="30">
        <f t="shared" si="69"/>
        <v>6.6170361009967138</v>
      </c>
      <c r="AF338" s="32" t="str">
        <f t="shared" si="63"/>
        <v>3D6</v>
      </c>
      <c r="AG338" s="33" t="str">
        <f t="shared" si="70"/>
        <v>1+2</v>
      </c>
      <c r="AH338" s="33" t="str">
        <f t="shared" si="71"/>
        <v>1+2</v>
      </c>
      <c r="AI338" s="33" t="str">
        <f t="shared" si="72"/>
        <v>2</v>
      </c>
      <c r="AJ338" s="33" t="str">
        <f t="shared" si="73"/>
        <v>2+1</v>
      </c>
      <c r="AK338">
        <v>1978</v>
      </c>
    </row>
    <row r="339" spans="1:37">
      <c r="A339" t="s">
        <v>575</v>
      </c>
      <c r="B339" t="s">
        <v>530</v>
      </c>
      <c r="C339" t="s">
        <v>681</v>
      </c>
      <c r="D339" t="s">
        <v>681</v>
      </c>
      <c r="F339" t="s">
        <v>182</v>
      </c>
      <c r="G339" t="s">
        <v>79</v>
      </c>
      <c r="H339">
        <v>3.3</v>
      </c>
      <c r="I339">
        <v>16</v>
      </c>
      <c r="J339" s="9">
        <v>16</v>
      </c>
      <c r="K339" s="9">
        <v>32</v>
      </c>
      <c r="L339" s="9">
        <v>96</v>
      </c>
      <c r="M339" s="10">
        <v>192</v>
      </c>
      <c r="N339" s="10">
        <v>1</v>
      </c>
      <c r="O339" s="10">
        <v>3</v>
      </c>
      <c r="P339" s="19">
        <v>30</v>
      </c>
      <c r="Q339" s="22" t="s">
        <v>734</v>
      </c>
      <c r="R339">
        <v>5</v>
      </c>
      <c r="S339" s="26">
        <f>VLOOKUP($F339,Munition!$B:$P,10,FALSE)</f>
        <v>4.5</v>
      </c>
      <c r="T339" s="26">
        <f>VLOOKUP($F339,Munition!$B:$P,11,FALSE)</f>
        <v>450</v>
      </c>
      <c r="U339" s="28">
        <f t="shared" si="62"/>
        <v>617.93014317213533</v>
      </c>
      <c r="V339" s="26">
        <f>VLOOKUP($F339,Munition!$B:$P,5,FALSE)</f>
        <v>6.75</v>
      </c>
      <c r="W339" s="30">
        <f t="shared" si="64"/>
        <v>1288.7021087124829</v>
      </c>
      <c r="X339" s="26">
        <f>VLOOKUP($F339,Munition!$B:$P,15,FALSE)</f>
        <v>106.1032953945969</v>
      </c>
      <c r="Y339" s="26">
        <f>VLOOKUP($F339,Munition!$B:$P,9,FALSE)</f>
        <v>1</v>
      </c>
      <c r="Z339" s="26">
        <f>VLOOKUP($F339,Munition!$B:$P,14,FALSE)</f>
        <v>1.5586226552622361E-5</v>
      </c>
      <c r="AA339" s="30">
        <f t="shared" si="65"/>
        <v>4.0514234227069768</v>
      </c>
      <c r="AB339" s="30">
        <f t="shared" si="66"/>
        <v>3.7628551684659657</v>
      </c>
      <c r="AC339" s="30">
        <f t="shared" si="67"/>
        <v>3.4948405884938532</v>
      </c>
      <c r="AD339" s="30">
        <f t="shared" si="68"/>
        <v>2.600559792062652</v>
      </c>
      <c r="AE339" s="30">
        <f t="shared" si="69"/>
        <v>1.6692679402969615</v>
      </c>
      <c r="AF339" s="32" t="str">
        <f t="shared" si="63"/>
        <v>2D6+2</v>
      </c>
      <c r="AG339" s="33" t="str">
        <f t="shared" si="70"/>
        <v>-</v>
      </c>
      <c r="AH339" s="33" t="str">
        <f t="shared" si="71"/>
        <v>-</v>
      </c>
      <c r="AI339" s="33" t="str">
        <f t="shared" si="72"/>
        <v>-</v>
      </c>
      <c r="AJ339" s="33" t="str">
        <f t="shared" si="73"/>
        <v>-</v>
      </c>
      <c r="AK339">
        <v>1978</v>
      </c>
    </row>
    <row r="340" spans="1:37">
      <c r="A340" t="s">
        <v>571</v>
      </c>
      <c r="B340" t="s">
        <v>531</v>
      </c>
      <c r="C340" t="s">
        <v>681</v>
      </c>
      <c r="D340" t="s">
        <v>681</v>
      </c>
      <c r="F340" t="s">
        <v>182</v>
      </c>
      <c r="G340" t="s">
        <v>79</v>
      </c>
      <c r="I340">
        <v>5.35</v>
      </c>
      <c r="J340" s="9">
        <v>5</v>
      </c>
      <c r="K340" s="9">
        <v>10</v>
      </c>
      <c r="L340" s="9">
        <v>30</v>
      </c>
      <c r="M340" s="10">
        <v>60</v>
      </c>
      <c r="N340" s="10">
        <v>14</v>
      </c>
      <c r="O340" s="10"/>
      <c r="P340" s="18">
        <v>18</v>
      </c>
      <c r="Q340" s="22" t="s">
        <v>701</v>
      </c>
      <c r="R340">
        <v>1</v>
      </c>
      <c r="S340" s="26">
        <f>VLOOKUP($F340,Munition!$B:$P,10,FALSE)</f>
        <v>4.5</v>
      </c>
      <c r="T340" s="26">
        <f>VLOOKUP($F340,Munition!$B:$P,11,FALSE)</f>
        <v>450</v>
      </c>
      <c r="U340" s="28">
        <f t="shared" si="62"/>
        <v>469.89176163904773</v>
      </c>
      <c r="V340" s="26">
        <f>VLOOKUP($F340,Munition!$B:$P,5,FALSE)</f>
        <v>6.75</v>
      </c>
      <c r="W340" s="30">
        <f t="shared" si="64"/>
        <v>745.19415333983579</v>
      </c>
      <c r="X340" s="26">
        <f>VLOOKUP($F340,Munition!$B:$P,15,FALSE)</f>
        <v>106.1032953945969</v>
      </c>
      <c r="Y340" s="26">
        <f>VLOOKUP($F340,Munition!$B:$P,9,FALSE)</f>
        <v>1</v>
      </c>
      <c r="Z340" s="26">
        <f>VLOOKUP($F340,Munition!$B:$P,14,FALSE)</f>
        <v>1.5586226552622361E-5</v>
      </c>
      <c r="AA340" s="30">
        <f t="shared" si="65"/>
        <v>2.3427423815746113</v>
      </c>
      <c r="AB340" s="30">
        <f t="shared" si="66"/>
        <v>2.2892665790174713</v>
      </c>
      <c r="AC340" s="30">
        <f t="shared" si="67"/>
        <v>2.2370114234600269</v>
      </c>
      <c r="AD340" s="30">
        <f t="shared" si="68"/>
        <v>2.0396494708505184</v>
      </c>
      <c r="AE340" s="30">
        <f t="shared" si="69"/>
        <v>1.7757692850310982</v>
      </c>
      <c r="AF340" s="32" t="str">
        <f t="shared" si="63"/>
        <v>2D6</v>
      </c>
      <c r="AG340" s="33" t="str">
        <f t="shared" si="70"/>
        <v>-</v>
      </c>
      <c r="AH340" s="33" t="str">
        <f t="shared" si="71"/>
        <v>-</v>
      </c>
      <c r="AI340" s="33" t="str">
        <f t="shared" si="72"/>
        <v>-</v>
      </c>
      <c r="AJ340" s="33" t="str">
        <f t="shared" si="73"/>
        <v>-</v>
      </c>
      <c r="AK340">
        <v>1981</v>
      </c>
    </row>
    <row r="341" spans="1:37">
      <c r="A341" t="s">
        <v>577</v>
      </c>
      <c r="B341" t="s">
        <v>532</v>
      </c>
      <c r="C341" t="s">
        <v>681</v>
      </c>
      <c r="D341" t="s">
        <v>681</v>
      </c>
      <c r="E341" t="s">
        <v>789</v>
      </c>
      <c r="F341" t="s">
        <v>182</v>
      </c>
      <c r="G341" t="s">
        <v>79</v>
      </c>
      <c r="H341">
        <v>4.03</v>
      </c>
      <c r="I341">
        <v>9.9</v>
      </c>
      <c r="J341" s="9">
        <v>15</v>
      </c>
      <c r="K341" s="9">
        <v>30</v>
      </c>
      <c r="L341" s="9">
        <v>90</v>
      </c>
      <c r="M341" s="10">
        <v>180</v>
      </c>
      <c r="N341" s="10">
        <v>1</v>
      </c>
      <c r="O341" s="10">
        <v>5</v>
      </c>
      <c r="P341" s="19">
        <v>32</v>
      </c>
      <c r="Q341" s="22" t="s">
        <v>695</v>
      </c>
      <c r="R341">
        <v>10</v>
      </c>
      <c r="S341" s="26">
        <f>VLOOKUP($F341,Munition!$B:$P,10,FALSE)</f>
        <v>4.5</v>
      </c>
      <c r="T341" s="26">
        <f>VLOOKUP($F341,Munition!$B:$P,11,FALSE)</f>
        <v>450</v>
      </c>
      <c r="U341" s="28">
        <f t="shared" si="62"/>
        <v>548.04747853390802</v>
      </c>
      <c r="V341" s="26">
        <f>VLOOKUP($F341,Munition!$B:$P,5,FALSE)</f>
        <v>6.75</v>
      </c>
      <c r="W341" s="30">
        <f t="shared" si="64"/>
        <v>1013.7016307048885</v>
      </c>
      <c r="X341" s="26">
        <f>VLOOKUP($F341,Munition!$B:$P,15,FALSE)</f>
        <v>106.1032953945969</v>
      </c>
      <c r="Y341" s="26">
        <f>VLOOKUP($F341,Munition!$B:$P,9,FALSE)</f>
        <v>1</v>
      </c>
      <c r="Z341" s="26">
        <f>VLOOKUP($F341,Munition!$B:$P,14,FALSE)</f>
        <v>1.5586226552622361E-5</v>
      </c>
      <c r="AA341" s="30">
        <f t="shared" si="65"/>
        <v>3.1868765500641589</v>
      </c>
      <c r="AB341" s="30">
        <f t="shared" si="66"/>
        <v>2.9735876334317526</v>
      </c>
      <c r="AC341" s="30">
        <f t="shared" si="67"/>
        <v>2.7745735596567864</v>
      </c>
      <c r="AD341" s="30">
        <f t="shared" si="68"/>
        <v>2.1030918913868661</v>
      </c>
      <c r="AE341" s="30">
        <f t="shared" si="69"/>
        <v>1.3878778905094842</v>
      </c>
      <c r="AF341" s="32" t="str">
        <f t="shared" si="63"/>
        <v>2D6+1</v>
      </c>
      <c r="AG341" s="33" t="str">
        <f t="shared" si="70"/>
        <v>-</v>
      </c>
      <c r="AH341" s="33" t="str">
        <f t="shared" si="71"/>
        <v>-</v>
      </c>
      <c r="AI341" s="33" t="str">
        <f t="shared" si="72"/>
        <v>-</v>
      </c>
      <c r="AJ341" s="33" t="str">
        <f t="shared" si="73"/>
        <v>-</v>
      </c>
      <c r="AK341">
        <v>1940</v>
      </c>
    </row>
    <row r="342" spans="1:37">
      <c r="A342" t="s">
        <v>577</v>
      </c>
      <c r="B342" t="s">
        <v>533</v>
      </c>
      <c r="C342" t="s">
        <v>681</v>
      </c>
      <c r="D342" t="s">
        <v>681</v>
      </c>
      <c r="F342" t="s">
        <v>182</v>
      </c>
      <c r="G342" t="s">
        <v>79</v>
      </c>
      <c r="H342">
        <v>3.13</v>
      </c>
      <c r="I342">
        <v>10.199999999999999</v>
      </c>
      <c r="J342" s="9">
        <v>15</v>
      </c>
      <c r="K342" s="9">
        <v>30</v>
      </c>
      <c r="L342" s="9">
        <v>90</v>
      </c>
      <c r="M342" s="10">
        <v>180</v>
      </c>
      <c r="N342" s="10">
        <v>1</v>
      </c>
      <c r="O342" s="10">
        <v>3</v>
      </c>
      <c r="P342" s="19">
        <v>32</v>
      </c>
      <c r="Q342" s="22" t="s">
        <v>720</v>
      </c>
      <c r="R342">
        <v>9</v>
      </c>
      <c r="S342" s="26">
        <f>VLOOKUP($F342,Munition!$B:$P,10,FALSE)</f>
        <v>4.5</v>
      </c>
      <c r="T342" s="26">
        <f>VLOOKUP($F342,Munition!$B:$P,11,FALSE)</f>
        <v>450</v>
      </c>
      <c r="U342" s="28">
        <f t="shared" si="62"/>
        <v>552.15298998300977</v>
      </c>
      <c r="V342" s="26">
        <f>VLOOKUP($F342,Munition!$B:$P,5,FALSE)</f>
        <v>6.75</v>
      </c>
      <c r="W342" s="30">
        <f t="shared" si="64"/>
        <v>1028.9461196717245</v>
      </c>
      <c r="X342" s="26">
        <f>VLOOKUP($F342,Munition!$B:$P,15,FALSE)</f>
        <v>106.1032953945969</v>
      </c>
      <c r="Y342" s="26">
        <f>VLOOKUP($F342,Munition!$B:$P,9,FALSE)</f>
        <v>1</v>
      </c>
      <c r="Z342" s="26">
        <f>VLOOKUP($F342,Munition!$B:$P,14,FALSE)</f>
        <v>1.5586226552622361E-5</v>
      </c>
      <c r="AA342" s="30">
        <f t="shared" si="65"/>
        <v>3.234802194982318</v>
      </c>
      <c r="AB342" s="30">
        <f t="shared" si="66"/>
        <v>3.0183057462340859</v>
      </c>
      <c r="AC342" s="30">
        <f t="shared" si="67"/>
        <v>2.8162988116803538</v>
      </c>
      <c r="AD342" s="30">
        <f t="shared" si="68"/>
        <v>2.1347191080780301</v>
      </c>
      <c r="AE342" s="30">
        <f t="shared" si="69"/>
        <v>1.408749405902505</v>
      </c>
      <c r="AF342" s="32" t="str">
        <f t="shared" si="63"/>
        <v>2D6+2</v>
      </c>
      <c r="AG342" s="33" t="str">
        <f t="shared" si="70"/>
        <v>-</v>
      </c>
      <c r="AH342" s="33" t="str">
        <f t="shared" si="71"/>
        <v>-</v>
      </c>
      <c r="AI342" s="33" t="str">
        <f t="shared" si="72"/>
        <v>-</v>
      </c>
      <c r="AJ342" s="33" t="str">
        <f t="shared" si="73"/>
        <v>-</v>
      </c>
      <c r="AK342">
        <v>1969</v>
      </c>
    </row>
    <row r="343" spans="1:37">
      <c r="A343" t="s">
        <v>572</v>
      </c>
      <c r="B343" t="s">
        <v>534</v>
      </c>
      <c r="C343" t="s">
        <v>681</v>
      </c>
      <c r="D343" t="s">
        <v>681</v>
      </c>
      <c r="F343" t="s">
        <v>51</v>
      </c>
      <c r="G343" t="s">
        <v>52</v>
      </c>
      <c r="H343">
        <v>4</v>
      </c>
      <c r="I343">
        <v>25.6</v>
      </c>
      <c r="J343" s="9">
        <v>133</v>
      </c>
      <c r="K343" s="9">
        <v>266</v>
      </c>
      <c r="L343" s="9">
        <v>798</v>
      </c>
      <c r="M343" s="10">
        <v>1596</v>
      </c>
      <c r="N343" s="10">
        <v>2</v>
      </c>
      <c r="O343" s="10"/>
      <c r="P343" s="18">
        <v>5</v>
      </c>
      <c r="Q343" s="22" t="s">
        <v>712</v>
      </c>
      <c r="R343">
        <v>1</v>
      </c>
      <c r="S343" s="26">
        <f>VLOOKUP($F343,Munition!$B:$P,10,FALSE)</f>
        <v>22</v>
      </c>
      <c r="T343" s="26">
        <f>VLOOKUP($F343,Munition!$B:$P,11,FALSE)</f>
        <v>832</v>
      </c>
      <c r="U343" s="28">
        <f t="shared" si="62"/>
        <v>864.12714397246464</v>
      </c>
      <c r="V343" s="26">
        <f>VLOOKUP($F343,Munition!$B:$P,5,FALSE)</f>
        <v>9.4499999999999993</v>
      </c>
      <c r="W343" s="30">
        <f t="shared" si="64"/>
        <v>3528.2317814887906</v>
      </c>
      <c r="X343" s="26">
        <f>VLOOKUP($F343,Munition!$B:$P,15,FALSE)</f>
        <v>207.22015034594844</v>
      </c>
      <c r="Y343" s="26">
        <f>VLOOKUP($F343,Munition!$B:$P,9,FALSE)</f>
        <v>1</v>
      </c>
      <c r="Z343" s="26">
        <f>VLOOKUP($F343,Munition!$B:$P,14,FALSE)</f>
        <v>6.9830624463123905E-6</v>
      </c>
      <c r="AA343" s="30">
        <f t="shared" si="65"/>
        <v>15.473454396094406</v>
      </c>
      <c r="AB343" s="30">
        <f t="shared" si="66"/>
        <v>12.712244461837955</v>
      </c>
      <c r="AC343" s="30">
        <f t="shared" si="67"/>
        <v>10.443767443313682</v>
      </c>
      <c r="AD343" s="30">
        <f t="shared" si="68"/>
        <v>4.7576996209013096</v>
      </c>
      <c r="AE343" s="30">
        <f t="shared" si="69"/>
        <v>1.4628734543230277</v>
      </c>
      <c r="AF343" s="32" t="str">
        <f t="shared" si="63"/>
        <v>4D6+2</v>
      </c>
      <c r="AG343" s="33" t="str">
        <f t="shared" si="70"/>
        <v>2</v>
      </c>
      <c r="AH343" s="33" t="str">
        <f t="shared" si="71"/>
        <v>2+2</v>
      </c>
      <c r="AI343" s="33" t="str">
        <f t="shared" si="72"/>
        <v>3</v>
      </c>
      <c r="AJ343" s="33" t="str">
        <f t="shared" si="73"/>
        <v>-</v>
      </c>
      <c r="AK343">
        <v>1969</v>
      </c>
    </row>
    <row r="344" spans="1:37">
      <c r="A344" t="s">
        <v>575</v>
      </c>
      <c r="B344" t="s">
        <v>535</v>
      </c>
      <c r="C344" t="s">
        <v>681</v>
      </c>
      <c r="D344" t="s">
        <v>681</v>
      </c>
      <c r="F344" t="s">
        <v>10</v>
      </c>
      <c r="G344" t="s">
        <v>11</v>
      </c>
      <c r="H344">
        <v>4.0999999999999996</v>
      </c>
      <c r="I344">
        <v>20.8</v>
      </c>
      <c r="J344" s="9">
        <v>66</v>
      </c>
      <c r="K344" s="9">
        <v>132</v>
      </c>
      <c r="L344" s="9">
        <v>396</v>
      </c>
      <c r="M344" s="10">
        <v>792</v>
      </c>
      <c r="N344" s="10">
        <v>1</v>
      </c>
      <c r="O344" s="10">
        <v>2</v>
      </c>
      <c r="P344" s="19">
        <v>30</v>
      </c>
      <c r="Q344" s="22" t="s">
        <v>726</v>
      </c>
      <c r="R344">
        <v>3</v>
      </c>
      <c r="S344" s="26">
        <f>VLOOKUP($F344,Munition!$B:$P,10,FALSE)</f>
        <v>20</v>
      </c>
      <c r="T344" s="26">
        <f>VLOOKUP($F344,Munition!$B:$P,11,FALSE)</f>
        <v>878</v>
      </c>
      <c r="U344" s="28">
        <f t="shared" si="62"/>
        <v>886.65129094999463</v>
      </c>
      <c r="V344" s="26">
        <f>VLOOKUP($F344,Munition!$B:$P,5,FALSE)</f>
        <v>3.56</v>
      </c>
      <c r="W344" s="30">
        <f t="shared" si="64"/>
        <v>1399.3479109030598</v>
      </c>
      <c r="X344" s="26">
        <f>VLOOKUP($F344,Munition!$B:$P,15,FALSE)</f>
        <v>146.62584685242678</v>
      </c>
      <c r="Y344" s="26">
        <f>VLOOKUP($F344,Munition!$B:$P,9,FALSE)</f>
        <v>1</v>
      </c>
      <c r="Z344" s="26">
        <f>VLOOKUP($F344,Munition!$B:$P,14,FALSE)</f>
        <v>3.7177960891755132E-6</v>
      </c>
      <c r="AA344" s="30">
        <f t="shared" si="65"/>
        <v>11.526998453782886</v>
      </c>
      <c r="AB344" s="30">
        <f t="shared" si="66"/>
        <v>10.04265085957797</v>
      </c>
      <c r="AC344" s="30">
        <f t="shared" si="67"/>
        <v>8.7494447658474357</v>
      </c>
      <c r="AD344" s="30">
        <f t="shared" si="68"/>
        <v>5.0409107902754284</v>
      </c>
      <c r="AE344" s="30">
        <f t="shared" si="69"/>
        <v>2.2044577950972171</v>
      </c>
      <c r="AF344" s="32" t="str">
        <f t="shared" si="63"/>
        <v>3D6</v>
      </c>
      <c r="AG344" s="33" t="str">
        <f t="shared" si="70"/>
        <v>1+2</v>
      </c>
      <c r="AH344" s="33" t="str">
        <f t="shared" si="71"/>
        <v>2</v>
      </c>
      <c r="AI344" s="33" t="str">
        <f t="shared" si="72"/>
        <v>2+1</v>
      </c>
      <c r="AJ344" s="33" t="str">
        <f t="shared" si="73"/>
        <v>-</v>
      </c>
      <c r="AK344">
        <v>1986</v>
      </c>
    </row>
    <row r="345" spans="1:37">
      <c r="A345" t="s">
        <v>575</v>
      </c>
      <c r="B345" t="s">
        <v>536</v>
      </c>
      <c r="C345" t="s">
        <v>681</v>
      </c>
      <c r="D345" t="s">
        <v>681</v>
      </c>
      <c r="F345" t="s">
        <v>10</v>
      </c>
      <c r="G345" t="s">
        <v>11</v>
      </c>
      <c r="H345">
        <v>3.3</v>
      </c>
      <c r="I345">
        <v>14.3</v>
      </c>
      <c r="J345" s="9">
        <v>50</v>
      </c>
      <c r="K345" s="9">
        <v>100</v>
      </c>
      <c r="L345" s="9">
        <v>300</v>
      </c>
      <c r="M345" s="10">
        <v>600</v>
      </c>
      <c r="N345" s="10">
        <v>2</v>
      </c>
      <c r="O345" s="10">
        <v>3</v>
      </c>
      <c r="P345" s="19">
        <v>30</v>
      </c>
      <c r="Q345" s="22" t="s">
        <v>726</v>
      </c>
      <c r="R345">
        <v>3</v>
      </c>
      <c r="S345" s="26">
        <f>VLOOKUP($F345,Munition!$B:$P,10,FALSE)</f>
        <v>20</v>
      </c>
      <c r="T345" s="26">
        <f>VLOOKUP($F345,Munition!$B:$P,11,FALSE)</f>
        <v>878</v>
      </c>
      <c r="U345" s="28">
        <f t="shared" si="62"/>
        <v>807.36705967583089</v>
      </c>
      <c r="V345" s="26">
        <f>VLOOKUP($F345,Munition!$B:$P,5,FALSE)</f>
        <v>3.56</v>
      </c>
      <c r="W345" s="30">
        <f t="shared" si="64"/>
        <v>1160.2779929082822</v>
      </c>
      <c r="X345" s="26">
        <f>VLOOKUP($F345,Munition!$B:$P,15,FALSE)</f>
        <v>146.62584685242678</v>
      </c>
      <c r="Y345" s="26">
        <f>VLOOKUP($F345,Munition!$B:$P,9,FALSE)</f>
        <v>1</v>
      </c>
      <c r="Z345" s="26">
        <f>VLOOKUP($F345,Munition!$B:$P,14,FALSE)</f>
        <v>3.7177960891755132E-6</v>
      </c>
      <c r="AA345" s="30">
        <f t="shared" si="65"/>
        <v>9.5576822075511725</v>
      </c>
      <c r="AB345" s="30">
        <f t="shared" si="66"/>
        <v>8.6099006231334236</v>
      </c>
      <c r="AC345" s="30">
        <f t="shared" si="67"/>
        <v>7.7561052073551489</v>
      </c>
      <c r="AD345" s="30">
        <f t="shared" si="68"/>
        <v>5.1077061252870699</v>
      </c>
      <c r="AE345" s="30">
        <f t="shared" si="69"/>
        <v>2.7296013087444315</v>
      </c>
      <c r="AF345" s="32" t="str">
        <f t="shared" si="63"/>
        <v>2D6+2</v>
      </c>
      <c r="AG345" s="33" t="str">
        <f t="shared" si="70"/>
        <v>2</v>
      </c>
      <c r="AH345" s="33" t="str">
        <f t="shared" si="71"/>
        <v>2</v>
      </c>
      <c r="AI345" s="33" t="str">
        <f t="shared" si="72"/>
        <v>2+1</v>
      </c>
      <c r="AJ345" s="33" t="str">
        <f t="shared" si="73"/>
        <v>-</v>
      </c>
      <c r="AK345">
        <v>1986</v>
      </c>
    </row>
    <row r="346" spans="1:37">
      <c r="A346" t="s">
        <v>575</v>
      </c>
      <c r="B346" t="s">
        <v>537</v>
      </c>
      <c r="C346" t="s">
        <v>681</v>
      </c>
      <c r="D346" t="s">
        <v>681</v>
      </c>
      <c r="F346" t="s">
        <v>10</v>
      </c>
      <c r="G346" t="s">
        <v>11</v>
      </c>
      <c r="H346">
        <v>3</v>
      </c>
      <c r="I346">
        <v>8.9</v>
      </c>
      <c r="J346" s="9">
        <v>41</v>
      </c>
      <c r="K346" s="9">
        <v>82</v>
      </c>
      <c r="L346" s="9">
        <v>246</v>
      </c>
      <c r="M346" s="10">
        <v>492</v>
      </c>
      <c r="N346" s="10">
        <v>2</v>
      </c>
      <c r="O346" s="10">
        <v>3</v>
      </c>
      <c r="P346" s="19">
        <v>30</v>
      </c>
      <c r="Q346" s="22" t="s">
        <v>726</v>
      </c>
      <c r="R346">
        <v>3</v>
      </c>
      <c r="S346" s="26">
        <f>VLOOKUP($F346,Munition!$B:$P,10,FALSE)</f>
        <v>20</v>
      </c>
      <c r="T346" s="26">
        <f>VLOOKUP($F346,Munition!$B:$P,11,FALSE)</f>
        <v>878</v>
      </c>
      <c r="U346" s="28">
        <f t="shared" si="62"/>
        <v>717.10791936813689</v>
      </c>
      <c r="V346" s="26">
        <f>VLOOKUP($F346,Munition!$B:$P,5,FALSE)</f>
        <v>3.56</v>
      </c>
      <c r="W346" s="30">
        <f t="shared" si="64"/>
        <v>915.35390707648708</v>
      </c>
      <c r="X346" s="26">
        <f>VLOOKUP($F346,Munition!$B:$P,15,FALSE)</f>
        <v>146.62584685242678</v>
      </c>
      <c r="Y346" s="26">
        <f>VLOOKUP($F346,Munition!$B:$P,9,FALSE)</f>
        <v>1</v>
      </c>
      <c r="Z346" s="26">
        <f>VLOOKUP($F346,Munition!$B:$P,14,FALSE)</f>
        <v>3.7177960891755132E-6</v>
      </c>
      <c r="AA346" s="30">
        <f t="shared" si="65"/>
        <v>7.5401427974588469</v>
      </c>
      <c r="AB346" s="30">
        <f t="shared" si="66"/>
        <v>6.9213199210366954</v>
      </c>
      <c r="AC346" s="30">
        <f t="shared" si="67"/>
        <v>6.3532841135958433</v>
      </c>
      <c r="AD346" s="30">
        <f t="shared" si="68"/>
        <v>4.5106142716226367</v>
      </c>
      <c r="AE346" s="30">
        <f t="shared" si="69"/>
        <v>2.6983097872128674</v>
      </c>
      <c r="AF346" s="32" t="str">
        <f t="shared" si="63"/>
        <v>2D6+1</v>
      </c>
      <c r="AG346" s="33" t="str">
        <f t="shared" si="70"/>
        <v>2+1</v>
      </c>
      <c r="AH346" s="33" t="str">
        <f t="shared" si="71"/>
        <v>-</v>
      </c>
      <c r="AI346" s="33" t="str">
        <f t="shared" si="72"/>
        <v>-</v>
      </c>
      <c r="AJ346" s="33" t="str">
        <f t="shared" si="73"/>
        <v>-</v>
      </c>
      <c r="AK346">
        <v>1998</v>
      </c>
    </row>
    <row r="347" spans="1:37">
      <c r="A347" t="s">
        <v>571</v>
      </c>
      <c r="B347" t="s">
        <v>538</v>
      </c>
      <c r="C347" t="s">
        <v>681</v>
      </c>
      <c r="D347" t="s">
        <v>681</v>
      </c>
      <c r="F347" t="s">
        <v>182</v>
      </c>
      <c r="G347" t="s">
        <v>79</v>
      </c>
      <c r="H347">
        <v>0.97</v>
      </c>
      <c r="I347">
        <v>4.7</v>
      </c>
      <c r="J347" s="9">
        <v>5</v>
      </c>
      <c r="K347" s="9">
        <v>10</v>
      </c>
      <c r="L347" s="9">
        <v>30</v>
      </c>
      <c r="M347" s="10">
        <v>60</v>
      </c>
      <c r="N347" s="10">
        <v>3</v>
      </c>
      <c r="O347" s="10"/>
      <c r="P347" s="18">
        <v>8</v>
      </c>
      <c r="Q347" s="22" t="s">
        <v>701</v>
      </c>
      <c r="R347">
        <v>1</v>
      </c>
      <c r="S347" s="26">
        <f>VLOOKUP($F347,Munition!$B:$P,10,FALSE)</f>
        <v>4.5</v>
      </c>
      <c r="T347" s="26">
        <f>VLOOKUP($F347,Munition!$B:$P,11,FALSE)</f>
        <v>450</v>
      </c>
      <c r="U347" s="28">
        <f t="shared" si="62"/>
        <v>454.91876327120707</v>
      </c>
      <c r="V347" s="26">
        <f>VLOOKUP($F347,Munition!$B:$P,5,FALSE)</f>
        <v>6.75</v>
      </c>
      <c r="W347" s="30">
        <f t="shared" si="64"/>
        <v>698.45989896969036</v>
      </c>
      <c r="X347" s="26">
        <f>VLOOKUP($F347,Munition!$B:$P,15,FALSE)</f>
        <v>106.1032953945969</v>
      </c>
      <c r="Y347" s="26">
        <f>VLOOKUP($F347,Munition!$B:$P,9,FALSE)</f>
        <v>1</v>
      </c>
      <c r="Z347" s="26">
        <f>VLOOKUP($F347,Munition!$B:$P,14,FALSE)</f>
        <v>1.5586226552622361E-5</v>
      </c>
      <c r="AA347" s="30">
        <f t="shared" si="65"/>
        <v>2.1958191698270029</v>
      </c>
      <c r="AB347" s="30">
        <f t="shared" si="66"/>
        <v>2.1456970593890943</v>
      </c>
      <c r="AC347" s="30">
        <f t="shared" si="67"/>
        <v>2.0967190440521257</v>
      </c>
      <c r="AD347" s="30">
        <f t="shared" si="68"/>
        <v>1.911734488198755</v>
      </c>
      <c r="AE347" s="30">
        <f t="shared" si="69"/>
        <v>1.6644033368451248</v>
      </c>
      <c r="AF347" s="32" t="str">
        <f t="shared" si="63"/>
        <v>2D6</v>
      </c>
      <c r="AG347" s="33" t="str">
        <f t="shared" si="70"/>
        <v>-</v>
      </c>
      <c r="AH347" s="33" t="str">
        <f t="shared" si="71"/>
        <v>-</v>
      </c>
      <c r="AI347" s="33" t="str">
        <f t="shared" si="72"/>
        <v>-</v>
      </c>
      <c r="AJ347" s="33" t="str">
        <f t="shared" si="73"/>
        <v>-</v>
      </c>
      <c r="AK347">
        <v>1949</v>
      </c>
    </row>
    <row r="348" spans="1:37">
      <c r="A348" t="s">
        <v>571</v>
      </c>
      <c r="B348" t="s">
        <v>539</v>
      </c>
      <c r="C348" t="s">
        <v>681</v>
      </c>
      <c r="D348" t="s">
        <v>681</v>
      </c>
      <c r="F348" t="s">
        <v>182</v>
      </c>
      <c r="G348" t="s">
        <v>79</v>
      </c>
      <c r="H348">
        <v>0.75</v>
      </c>
      <c r="I348">
        <v>4.4000000000000004</v>
      </c>
      <c r="J348" s="9">
        <v>6</v>
      </c>
      <c r="K348" s="9">
        <v>12</v>
      </c>
      <c r="L348" s="9">
        <v>36</v>
      </c>
      <c r="M348" s="10">
        <v>72</v>
      </c>
      <c r="N348" s="10">
        <v>3</v>
      </c>
      <c r="O348" s="10"/>
      <c r="P348" s="18">
        <v>15</v>
      </c>
      <c r="Q348" s="22" t="s">
        <v>701</v>
      </c>
      <c r="R348">
        <v>1</v>
      </c>
      <c r="S348" s="26">
        <f>VLOOKUP($F348,Munition!$B:$P,10,FALSE)</f>
        <v>4.5</v>
      </c>
      <c r="T348" s="26">
        <f>VLOOKUP($F348,Munition!$B:$P,11,FALSE)</f>
        <v>450</v>
      </c>
      <c r="U348" s="28">
        <f t="shared" si="62"/>
        <v>447.47889240899724</v>
      </c>
      <c r="V348" s="26">
        <f>VLOOKUP($F348,Munition!$B:$P,5,FALSE)</f>
        <v>6.75</v>
      </c>
      <c r="W348" s="30">
        <f t="shared" si="64"/>
        <v>675.8010871365924</v>
      </c>
      <c r="X348" s="26">
        <f>VLOOKUP($F348,Munition!$B:$P,15,FALSE)</f>
        <v>106.1032953945969</v>
      </c>
      <c r="Y348" s="26">
        <f>VLOOKUP($F348,Munition!$B:$P,9,FALSE)</f>
        <v>1</v>
      </c>
      <c r="Z348" s="26">
        <f>VLOOKUP($F348,Munition!$B:$P,14,FALSE)</f>
        <v>1.5586226552622361E-5</v>
      </c>
      <c r="AA348" s="30">
        <f t="shared" si="65"/>
        <v>2.1245843667094393</v>
      </c>
      <c r="AB348" s="30">
        <f t="shared" si="66"/>
        <v>2.066522708758324</v>
      </c>
      <c r="AC348" s="30">
        <f t="shared" si="67"/>
        <v>2.0100477875717524</v>
      </c>
      <c r="AD348" s="30">
        <f t="shared" si="68"/>
        <v>1.7991657907287737</v>
      </c>
      <c r="AE348" s="30">
        <f t="shared" si="69"/>
        <v>1.5235909636020533</v>
      </c>
      <c r="AF348" s="32" t="str">
        <f t="shared" si="63"/>
        <v>2D6</v>
      </c>
      <c r="AG348" s="33" t="str">
        <f t="shared" si="70"/>
        <v>-</v>
      </c>
      <c r="AH348" s="33" t="str">
        <f t="shared" si="71"/>
        <v>-</v>
      </c>
      <c r="AI348" s="33" t="str">
        <f t="shared" si="72"/>
        <v>-</v>
      </c>
      <c r="AJ348" s="33" t="str">
        <f t="shared" si="73"/>
        <v>-</v>
      </c>
      <c r="AK348">
        <v>1984</v>
      </c>
    </row>
    <row r="349" spans="1:37">
      <c r="A349" t="s">
        <v>579</v>
      </c>
      <c r="B349" t="s">
        <v>540</v>
      </c>
      <c r="C349" t="s">
        <v>681</v>
      </c>
      <c r="D349" t="s">
        <v>681</v>
      </c>
      <c r="E349" t="s">
        <v>771</v>
      </c>
      <c r="F349" t="s">
        <v>62</v>
      </c>
      <c r="G349" t="s">
        <v>61</v>
      </c>
      <c r="H349">
        <v>3.85</v>
      </c>
      <c r="I349">
        <v>24.6</v>
      </c>
      <c r="J349" s="9">
        <v>50</v>
      </c>
      <c r="K349" s="9">
        <v>100</v>
      </c>
      <c r="L349" s="9">
        <v>300</v>
      </c>
      <c r="M349" s="10">
        <v>600</v>
      </c>
      <c r="N349" s="10">
        <v>2</v>
      </c>
      <c r="O349" s="10"/>
      <c r="P349" s="18">
        <v>10</v>
      </c>
      <c r="Q349" s="22" t="s">
        <v>701</v>
      </c>
      <c r="R349">
        <v>1</v>
      </c>
      <c r="S349" s="26">
        <f>VLOOKUP($F349,Munition!$B:$P,10,FALSE)</f>
        <v>24</v>
      </c>
      <c r="T349" s="26">
        <f>VLOOKUP($F349,Munition!$B:$P,11,FALSE)</f>
        <v>786</v>
      </c>
      <c r="U349" s="28">
        <f t="shared" si="62"/>
        <v>790.86710561194991</v>
      </c>
      <c r="V349" s="26">
        <f>VLOOKUP($F349,Munition!$B:$P,5,FALSE)</f>
        <v>11</v>
      </c>
      <c r="W349" s="30">
        <f t="shared" si="64"/>
        <v>3440.0892830646271</v>
      </c>
      <c r="X349" s="26">
        <f>VLOOKUP($F349,Munition!$B:$P,15,FALSE)</f>
        <v>241.2086406143315</v>
      </c>
      <c r="Y349" s="26">
        <f>VLOOKUP($F349,Munition!$B:$P,9,FALSE)</f>
        <v>1</v>
      </c>
      <c r="Z349" s="26">
        <f>VLOOKUP($F349,Munition!$B:$P,14,FALSE)</f>
        <v>6.9830624463123905E-6</v>
      </c>
      <c r="AA349" s="30">
        <f t="shared" si="65"/>
        <v>15.086895628362708</v>
      </c>
      <c r="AB349" s="30">
        <f t="shared" si="66"/>
        <v>14.15891048242336</v>
      </c>
      <c r="AC349" s="30">
        <f t="shared" si="67"/>
        <v>13.288005099763158</v>
      </c>
      <c r="AD349" s="30">
        <f t="shared" si="68"/>
        <v>10.308122870088889</v>
      </c>
      <c r="AE349" s="30">
        <f t="shared" si="69"/>
        <v>7.0430259294092448</v>
      </c>
      <c r="AF349" s="32" t="str">
        <f t="shared" si="63"/>
        <v>4D6+2</v>
      </c>
      <c r="AG349" s="33" t="str">
        <f t="shared" si="70"/>
        <v>2</v>
      </c>
      <c r="AH349" s="33" t="str">
        <f t="shared" si="71"/>
        <v>2+1</v>
      </c>
      <c r="AI349" s="33" t="str">
        <f t="shared" si="72"/>
        <v>2+1</v>
      </c>
      <c r="AJ349" s="33" t="str">
        <f t="shared" si="73"/>
        <v>3</v>
      </c>
      <c r="AK349">
        <v>1940</v>
      </c>
    </row>
    <row r="350" spans="1:37">
      <c r="A350" t="s">
        <v>571</v>
      </c>
      <c r="B350" t="s">
        <v>541</v>
      </c>
      <c r="C350" t="s">
        <v>681</v>
      </c>
      <c r="D350" t="s">
        <v>681</v>
      </c>
      <c r="E350" t="s">
        <v>772</v>
      </c>
      <c r="F350" t="s">
        <v>32</v>
      </c>
      <c r="G350" t="s">
        <v>542</v>
      </c>
      <c r="H350">
        <v>0.5</v>
      </c>
      <c r="I350">
        <v>4.5999999999999996</v>
      </c>
      <c r="J350" s="9">
        <v>5</v>
      </c>
      <c r="K350" s="9">
        <v>10</v>
      </c>
      <c r="L350" s="9">
        <v>30</v>
      </c>
      <c r="M350" s="10">
        <v>60</v>
      </c>
      <c r="N350" s="10">
        <v>5</v>
      </c>
      <c r="O350" s="10"/>
      <c r="P350" s="18">
        <v>8</v>
      </c>
      <c r="Q350" s="22" t="s">
        <v>701</v>
      </c>
      <c r="R350">
        <v>1</v>
      </c>
      <c r="S350" s="26">
        <f>VLOOKUP($F350,Munition!$B:$P,10,FALSE)</f>
        <v>5</v>
      </c>
      <c r="T350" s="26">
        <f>VLOOKUP($F350,Munition!$B:$P,11,FALSE)</f>
        <v>488</v>
      </c>
      <c r="U350" s="28">
        <f t="shared" si="62"/>
        <v>477.93273633175289</v>
      </c>
      <c r="V350" s="26">
        <f>VLOOKUP($F350,Munition!$B:$P,5,FALSE)</f>
        <v>5.5</v>
      </c>
      <c r="W350" s="30">
        <f t="shared" si="64"/>
        <v>628.15417625828127</v>
      </c>
      <c r="X350" s="26">
        <f>VLOOKUP($F350,Munition!$B:$P,15,FALSE)</f>
        <v>120.60432030716575</v>
      </c>
      <c r="Y350" s="26">
        <f>VLOOKUP($F350,Munition!$B:$P,9,FALSE)</f>
        <v>1</v>
      </c>
      <c r="Z350" s="26">
        <f>VLOOKUP($F350,Munition!$B:$P,14,FALSE)</f>
        <v>9.7762874248373463E-6</v>
      </c>
      <c r="AA350" s="30">
        <f t="shared" si="65"/>
        <v>2.7548402718450036</v>
      </c>
      <c r="AB350" s="30">
        <f t="shared" si="66"/>
        <v>2.7063054314918178</v>
      </c>
      <c r="AC350" s="30">
        <f t="shared" si="67"/>
        <v>2.6586256790913469</v>
      </c>
      <c r="AD350" s="30">
        <f t="shared" si="68"/>
        <v>2.4761602030735608</v>
      </c>
      <c r="AE350" s="30">
        <f t="shared" si="69"/>
        <v>2.2256714532414343</v>
      </c>
      <c r="AF350" s="32" t="str">
        <f t="shared" si="63"/>
        <v>2D6</v>
      </c>
      <c r="AG350" s="33" t="str">
        <f t="shared" si="70"/>
        <v>-</v>
      </c>
      <c r="AH350" s="33" t="str">
        <f t="shared" si="71"/>
        <v>-</v>
      </c>
      <c r="AI350" s="33" t="str">
        <f t="shared" si="72"/>
        <v>-</v>
      </c>
      <c r="AJ350" s="33" t="str">
        <f t="shared" si="73"/>
        <v>-</v>
      </c>
      <c r="AK350">
        <v>1930</v>
      </c>
    </row>
    <row r="351" spans="1:37">
      <c r="A351" t="s">
        <v>575</v>
      </c>
      <c r="B351" t="s">
        <v>543</v>
      </c>
      <c r="C351" t="s">
        <v>681</v>
      </c>
      <c r="D351" t="s">
        <v>681</v>
      </c>
      <c r="F351" t="s">
        <v>113</v>
      </c>
      <c r="G351" t="s">
        <v>112</v>
      </c>
      <c r="H351">
        <v>2.5</v>
      </c>
      <c r="I351">
        <v>8.3000000000000007</v>
      </c>
      <c r="J351" s="9">
        <v>41</v>
      </c>
      <c r="K351" s="9">
        <v>82</v>
      </c>
      <c r="L351" s="9">
        <v>246</v>
      </c>
      <c r="M351" s="10">
        <v>492</v>
      </c>
      <c r="N351" s="10">
        <v>2</v>
      </c>
      <c r="O351" s="10">
        <v>3</v>
      </c>
      <c r="P351" s="19">
        <v>20</v>
      </c>
      <c r="Q351" s="22" t="s">
        <v>717</v>
      </c>
      <c r="R351">
        <v>3</v>
      </c>
      <c r="S351" s="26">
        <f>VLOOKUP($F351,Munition!$B:$P,10,FALSE)</f>
        <v>12</v>
      </c>
      <c r="T351" s="26">
        <f>VLOOKUP($F351,Munition!$B:$P,11,FALSE)</f>
        <v>280</v>
      </c>
      <c r="U351" s="28">
        <f t="shared" si="62"/>
        <v>255.34787200603711</v>
      </c>
      <c r="V351" s="26">
        <f>VLOOKUP($F351,Munition!$B:$P,5,FALSE)</f>
        <v>16.8</v>
      </c>
      <c r="W351" s="30">
        <f t="shared" si="64"/>
        <v>547.70130019929672</v>
      </c>
      <c r="X351" s="26">
        <f>VLOOKUP($F351,Munition!$B:$P,15,FALSE)</f>
        <v>247.31673432247348</v>
      </c>
      <c r="Y351" s="26">
        <f>VLOOKUP($F351,Munition!$B:$P,9,FALSE)</f>
        <v>1</v>
      </c>
      <c r="Z351" s="26">
        <f>VLOOKUP($F351,Munition!$B:$P,14,FALSE)</f>
        <v>1.4562298058262588E-5</v>
      </c>
      <c r="AA351" s="30">
        <f t="shared" si="65"/>
        <v>1.6125678208269372</v>
      </c>
      <c r="AB351" s="30">
        <f t="shared" si="66"/>
        <v>1.5019284937491606</v>
      </c>
      <c r="AC351" s="30">
        <f t="shared" si="67"/>
        <v>1.3988802028672735</v>
      </c>
      <c r="AD351" s="30">
        <f t="shared" si="68"/>
        <v>1.0527023535009072</v>
      </c>
      <c r="AE351" s="30">
        <f t="shared" si="69"/>
        <v>0.68721589923459125</v>
      </c>
      <c r="AF351" s="32" t="str">
        <f t="shared" si="63"/>
        <v>1D6+2</v>
      </c>
      <c r="AG351" s="33" t="str">
        <f t="shared" si="70"/>
        <v>-</v>
      </c>
      <c r="AH351" s="33" t="str">
        <f t="shared" si="71"/>
        <v>-</v>
      </c>
      <c r="AI351" s="33" t="str">
        <f t="shared" si="72"/>
        <v>-</v>
      </c>
      <c r="AJ351" s="33" t="str">
        <f t="shared" si="73"/>
        <v>-</v>
      </c>
      <c r="AK351">
        <v>1987</v>
      </c>
    </row>
    <row r="352" spans="1:37">
      <c r="A352" t="s">
        <v>572</v>
      </c>
      <c r="B352" t="s">
        <v>544</v>
      </c>
      <c r="C352" t="s">
        <v>681</v>
      </c>
      <c r="D352" t="s">
        <v>681</v>
      </c>
      <c r="E352" t="s">
        <v>770</v>
      </c>
      <c r="F352" t="s">
        <v>113</v>
      </c>
      <c r="G352" t="s">
        <v>112</v>
      </c>
      <c r="H352">
        <v>2.6</v>
      </c>
      <c r="I352">
        <v>7.9</v>
      </c>
      <c r="J352" s="9">
        <v>50</v>
      </c>
      <c r="K352" s="9">
        <v>100</v>
      </c>
      <c r="L352" s="9">
        <v>300</v>
      </c>
      <c r="M352" s="10">
        <v>600</v>
      </c>
      <c r="N352" s="10">
        <v>2</v>
      </c>
      <c r="O352" s="10">
        <v>3</v>
      </c>
      <c r="P352" s="19">
        <v>20</v>
      </c>
      <c r="Q352" s="22" t="s">
        <v>762</v>
      </c>
      <c r="R352">
        <v>10</v>
      </c>
      <c r="S352" s="26">
        <f>VLOOKUP($F352,Munition!$B:$P,10,FALSE)</f>
        <v>12</v>
      </c>
      <c r="T352" s="26">
        <f>VLOOKUP($F352,Munition!$B:$P,11,FALSE)</f>
        <v>280</v>
      </c>
      <c r="U352" s="28">
        <f t="shared" si="62"/>
        <v>252.21417581883665</v>
      </c>
      <c r="V352" s="26">
        <f>VLOOKUP($F352,Munition!$B:$P,5,FALSE)</f>
        <v>16.8</v>
      </c>
      <c r="W352" s="30">
        <f t="shared" si="64"/>
        <v>534.34072006539043</v>
      </c>
      <c r="X352" s="26">
        <f>VLOOKUP($F352,Munition!$B:$P,15,FALSE)</f>
        <v>247.31673432247348</v>
      </c>
      <c r="Y352" s="26">
        <f>VLOOKUP($F352,Munition!$B:$P,9,FALSE)</f>
        <v>1</v>
      </c>
      <c r="Z352" s="26">
        <f>VLOOKUP($F352,Munition!$B:$P,14,FALSE)</f>
        <v>1.4562298058262588E-5</v>
      </c>
      <c r="AA352" s="30">
        <f t="shared" si="65"/>
        <v>1.5732309750248965</v>
      </c>
      <c r="AB352" s="30">
        <f t="shared" si="66"/>
        <v>1.4426058625850438</v>
      </c>
      <c r="AC352" s="30">
        <f t="shared" si="67"/>
        <v>1.3228265320238848</v>
      </c>
      <c r="AD352" s="30">
        <f t="shared" si="68"/>
        <v>0.93524137966333254</v>
      </c>
      <c r="AE352" s="30">
        <f t="shared" si="69"/>
        <v>0.55597458486394957</v>
      </c>
      <c r="AF352" s="32" t="str">
        <f t="shared" si="63"/>
        <v>1D6+2</v>
      </c>
      <c r="AG352" s="33" t="str">
        <f t="shared" si="70"/>
        <v>-</v>
      </c>
      <c r="AH352" s="33" t="str">
        <f t="shared" si="71"/>
        <v>-</v>
      </c>
      <c r="AI352" s="33" t="str">
        <f t="shared" si="72"/>
        <v>-</v>
      </c>
      <c r="AJ352" s="33" t="str">
        <f t="shared" si="73"/>
        <v>-</v>
      </c>
      <c r="AK352">
        <v>1987</v>
      </c>
    </row>
    <row r="353" spans="1:37">
      <c r="A353" t="s">
        <v>576</v>
      </c>
      <c r="B353" t="s">
        <v>545</v>
      </c>
      <c r="C353" t="s">
        <v>681</v>
      </c>
      <c r="D353" t="s">
        <v>681</v>
      </c>
      <c r="F353" t="s">
        <v>154</v>
      </c>
      <c r="G353" t="s">
        <v>155</v>
      </c>
      <c r="H353">
        <v>2.9</v>
      </c>
      <c r="I353">
        <v>19</v>
      </c>
      <c r="J353" s="9">
        <v>5</v>
      </c>
      <c r="K353" s="9">
        <v>10</v>
      </c>
      <c r="L353" s="9">
        <v>30</v>
      </c>
      <c r="M353" s="10">
        <v>60</v>
      </c>
      <c r="N353" s="10">
        <v>3</v>
      </c>
      <c r="O353" s="10"/>
      <c r="P353" s="18">
        <v>7</v>
      </c>
      <c r="Q353" s="22" t="s">
        <v>702</v>
      </c>
      <c r="R353">
        <v>1</v>
      </c>
      <c r="S353" s="26">
        <f>VLOOKUP($F353,Munition!$B:$P,10,FALSE)</f>
        <v>20</v>
      </c>
      <c r="T353" s="26">
        <f>VLOOKUP($F353,Munition!$B:$P,11,FALSE)</f>
        <v>408</v>
      </c>
      <c r="U353" s="28">
        <f t="shared" si="62"/>
        <v>402.801486319785</v>
      </c>
      <c r="V353" s="26">
        <f>VLOOKUP($F353,Munition!$B:$P,5,FALSE)</f>
        <v>38</v>
      </c>
      <c r="W353" s="30">
        <f t="shared" si="64"/>
        <v>3082.7317102471306</v>
      </c>
      <c r="X353" s="26">
        <f>VLOOKUP($F353,Munition!$B:$P,15,FALSE)</f>
        <v>141.36772154838914</v>
      </c>
      <c r="Y353" s="26">
        <f>VLOOKUP($F353,Munition!$B:$P,9,FALSE)</f>
        <v>1</v>
      </c>
      <c r="Z353" s="26">
        <f>VLOOKUP($F353,Munition!$B:$P,14,FALSE)</f>
        <v>9.8784926622870443E-5</v>
      </c>
      <c r="AA353" s="30">
        <f t="shared" si="65"/>
        <v>2.2936776738031885</v>
      </c>
      <c r="AB353" s="30">
        <f t="shared" si="66"/>
        <v>2.2348195066308354</v>
      </c>
      <c r="AC353" s="30">
        <f t="shared" si="67"/>
        <v>2.1774717015649174</v>
      </c>
      <c r="AD353" s="30">
        <f t="shared" si="68"/>
        <v>1.9624237188355542</v>
      </c>
      <c r="AE353" s="30">
        <f t="shared" si="69"/>
        <v>1.6790096081210819</v>
      </c>
      <c r="AF353" s="32" t="str">
        <f t="shared" si="63"/>
        <v>4D6+1</v>
      </c>
      <c r="AG353" s="33" t="str">
        <f t="shared" si="70"/>
        <v>-</v>
      </c>
      <c r="AH353" s="33" t="str">
        <f t="shared" si="71"/>
        <v>-</v>
      </c>
      <c r="AI353" s="33" t="str">
        <f t="shared" si="72"/>
        <v>-</v>
      </c>
      <c r="AJ353" s="33" t="str">
        <f t="shared" si="73"/>
        <v>-</v>
      </c>
      <c r="AK353">
        <v>1994</v>
      </c>
    </row>
    <row r="354" spans="1:37">
      <c r="A354" t="s">
        <v>574</v>
      </c>
      <c r="B354" t="s">
        <v>546</v>
      </c>
      <c r="C354" t="s">
        <v>681</v>
      </c>
      <c r="D354" t="s">
        <v>681</v>
      </c>
      <c r="F354" t="s">
        <v>51</v>
      </c>
      <c r="G354" t="s">
        <v>52</v>
      </c>
      <c r="H354">
        <v>10.7</v>
      </c>
      <c r="I354">
        <v>23.9</v>
      </c>
      <c r="J354" s="9">
        <v>100</v>
      </c>
      <c r="K354" s="9">
        <v>200</v>
      </c>
      <c r="L354" s="9">
        <v>600</v>
      </c>
      <c r="M354" s="10">
        <v>1200</v>
      </c>
      <c r="N354" s="10"/>
      <c r="O354" s="10">
        <v>5</v>
      </c>
      <c r="P354" s="18">
        <v>25</v>
      </c>
      <c r="Q354" s="22">
        <v>50</v>
      </c>
      <c r="R354">
        <v>10</v>
      </c>
      <c r="S354" s="26">
        <f>VLOOKUP($F354,Munition!$B:$P,10,FALSE)</f>
        <v>22</v>
      </c>
      <c r="T354" s="26">
        <f>VLOOKUP($F354,Munition!$B:$P,11,FALSE)</f>
        <v>832</v>
      </c>
      <c r="U354" s="28">
        <f t="shared" si="62"/>
        <v>849.40953400520561</v>
      </c>
      <c r="V354" s="26">
        <f>VLOOKUP($F354,Munition!$B:$P,5,FALSE)</f>
        <v>9.4499999999999993</v>
      </c>
      <c r="W354" s="30">
        <f t="shared" si="64"/>
        <v>3409.0712292684939</v>
      </c>
      <c r="X354" s="26">
        <f>VLOOKUP($F354,Munition!$B:$P,15,FALSE)</f>
        <v>207.22015034594844</v>
      </c>
      <c r="Y354" s="26">
        <f>VLOOKUP($F354,Munition!$B:$P,9,FALSE)</f>
        <v>1</v>
      </c>
      <c r="Z354" s="26">
        <f>VLOOKUP($F354,Munition!$B:$P,14,FALSE)</f>
        <v>6.9830624463123905E-6</v>
      </c>
      <c r="AA354" s="30">
        <f t="shared" si="65"/>
        <v>14.950862490350572</v>
      </c>
      <c r="AB354" s="30">
        <f t="shared" si="66"/>
        <v>12.896801158800134</v>
      </c>
      <c r="AC354" s="30">
        <f t="shared" si="67"/>
        <v>11.124942138754726</v>
      </c>
      <c r="AD354" s="30">
        <f t="shared" si="68"/>
        <v>6.1597174095138838</v>
      </c>
      <c r="AE354" s="30">
        <f t="shared" si="69"/>
        <v>2.5377879429736345</v>
      </c>
      <c r="AF354" s="32" t="str">
        <f t="shared" si="63"/>
        <v>4D6+2</v>
      </c>
      <c r="AG354" s="33" t="str">
        <f t="shared" si="70"/>
        <v>2</v>
      </c>
      <c r="AH354" s="33" t="str">
        <f t="shared" si="71"/>
        <v>2+1</v>
      </c>
      <c r="AI354" s="33" t="str">
        <f t="shared" si="72"/>
        <v>3</v>
      </c>
      <c r="AJ354" s="33" t="str">
        <f t="shared" si="73"/>
        <v>-</v>
      </c>
      <c r="AK354">
        <v>1962</v>
      </c>
    </row>
    <row r="355" spans="1:37">
      <c r="A355" t="s">
        <v>575</v>
      </c>
      <c r="B355" t="s">
        <v>853</v>
      </c>
      <c r="C355" t="s">
        <v>681</v>
      </c>
      <c r="D355" t="s">
        <v>681</v>
      </c>
      <c r="F355" t="s">
        <v>37</v>
      </c>
      <c r="G355" t="s">
        <v>38</v>
      </c>
      <c r="H355">
        <v>3.5</v>
      </c>
      <c r="I355">
        <v>16.3</v>
      </c>
      <c r="J355" s="9">
        <v>100</v>
      </c>
      <c r="K355" s="9">
        <v>200</v>
      </c>
      <c r="L355" s="9">
        <v>600</v>
      </c>
      <c r="M355" s="10">
        <v>1200</v>
      </c>
      <c r="N355" s="10">
        <v>2</v>
      </c>
      <c r="O355" s="10">
        <v>5</v>
      </c>
      <c r="P355" s="19">
        <v>30</v>
      </c>
      <c r="Q355" s="22" t="s">
        <v>719</v>
      </c>
      <c r="R355">
        <v>3</v>
      </c>
      <c r="S355" s="26">
        <f>VLOOKUP($F355,Munition!$B:$P,10,FALSE)</f>
        <v>16</v>
      </c>
      <c r="T355" s="26">
        <f>VLOOKUP($F355,Munition!$B:$P,11,FALSE)</f>
        <v>725</v>
      </c>
      <c r="U355" s="28">
        <f t="shared" si="62"/>
        <v>728.37480026843662</v>
      </c>
      <c r="V355" s="26">
        <f>VLOOKUP($F355,Munition!$B:$P,5,FALSE)</f>
        <v>7.9</v>
      </c>
      <c r="W355" s="30">
        <f t="shared" si="64"/>
        <v>2095.5929061810357</v>
      </c>
      <c r="X355" s="26">
        <f>VLOOKUP($F355,Munition!$B:$P,15,FALSE)</f>
        <v>173.23166007756538</v>
      </c>
      <c r="Y355" s="26">
        <f>VLOOKUP($F355,Munition!$B:$P,9,FALSE)</f>
        <v>1</v>
      </c>
      <c r="Z355" s="26">
        <f>VLOOKUP($F355,Munition!$B:$P,14,FALSE)</f>
        <v>7.8210299398698787E-6</v>
      </c>
      <c r="AA355" s="30">
        <f t="shared" si="65"/>
        <v>9.1904566578357088</v>
      </c>
      <c r="AB355" s="30">
        <f t="shared" si="66"/>
        <v>7.5395678638793857</v>
      </c>
      <c r="AC355" s="30">
        <f t="shared" si="67"/>
        <v>6.1852294929846741</v>
      </c>
      <c r="AD355" s="30">
        <f t="shared" si="68"/>
        <v>2.8015170612274409</v>
      </c>
      <c r="AE355" s="30">
        <f t="shared" si="69"/>
        <v>0.85398344571451446</v>
      </c>
      <c r="AF355" s="32" t="str">
        <f t="shared" si="63"/>
        <v>3D6+2</v>
      </c>
      <c r="AG355" s="33" t="str">
        <f t="shared" si="70"/>
        <v>2+2</v>
      </c>
      <c r="AH355" s="33" t="str">
        <f t="shared" si="71"/>
        <v>3+1</v>
      </c>
      <c r="AI355" s="33" t="str">
        <f t="shared" si="72"/>
        <v>-</v>
      </c>
      <c r="AJ355" s="33" t="str">
        <f t="shared" si="73"/>
        <v>-</v>
      </c>
      <c r="AK355">
        <v>1956</v>
      </c>
    </row>
    <row r="356" spans="1:37">
      <c r="A356" t="s">
        <v>574</v>
      </c>
      <c r="B356" t="s">
        <v>547</v>
      </c>
      <c r="C356" t="s">
        <v>681</v>
      </c>
      <c r="D356" t="s">
        <v>681</v>
      </c>
      <c r="F356" t="s">
        <v>10</v>
      </c>
      <c r="G356" t="s">
        <v>11</v>
      </c>
      <c r="H356">
        <v>4.42</v>
      </c>
      <c r="I356">
        <v>20</v>
      </c>
      <c r="J356" s="9">
        <v>50</v>
      </c>
      <c r="K356" s="9">
        <v>100</v>
      </c>
      <c r="L356" s="9">
        <v>300</v>
      </c>
      <c r="M356" s="10">
        <v>600</v>
      </c>
      <c r="N356" s="10">
        <v>1</v>
      </c>
      <c r="O356" s="10">
        <v>3</v>
      </c>
      <c r="P356" s="19">
        <v>30</v>
      </c>
      <c r="Q356" s="22" t="s">
        <v>721</v>
      </c>
      <c r="R356">
        <v>5</v>
      </c>
      <c r="S356" s="26">
        <f>VLOOKUP($F356,Munition!$B:$P,10,FALSE)</f>
        <v>20</v>
      </c>
      <c r="T356" s="26">
        <f>VLOOKUP($F356,Munition!$B:$P,11,FALSE)</f>
        <v>878</v>
      </c>
      <c r="U356" s="28">
        <f t="shared" si="62"/>
        <v>878</v>
      </c>
      <c r="V356" s="26">
        <f>VLOOKUP($F356,Munition!$B:$P,5,FALSE)</f>
        <v>3.56</v>
      </c>
      <c r="W356" s="30">
        <f t="shared" si="64"/>
        <v>1372.1735200000001</v>
      </c>
      <c r="X356" s="26">
        <f>VLOOKUP($F356,Munition!$B:$P,15,FALSE)</f>
        <v>146.62584685242678</v>
      </c>
      <c r="Y356" s="26">
        <f>VLOOKUP($F356,Munition!$B:$P,9,FALSE)</f>
        <v>1</v>
      </c>
      <c r="Z356" s="26">
        <f>VLOOKUP($F356,Munition!$B:$P,14,FALSE)</f>
        <v>3.7177960891755132E-6</v>
      </c>
      <c r="AA356" s="30">
        <f t="shared" si="65"/>
        <v>11.303151932498615</v>
      </c>
      <c r="AB356" s="30">
        <f t="shared" si="66"/>
        <v>10.182281933385839</v>
      </c>
      <c r="AC356" s="30">
        <f t="shared" si="67"/>
        <v>9.1725623074091445</v>
      </c>
      <c r="AD356" s="30">
        <f t="shared" si="68"/>
        <v>6.0404998939032204</v>
      </c>
      <c r="AE356" s="30">
        <f t="shared" si="69"/>
        <v>3.2280941799372109</v>
      </c>
      <c r="AF356" s="32" t="str">
        <f t="shared" si="63"/>
        <v>3D6</v>
      </c>
      <c r="AG356" s="33" t="str">
        <f t="shared" si="70"/>
        <v>1+2</v>
      </c>
      <c r="AH356" s="33" t="str">
        <f t="shared" si="71"/>
        <v>2</v>
      </c>
      <c r="AI356" s="33" t="str">
        <f t="shared" si="72"/>
        <v>2+1</v>
      </c>
      <c r="AJ356" s="33" t="str">
        <f t="shared" si="73"/>
        <v>-</v>
      </c>
      <c r="AK356">
        <v>1982</v>
      </c>
    </row>
    <row r="357" spans="1:37">
      <c r="A357" t="s">
        <v>577</v>
      </c>
      <c r="B357" t="s">
        <v>548</v>
      </c>
      <c r="C357" t="s">
        <v>681</v>
      </c>
      <c r="D357" t="s">
        <v>681</v>
      </c>
      <c r="F357" t="s">
        <v>108</v>
      </c>
      <c r="G357" t="s">
        <v>103</v>
      </c>
      <c r="H357">
        <v>3.5</v>
      </c>
      <c r="I357">
        <v>10.199999999999999</v>
      </c>
      <c r="J357" s="9">
        <v>7</v>
      </c>
      <c r="K357" s="9">
        <v>14</v>
      </c>
      <c r="L357" s="9">
        <v>42</v>
      </c>
      <c r="M357" s="10">
        <v>84</v>
      </c>
      <c r="N357" s="10">
        <v>1</v>
      </c>
      <c r="O357" s="10">
        <v>3</v>
      </c>
      <c r="P357" s="19">
        <v>30</v>
      </c>
      <c r="Q357" s="22" t="s">
        <v>721</v>
      </c>
      <c r="R357">
        <v>5</v>
      </c>
      <c r="S357" s="26">
        <f>VLOOKUP($F357,Munition!$B:$P,10,FALSE)</f>
        <v>5</v>
      </c>
      <c r="T357" s="26">
        <f>VLOOKUP($F357,Munition!$B:$P,11,FALSE)</f>
        <v>285</v>
      </c>
      <c r="U357" s="28">
        <f t="shared" si="62"/>
        <v>340.60608453414125</v>
      </c>
      <c r="V357" s="26">
        <f>VLOOKUP($F357,Munition!$B:$P,5,FALSE)</f>
        <v>14.84</v>
      </c>
      <c r="W357" s="30">
        <f t="shared" si="64"/>
        <v>860.81278577685487</v>
      </c>
      <c r="X357" s="26">
        <f>VLOOKUP($F357,Munition!$B:$P,15,FALSE)</f>
        <v>144.62772633198708</v>
      </c>
      <c r="Y357" s="26">
        <f>VLOOKUP($F357,Munition!$B:$P,9,FALSE)</f>
        <v>1</v>
      </c>
      <c r="Z357" s="26">
        <f>VLOOKUP($F357,Munition!$B:$P,14,FALSE)</f>
        <v>2.8281402907565187E-5</v>
      </c>
      <c r="AA357" s="30">
        <f t="shared" si="65"/>
        <v>1.6778624798438058</v>
      </c>
      <c r="AB357" s="30">
        <f t="shared" si="66"/>
        <v>1.633688074122434</v>
      </c>
      <c r="AC357" s="30">
        <f t="shared" si="67"/>
        <v>1.590676682738815</v>
      </c>
      <c r="AD357" s="30">
        <f t="shared" si="68"/>
        <v>1.4296608341167905</v>
      </c>
      <c r="AE357" s="30">
        <f t="shared" si="69"/>
        <v>1.218174984637471</v>
      </c>
      <c r="AF357" s="32" t="str">
        <f t="shared" si="63"/>
        <v>2D6+1</v>
      </c>
      <c r="AG357" s="33" t="str">
        <f t="shared" si="70"/>
        <v>-</v>
      </c>
      <c r="AH357" s="33" t="str">
        <f t="shared" si="71"/>
        <v>-</v>
      </c>
      <c r="AI357" s="33" t="str">
        <f t="shared" si="72"/>
        <v>-</v>
      </c>
      <c r="AJ357" s="33" t="str">
        <f t="shared" si="73"/>
        <v>-</v>
      </c>
      <c r="AK357">
        <v>1950</v>
      </c>
    </row>
    <row r="358" spans="1:37">
      <c r="A358" t="s">
        <v>577</v>
      </c>
      <c r="B358" t="s">
        <v>548</v>
      </c>
      <c r="C358" t="s">
        <v>681</v>
      </c>
      <c r="D358" t="s">
        <v>681</v>
      </c>
      <c r="F358" t="s">
        <v>182</v>
      </c>
      <c r="G358" t="s">
        <v>79</v>
      </c>
      <c r="H358">
        <v>3.5</v>
      </c>
      <c r="I358">
        <v>10.199999999999999</v>
      </c>
      <c r="J358" s="9">
        <v>5</v>
      </c>
      <c r="K358" s="9">
        <v>10</v>
      </c>
      <c r="L358" s="9">
        <v>30</v>
      </c>
      <c r="M358" s="10">
        <v>60</v>
      </c>
      <c r="N358" s="10">
        <v>1</v>
      </c>
      <c r="O358" s="10">
        <v>3</v>
      </c>
      <c r="P358" s="19">
        <v>40</v>
      </c>
      <c r="Q358" s="22" t="s">
        <v>729</v>
      </c>
      <c r="R358">
        <v>5</v>
      </c>
      <c r="S358" s="26">
        <f>VLOOKUP($F358,Munition!$B:$P,10,FALSE)</f>
        <v>4.5</v>
      </c>
      <c r="T358" s="26">
        <f>VLOOKUP($F358,Munition!$B:$P,11,FALSE)</f>
        <v>450</v>
      </c>
      <c r="U358" s="28">
        <f t="shared" si="62"/>
        <v>552.15298998300977</v>
      </c>
      <c r="V358" s="26">
        <f>VLOOKUP($F358,Munition!$B:$P,5,FALSE)</f>
        <v>6.75</v>
      </c>
      <c r="W358" s="30">
        <f t="shared" si="64"/>
        <v>1028.9461196717245</v>
      </c>
      <c r="X358" s="26">
        <f>VLOOKUP($F358,Munition!$B:$P,15,FALSE)</f>
        <v>106.1032953945969</v>
      </c>
      <c r="Y358" s="26">
        <f>VLOOKUP($F358,Munition!$B:$P,9,FALSE)</f>
        <v>1</v>
      </c>
      <c r="Z358" s="26">
        <f>VLOOKUP($F358,Munition!$B:$P,14,FALSE)</f>
        <v>1.5586226552622361E-5</v>
      </c>
      <c r="AA358" s="30">
        <f t="shared" si="65"/>
        <v>3.234802194982318</v>
      </c>
      <c r="AB358" s="30">
        <f t="shared" si="66"/>
        <v>3.160964096158148</v>
      </c>
      <c r="AC358" s="30">
        <f t="shared" si="67"/>
        <v>3.0888114372803286</v>
      </c>
      <c r="AD358" s="30">
        <f t="shared" si="68"/>
        <v>2.8162988116803538</v>
      </c>
      <c r="AE358" s="30">
        <f t="shared" si="69"/>
        <v>2.4519394134748724</v>
      </c>
      <c r="AF358" s="32" t="str">
        <f t="shared" si="63"/>
        <v>2D6+2</v>
      </c>
      <c r="AG358" s="33" t="str">
        <f t="shared" si="70"/>
        <v>-</v>
      </c>
      <c r="AH358" s="33" t="str">
        <f t="shared" si="71"/>
        <v>-</v>
      </c>
      <c r="AI358" s="33" t="str">
        <f t="shared" si="72"/>
        <v>-</v>
      </c>
      <c r="AJ358" s="33" t="str">
        <f t="shared" si="73"/>
        <v>-</v>
      </c>
      <c r="AK358">
        <v>1950</v>
      </c>
    </row>
    <row r="359" spans="1:37">
      <c r="A359" t="s">
        <v>572</v>
      </c>
      <c r="B359" t="s">
        <v>549</v>
      </c>
      <c r="C359" t="s">
        <v>681</v>
      </c>
      <c r="D359" t="s">
        <v>681</v>
      </c>
      <c r="F359" t="s">
        <v>142</v>
      </c>
      <c r="G359" t="s">
        <v>143</v>
      </c>
      <c r="H359">
        <v>10.199999999999999</v>
      </c>
      <c r="I359">
        <v>39.4</v>
      </c>
      <c r="J359" s="9">
        <v>166</v>
      </c>
      <c r="K359" s="9">
        <v>332</v>
      </c>
      <c r="L359" s="9">
        <v>996</v>
      </c>
      <c r="M359" s="10">
        <v>1992</v>
      </c>
      <c r="N359" s="10">
        <v>2</v>
      </c>
      <c r="O359" s="10"/>
      <c r="P359" s="18">
        <v>5</v>
      </c>
      <c r="Q359" s="22" t="s">
        <v>701</v>
      </c>
      <c r="R359">
        <v>1</v>
      </c>
      <c r="S359" s="26">
        <f>VLOOKUP($F359,Munition!$B:$P,10,FALSE)</f>
        <v>31</v>
      </c>
      <c r="T359" s="26">
        <f>VLOOKUP($F359,Munition!$B:$P,11,FALSE)</f>
        <v>859</v>
      </c>
      <c r="U359" s="28">
        <f t="shared" si="62"/>
        <v>912.06711186570226</v>
      </c>
      <c r="V359" s="26">
        <f>VLOOKUP($F359,Munition!$B:$P,5,FALSE)</f>
        <v>52</v>
      </c>
      <c r="W359" s="30">
        <f t="shared" si="64"/>
        <v>21628.526830223131</v>
      </c>
      <c r="X359" s="26">
        <f>VLOOKUP($F359,Munition!$B:$P,15,FALSE)</f>
        <v>410.49325020911692</v>
      </c>
      <c r="Y359" s="26">
        <f>VLOOKUP($F359,Munition!$B:$P,9,FALSE)</f>
        <v>1</v>
      </c>
      <c r="Z359" s="26">
        <f>VLOOKUP($F359,Munition!$B:$P,14,FALSE)</f>
        <v>2.7156353957881518E-5</v>
      </c>
      <c r="AA359" s="30">
        <f t="shared" si="65"/>
        <v>34.147554906820702</v>
      </c>
      <c r="AB359" s="30">
        <f t="shared" si="66"/>
        <v>28.711797745048376</v>
      </c>
      <c r="AC359" s="30">
        <f t="shared" si="67"/>
        <v>24.141328185928291</v>
      </c>
      <c r="AD359" s="30">
        <f t="shared" si="68"/>
        <v>12.0660259804022</v>
      </c>
      <c r="AE359" s="30">
        <f t="shared" si="69"/>
        <v>4.2635258470778714</v>
      </c>
      <c r="AF359" s="32" t="str">
        <f t="shared" si="63"/>
        <v>12D6</v>
      </c>
      <c r="AG359" s="33" t="str">
        <f t="shared" si="70"/>
        <v>2+1</v>
      </c>
      <c r="AH359" s="33" t="str">
        <f t="shared" si="71"/>
        <v>2+2</v>
      </c>
      <c r="AI359" s="33" t="str">
        <f t="shared" si="72"/>
        <v>3+1</v>
      </c>
      <c r="AJ359" s="33" t="str">
        <f t="shared" si="73"/>
        <v>7</v>
      </c>
      <c r="AK359">
        <v>1994</v>
      </c>
    </row>
    <row r="360" spans="1:37">
      <c r="A360" t="s">
        <v>575</v>
      </c>
      <c r="B360" t="s">
        <v>550</v>
      </c>
      <c r="C360" t="s">
        <v>681</v>
      </c>
      <c r="D360" t="s">
        <v>681</v>
      </c>
      <c r="F360" t="s">
        <v>10</v>
      </c>
      <c r="G360" t="s">
        <v>11</v>
      </c>
      <c r="H360">
        <v>3.5</v>
      </c>
      <c r="I360">
        <v>16.3</v>
      </c>
      <c r="J360" s="9">
        <v>50</v>
      </c>
      <c r="K360" s="9">
        <v>100</v>
      </c>
      <c r="L360" s="9">
        <v>300</v>
      </c>
      <c r="M360" s="10">
        <v>600</v>
      </c>
      <c r="N360" s="10">
        <v>2</v>
      </c>
      <c r="O360" s="10"/>
      <c r="P360" s="18">
        <v>30</v>
      </c>
      <c r="Q360" s="22" t="s">
        <v>701</v>
      </c>
      <c r="R360">
        <v>0</v>
      </c>
      <c r="S360" s="26">
        <f>VLOOKUP($F360,Munition!$B:$P,10,FALSE)</f>
        <v>20</v>
      </c>
      <c r="T360" s="26">
        <f>VLOOKUP($F360,Munition!$B:$P,11,FALSE)</f>
        <v>878</v>
      </c>
      <c r="U360" s="28">
        <f t="shared" si="62"/>
        <v>834.22637818554915</v>
      </c>
      <c r="V360" s="26">
        <f>VLOOKUP($F360,Munition!$B:$P,5,FALSE)</f>
        <v>3.56</v>
      </c>
      <c r="W360" s="30">
        <f t="shared" si="64"/>
        <v>1238.7618971078305</v>
      </c>
      <c r="X360" s="26">
        <f>VLOOKUP($F360,Munition!$B:$P,15,FALSE)</f>
        <v>146.62584685242678</v>
      </c>
      <c r="Y360" s="26">
        <f>VLOOKUP($F360,Munition!$B:$P,9,FALSE)</f>
        <v>1</v>
      </c>
      <c r="Z360" s="26">
        <f>VLOOKUP($F360,Munition!$B:$P,14,FALSE)</f>
        <v>3.7177960891755132E-6</v>
      </c>
      <c r="AA360" s="30">
        <f t="shared" si="65"/>
        <v>10.20418607932328</v>
      </c>
      <c r="AB360" s="30">
        <f t="shared" si="66"/>
        <v>9.192294342400535</v>
      </c>
      <c r="AC360" s="30">
        <f t="shared" si="67"/>
        <v>8.2807462173340376</v>
      </c>
      <c r="AD360" s="30">
        <f t="shared" si="68"/>
        <v>5.4532032567216433</v>
      </c>
      <c r="AE360" s="30">
        <f t="shared" si="69"/>
        <v>2.9142378949141685</v>
      </c>
      <c r="AF360" s="32" t="str">
        <f t="shared" si="63"/>
        <v>2D6+2</v>
      </c>
      <c r="AG360" s="33" t="str">
        <f t="shared" si="70"/>
        <v>2</v>
      </c>
      <c r="AH360" s="33" t="str">
        <f t="shared" si="71"/>
        <v>2</v>
      </c>
      <c r="AI360" s="33" t="str">
        <f t="shared" si="72"/>
        <v>2+1</v>
      </c>
      <c r="AJ360" s="33" t="str">
        <f t="shared" si="73"/>
        <v>-</v>
      </c>
      <c r="AK360">
        <v>1971</v>
      </c>
    </row>
    <row r="361" spans="1:37">
      <c r="A361" t="s">
        <v>574</v>
      </c>
      <c r="B361" t="s">
        <v>551</v>
      </c>
      <c r="C361" t="s">
        <v>681</v>
      </c>
      <c r="D361" t="s">
        <v>681</v>
      </c>
      <c r="F361" t="s">
        <v>49</v>
      </c>
      <c r="G361" t="s">
        <v>50</v>
      </c>
      <c r="H361">
        <v>49</v>
      </c>
      <c r="I361">
        <v>28</v>
      </c>
      <c r="J361" s="9">
        <v>125</v>
      </c>
      <c r="K361" s="9">
        <v>250</v>
      </c>
      <c r="L361" s="9">
        <v>750</v>
      </c>
      <c r="M361" s="10">
        <v>1500</v>
      </c>
      <c r="N361" s="10"/>
      <c r="O361" s="10">
        <v>10</v>
      </c>
      <c r="P361" s="18">
        <v>250</v>
      </c>
      <c r="Q361" s="22">
        <v>60</v>
      </c>
      <c r="R361">
        <v>10</v>
      </c>
      <c r="S361" s="26">
        <f>VLOOKUP($F361,Munition!$B:$P,10,FALSE)</f>
        <v>25</v>
      </c>
      <c r="T361" s="26">
        <f>VLOOKUP($F361,Munition!$B:$P,11,FALSE)</f>
        <v>735</v>
      </c>
      <c r="U361" s="28">
        <f t="shared" si="62"/>
        <v>756.121948370729</v>
      </c>
      <c r="V361" s="26">
        <f>VLOOKUP($F361,Munition!$B:$P,5,FALSE)</f>
        <v>11.3</v>
      </c>
      <c r="W361" s="30">
        <f t="shared" si="64"/>
        <v>3230.2202645649031</v>
      </c>
      <c r="X361" s="26">
        <f>VLOOKUP($F361,Munition!$B:$P,15,FALSE)</f>
        <v>242.66498322663753</v>
      </c>
      <c r="Y361" s="26">
        <f>VLOOKUP($F361,Munition!$B:$P,9,FALSE)</f>
        <v>1</v>
      </c>
      <c r="Z361" s="26">
        <f>VLOOKUP($F361,Munition!$B:$P,14,FALSE)</f>
        <v>7.4156764444226801E-6</v>
      </c>
      <c r="AA361" s="30">
        <f t="shared" si="65"/>
        <v>13.873652147238703</v>
      </c>
      <c r="AB361" s="30">
        <f t="shared" si="66"/>
        <v>11.774402249279852</v>
      </c>
      <c r="AC361" s="30">
        <f t="shared" si="67"/>
        <v>9.9927940283149983</v>
      </c>
      <c r="AD361" s="30">
        <f t="shared" si="68"/>
        <v>5.1841696461527835</v>
      </c>
      <c r="AE361" s="30">
        <f t="shared" si="69"/>
        <v>1.9371694370642685</v>
      </c>
      <c r="AF361" s="32" t="str">
        <f t="shared" si="63"/>
        <v>4D6+2</v>
      </c>
      <c r="AG361" s="33" t="str">
        <f t="shared" si="70"/>
        <v>2+1</v>
      </c>
      <c r="AH361" s="33" t="str">
        <f t="shared" si="71"/>
        <v>2+2</v>
      </c>
      <c r="AI361" s="33" t="str">
        <f t="shared" si="72"/>
        <v>3</v>
      </c>
      <c r="AJ361" s="33" t="str">
        <f t="shared" si="73"/>
        <v>-</v>
      </c>
      <c r="AK361">
        <v>1912</v>
      </c>
    </row>
    <row r="362" spans="1:37">
      <c r="A362" t="s">
        <v>577</v>
      </c>
      <c r="B362" t="s">
        <v>552</v>
      </c>
      <c r="C362" t="s">
        <v>681</v>
      </c>
      <c r="D362" t="s">
        <v>681</v>
      </c>
      <c r="F362" t="s">
        <v>182</v>
      </c>
      <c r="G362" t="s">
        <v>79</v>
      </c>
      <c r="H362">
        <v>2.95</v>
      </c>
      <c r="I362">
        <v>7.5</v>
      </c>
      <c r="J362" s="9">
        <v>16</v>
      </c>
      <c r="K362" s="9">
        <v>32</v>
      </c>
      <c r="L362" s="9">
        <v>96</v>
      </c>
      <c r="M362" s="10">
        <v>192</v>
      </c>
      <c r="N362" s="10">
        <v>1</v>
      </c>
      <c r="O362" s="10">
        <v>3</v>
      </c>
      <c r="P362" s="19">
        <v>36</v>
      </c>
      <c r="Q362" s="22" t="s">
        <v>715</v>
      </c>
      <c r="R362">
        <v>10</v>
      </c>
      <c r="S362" s="26">
        <f>VLOOKUP($F362,Munition!$B:$P,10,FALSE)</f>
        <v>4.5</v>
      </c>
      <c r="T362" s="26">
        <f>VLOOKUP($F362,Munition!$B:$P,11,FALSE)</f>
        <v>450</v>
      </c>
      <c r="U362" s="28">
        <f t="shared" si="62"/>
        <v>511.29871491037471</v>
      </c>
      <c r="V362" s="26">
        <f>VLOOKUP($F362,Munition!$B:$P,5,FALSE)</f>
        <v>6.75</v>
      </c>
      <c r="W362" s="30">
        <f t="shared" si="64"/>
        <v>882.31401855787715</v>
      </c>
      <c r="X362" s="26">
        <f>VLOOKUP($F362,Munition!$B:$P,15,FALSE)</f>
        <v>106.1032953945969</v>
      </c>
      <c r="Y362" s="26">
        <f>VLOOKUP($F362,Munition!$B:$P,9,FALSE)</f>
        <v>1</v>
      </c>
      <c r="Z362" s="26">
        <f>VLOOKUP($F362,Munition!$B:$P,14,FALSE)</f>
        <v>1.5586226552622361E-5</v>
      </c>
      <c r="AA362" s="30">
        <f t="shared" si="65"/>
        <v>2.7738199982767493</v>
      </c>
      <c r="AB362" s="30">
        <f t="shared" si="66"/>
        <v>2.5762508204921395</v>
      </c>
      <c r="AC362" s="30">
        <f t="shared" si="67"/>
        <v>2.3927537815033917</v>
      </c>
      <c r="AD362" s="30">
        <f t="shared" si="68"/>
        <v>1.7804815753170731</v>
      </c>
      <c r="AE362" s="30">
        <f t="shared" si="69"/>
        <v>1.142869631776041</v>
      </c>
      <c r="AF362" s="32" t="str">
        <f t="shared" si="63"/>
        <v>2D6+1</v>
      </c>
      <c r="AG362" s="33" t="str">
        <f t="shared" si="70"/>
        <v>-</v>
      </c>
      <c r="AH362" s="33" t="str">
        <f t="shared" si="71"/>
        <v>-</v>
      </c>
      <c r="AI362" s="33" t="str">
        <f t="shared" si="72"/>
        <v>-</v>
      </c>
      <c r="AJ362" s="33" t="str">
        <f t="shared" si="73"/>
        <v>-</v>
      </c>
      <c r="AK362">
        <v>1995</v>
      </c>
    </row>
    <row r="363" spans="1:37">
      <c r="A363" t="s">
        <v>577</v>
      </c>
      <c r="B363" t="s">
        <v>553</v>
      </c>
      <c r="C363" t="s">
        <v>681</v>
      </c>
      <c r="D363" t="s">
        <v>681</v>
      </c>
      <c r="F363" t="s">
        <v>17</v>
      </c>
      <c r="G363" t="s">
        <v>18</v>
      </c>
      <c r="H363">
        <v>2.6</v>
      </c>
      <c r="I363">
        <v>17</v>
      </c>
      <c r="J363" s="9">
        <v>10</v>
      </c>
      <c r="K363" s="9">
        <v>20</v>
      </c>
      <c r="L363" s="9">
        <v>60</v>
      </c>
      <c r="M363" s="10">
        <v>120</v>
      </c>
      <c r="N363" s="10"/>
      <c r="O363" s="10">
        <v>10</v>
      </c>
      <c r="P363" s="18">
        <v>177</v>
      </c>
      <c r="Q363" s="22">
        <v>100</v>
      </c>
      <c r="R363">
        <v>15</v>
      </c>
      <c r="S363" s="26">
        <f>VLOOKUP($F363,Munition!$B:$P,10,FALSE)</f>
        <v>16</v>
      </c>
      <c r="T363" s="26">
        <f>VLOOKUP($F363,Munition!$B:$P,11,FALSE)</f>
        <v>345</v>
      </c>
      <c r="U363" s="28">
        <f t="shared" si="62"/>
        <v>350.26869938989051</v>
      </c>
      <c r="V363" s="26">
        <f>VLOOKUP($F363,Munition!$B:$P,5,FALSE)</f>
        <v>2.59</v>
      </c>
      <c r="W363" s="30">
        <f t="shared" si="64"/>
        <v>158.8811694951097</v>
      </c>
      <c r="X363" s="26">
        <f>VLOOKUP($F363,Munition!$B:$P,15,FALSE)</f>
        <v>106.67442228870374</v>
      </c>
      <c r="Y363" s="26">
        <f>VLOOKUP($F363,Munition!$B:$P,9,FALSE)</f>
        <v>1</v>
      </c>
      <c r="Z363" s="26">
        <f>VLOOKUP($F363,Munition!$B:$P,14,FALSE)</f>
        <v>5.204914524845718E-6</v>
      </c>
      <c r="AA363" s="30">
        <f t="shared" si="65"/>
        <v>1.308768877872158</v>
      </c>
      <c r="AB363" s="30">
        <f t="shared" si="66"/>
        <v>1.2572094181695299</v>
      </c>
      <c r="AC363" s="30">
        <f t="shared" si="67"/>
        <v>1.2076811634640354</v>
      </c>
      <c r="AD363" s="30">
        <f t="shared" si="68"/>
        <v>1.0283263384723156</v>
      </c>
      <c r="AE363" s="30">
        <f t="shared" si="69"/>
        <v>0.80797692875699112</v>
      </c>
      <c r="AF363" s="32" t="str">
        <f t="shared" si="63"/>
        <v>1D6</v>
      </c>
      <c r="AG363" s="33" t="str">
        <f t="shared" si="70"/>
        <v>-</v>
      </c>
      <c r="AH363" s="33" t="str">
        <f t="shared" si="71"/>
        <v>-</v>
      </c>
      <c r="AI363" s="33" t="str">
        <f t="shared" si="72"/>
        <v>-</v>
      </c>
      <c r="AJ363" s="33" t="str">
        <f t="shared" si="73"/>
        <v>-</v>
      </c>
      <c r="AK363">
        <v>1975</v>
      </c>
    </row>
    <row r="364" spans="1:37">
      <c r="A364" t="s">
        <v>572</v>
      </c>
      <c r="B364" t="s">
        <v>554</v>
      </c>
      <c r="C364" t="s">
        <v>681</v>
      </c>
      <c r="D364" t="s">
        <v>681</v>
      </c>
      <c r="F364" t="s">
        <v>113</v>
      </c>
      <c r="G364" t="s">
        <v>112</v>
      </c>
      <c r="H364">
        <v>2.7</v>
      </c>
      <c r="I364">
        <v>9.1</v>
      </c>
      <c r="J364" s="9">
        <v>91</v>
      </c>
      <c r="K364" s="9">
        <v>182</v>
      </c>
      <c r="L364" s="9">
        <v>546</v>
      </c>
      <c r="M364" s="10">
        <v>1092</v>
      </c>
      <c r="N364" s="10">
        <v>1</v>
      </c>
      <c r="O364" s="10"/>
      <c r="P364" s="18">
        <v>20</v>
      </c>
      <c r="Q364" s="22" t="s">
        <v>701</v>
      </c>
      <c r="R364">
        <v>1</v>
      </c>
      <c r="S364" s="26">
        <f>VLOOKUP($F364,Munition!$B:$P,10,FALSE)</f>
        <v>12</v>
      </c>
      <c r="T364" s="26">
        <f>VLOOKUP($F364,Munition!$B:$P,11,FALSE)</f>
        <v>280</v>
      </c>
      <c r="U364" s="28">
        <f t="shared" si="62"/>
        <v>261.29016787789391</v>
      </c>
      <c r="V364" s="26">
        <f>VLOOKUP($F364,Munition!$B:$P,5,FALSE)</f>
        <v>16.8</v>
      </c>
      <c r="W364" s="30">
        <f t="shared" si="64"/>
        <v>573.48943536912714</v>
      </c>
      <c r="X364" s="26">
        <f>VLOOKUP($F364,Munition!$B:$P,15,FALSE)</f>
        <v>247.31673432247348</v>
      </c>
      <c r="Y364" s="26">
        <f>VLOOKUP($F364,Munition!$B:$P,9,FALSE)</f>
        <v>1</v>
      </c>
      <c r="Z364" s="26">
        <f>VLOOKUP($F364,Munition!$B:$P,14,FALSE)</f>
        <v>1.4562298058262588E-5</v>
      </c>
      <c r="AA364" s="30">
        <f t="shared" si="65"/>
        <v>1.6884944562372823</v>
      </c>
      <c r="AB364" s="30">
        <f t="shared" si="66"/>
        <v>1.4420692317411896</v>
      </c>
      <c r="AC364" s="30">
        <f t="shared" si="67"/>
        <v>1.231608230309988</v>
      </c>
      <c r="AD364" s="30">
        <f t="shared" si="68"/>
        <v>0.655267259894036</v>
      </c>
      <c r="AE364" s="30">
        <f t="shared" si="69"/>
        <v>0.25429469448533293</v>
      </c>
      <c r="AF364" s="32" t="str">
        <f t="shared" si="63"/>
        <v>1D6+2</v>
      </c>
      <c r="AG364" s="33" t="str">
        <f t="shared" si="70"/>
        <v>-</v>
      </c>
      <c r="AH364" s="33" t="str">
        <f t="shared" si="71"/>
        <v>-</v>
      </c>
      <c r="AI364" s="33" t="str">
        <f t="shared" si="72"/>
        <v>-</v>
      </c>
      <c r="AJ364" s="33" t="str">
        <f t="shared" si="73"/>
        <v>-</v>
      </c>
      <c r="AK364">
        <v>1994</v>
      </c>
    </row>
    <row r="365" spans="1:37">
      <c r="A365" t="s">
        <v>579</v>
      </c>
      <c r="B365" t="s">
        <v>555</v>
      </c>
      <c r="C365" t="s">
        <v>681</v>
      </c>
      <c r="D365" t="s">
        <v>681</v>
      </c>
      <c r="E365" t="s">
        <v>790</v>
      </c>
      <c r="F365" t="s">
        <v>447</v>
      </c>
      <c r="G365" t="s">
        <v>68</v>
      </c>
      <c r="H365">
        <v>4.9800000000000004</v>
      </c>
      <c r="I365">
        <v>21.5</v>
      </c>
      <c r="J365" s="9">
        <v>33</v>
      </c>
      <c r="K365" s="9">
        <v>66</v>
      </c>
      <c r="L365" s="9">
        <v>198</v>
      </c>
      <c r="M365" s="10">
        <v>396</v>
      </c>
      <c r="N365" s="10">
        <v>2</v>
      </c>
      <c r="O365" s="10"/>
      <c r="P365" s="18">
        <v>10</v>
      </c>
      <c r="Q365" s="22" t="s">
        <v>701</v>
      </c>
      <c r="R365">
        <v>1</v>
      </c>
      <c r="S365" s="26">
        <f>VLOOKUP($F365,Munition!$B:$P,10,FALSE)</f>
        <v>24</v>
      </c>
      <c r="T365" s="26">
        <f>VLOOKUP($F365,Munition!$B:$P,11,FALSE)</f>
        <v>740</v>
      </c>
      <c r="U365" s="28">
        <f t="shared" si="62"/>
        <v>719.92710396727318</v>
      </c>
      <c r="V365" s="26">
        <f>VLOOKUP($F365,Munition!$B:$P,5,FALSE)</f>
        <v>13.4</v>
      </c>
      <c r="W365" s="30">
        <f t="shared" si="64"/>
        <v>3472.5767346789235</v>
      </c>
      <c r="X365" s="26">
        <f>VLOOKUP($F365,Munition!$B:$P,15,FALSE)</f>
        <v>271.99727546059046</v>
      </c>
      <c r="Y365" s="26">
        <f>VLOOKUP($F365,Munition!$B:$P,9,FALSE)</f>
        <v>1</v>
      </c>
      <c r="Z365" s="26">
        <f>VLOOKUP($F365,Munition!$B:$P,14,FALSE)</f>
        <v>7.8454829975279935E-6</v>
      </c>
      <c r="AA365" s="30">
        <f t="shared" si="65"/>
        <v>14.097483741201504</v>
      </c>
      <c r="AB365" s="30">
        <f t="shared" si="66"/>
        <v>13.563120646477861</v>
      </c>
      <c r="AC365" s="30">
        <f t="shared" si="67"/>
        <v>13.049012508046033</v>
      </c>
      <c r="AD365" s="30">
        <f t="shared" si="68"/>
        <v>11.180204244474782</v>
      </c>
      <c r="AE365" s="30">
        <f t="shared" si="69"/>
        <v>8.8666154359769891</v>
      </c>
      <c r="AF365" s="32" t="str">
        <f t="shared" si="63"/>
        <v>4D6+2</v>
      </c>
      <c r="AG365" s="33" t="str">
        <f t="shared" si="70"/>
        <v>2+1</v>
      </c>
      <c r="AH365" s="33" t="str">
        <f t="shared" si="71"/>
        <v>2+1</v>
      </c>
      <c r="AI365" s="33" t="str">
        <f t="shared" si="72"/>
        <v>2+1</v>
      </c>
      <c r="AJ365" s="33" t="str">
        <f t="shared" si="73"/>
        <v>3</v>
      </c>
      <c r="AK365">
        <v>1941</v>
      </c>
    </row>
    <row r="366" spans="1:37">
      <c r="A366" t="s">
        <v>572</v>
      </c>
      <c r="B366" t="s">
        <v>556</v>
      </c>
      <c r="C366" t="s">
        <v>681</v>
      </c>
      <c r="D366" t="s">
        <v>681</v>
      </c>
      <c r="F366" t="s">
        <v>168</v>
      </c>
      <c r="G366" t="s">
        <v>169</v>
      </c>
      <c r="H366">
        <v>6.95</v>
      </c>
      <c r="I366">
        <v>25.6</v>
      </c>
      <c r="J366" s="9">
        <v>83</v>
      </c>
      <c r="K366" s="9">
        <v>166</v>
      </c>
      <c r="L366" s="9">
        <v>498</v>
      </c>
      <c r="M366" s="10">
        <v>996</v>
      </c>
      <c r="N366" s="10">
        <v>2</v>
      </c>
      <c r="O366" s="10"/>
      <c r="P366" s="18">
        <v>6</v>
      </c>
      <c r="Q366" s="22" t="s">
        <v>704</v>
      </c>
      <c r="R366">
        <v>1</v>
      </c>
      <c r="S366" s="26">
        <f>VLOOKUP($F366,Munition!$B:$P,10,FALSE)</f>
        <v>26</v>
      </c>
      <c r="T366" s="26">
        <f>VLOOKUP($F366,Munition!$B:$P,11,FALSE)</f>
        <v>900</v>
      </c>
      <c r="U366" s="28">
        <f t="shared" si="62"/>
        <v>896.51830998483842</v>
      </c>
      <c r="V366" s="26">
        <f>VLOOKUP($F366,Munition!$B:$P,5,FALSE)</f>
        <v>10.69</v>
      </c>
      <c r="W366" s="30">
        <f t="shared" si="64"/>
        <v>4296.0174533379886</v>
      </c>
      <c r="X366" s="26">
        <f>VLOOKUP($F366,Munition!$B:$P,15,FALSE)</f>
        <v>234.41094256065489</v>
      </c>
      <c r="Y366" s="26">
        <f>VLOOKUP($F366,Munition!$B:$P,9,FALSE)</f>
        <v>1</v>
      </c>
      <c r="Z366" s="26">
        <f>VLOOKUP($F366,Munition!$B:$P,14,FALSE)</f>
        <v>6.9830624463123905E-6</v>
      </c>
      <c r="AA366" s="30">
        <f t="shared" si="65"/>
        <v>18.84066418136543</v>
      </c>
      <c r="AB366" s="30">
        <f t="shared" si="66"/>
        <v>16.9045162217332</v>
      </c>
      <c r="AC366" s="30">
        <f t="shared" si="67"/>
        <v>15.16733518203025</v>
      </c>
      <c r="AD366" s="30">
        <f t="shared" si="68"/>
        <v>9.8295907263621221</v>
      </c>
      <c r="AE366" s="30">
        <f t="shared" si="69"/>
        <v>5.128314634647972</v>
      </c>
      <c r="AF366" s="32" t="str">
        <f t="shared" si="63"/>
        <v>5D6+1</v>
      </c>
      <c r="AG366" s="33" t="str">
        <f t="shared" si="70"/>
        <v>2</v>
      </c>
      <c r="AH366" s="33" t="str">
        <f t="shared" si="71"/>
        <v>2</v>
      </c>
      <c r="AI366" s="33" t="str">
        <f t="shared" si="72"/>
        <v>2+1</v>
      </c>
      <c r="AJ366" s="33" t="str">
        <f t="shared" si="73"/>
        <v>3+2</v>
      </c>
      <c r="AK366">
        <v>1982</v>
      </c>
    </row>
    <row r="367" spans="1:37">
      <c r="A367" t="s">
        <v>577</v>
      </c>
      <c r="B367" t="s">
        <v>557</v>
      </c>
      <c r="C367" t="s">
        <v>681</v>
      </c>
      <c r="D367" t="s">
        <v>681</v>
      </c>
      <c r="F367" t="s">
        <v>182</v>
      </c>
      <c r="G367" t="s">
        <v>79</v>
      </c>
      <c r="H367">
        <v>2.8</v>
      </c>
      <c r="I367">
        <v>8</v>
      </c>
      <c r="J367" s="9">
        <v>12</v>
      </c>
      <c r="K367" s="9">
        <v>24</v>
      </c>
      <c r="L367" s="9">
        <v>72</v>
      </c>
      <c r="M367" s="10">
        <v>144</v>
      </c>
      <c r="N367" s="10">
        <v>1</v>
      </c>
      <c r="O367" s="10">
        <v>3</v>
      </c>
      <c r="P367" s="19">
        <v>32</v>
      </c>
      <c r="Q367" s="22" t="s">
        <v>755</v>
      </c>
      <c r="R367">
        <v>5</v>
      </c>
      <c r="S367" s="26">
        <f>VLOOKUP($F367,Munition!$B:$P,10,FALSE)</f>
        <v>4.5</v>
      </c>
      <c r="T367" s="26">
        <f>VLOOKUP($F367,Munition!$B:$P,11,FALSE)</f>
        <v>450</v>
      </c>
      <c r="U367" s="28">
        <f t="shared" si="62"/>
        <v>519.6152422706632</v>
      </c>
      <c r="V367" s="26">
        <f>VLOOKUP($F367,Munition!$B:$P,5,FALSE)</f>
        <v>6.75</v>
      </c>
      <c r="W367" s="30">
        <f t="shared" si="64"/>
        <v>911.25</v>
      </c>
      <c r="X367" s="26">
        <f>VLOOKUP($F367,Munition!$B:$P,15,FALSE)</f>
        <v>106.1032953945969</v>
      </c>
      <c r="Y367" s="26">
        <f>VLOOKUP($F367,Munition!$B:$P,9,FALSE)</f>
        <v>1</v>
      </c>
      <c r="Z367" s="26">
        <f>VLOOKUP($F367,Munition!$B:$P,14,FALSE)</f>
        <v>1.5586226552622361E-5</v>
      </c>
      <c r="AA367" s="30">
        <f t="shared" si="65"/>
        <v>2.8647889756541161</v>
      </c>
      <c r="AB367" s="30">
        <f t="shared" si="66"/>
        <v>2.7103478838508384</v>
      </c>
      <c r="AC367" s="30">
        <f t="shared" si="67"/>
        <v>2.5642327284568704</v>
      </c>
      <c r="AD367" s="30">
        <f t="shared" si="68"/>
        <v>2.054409636221485</v>
      </c>
      <c r="AE367" s="30">
        <f t="shared" si="69"/>
        <v>1.4732669628610287</v>
      </c>
      <c r="AF367" s="32" t="str">
        <f t="shared" si="63"/>
        <v>2D6+1</v>
      </c>
      <c r="AG367" s="33" t="str">
        <f t="shared" si="70"/>
        <v>-</v>
      </c>
      <c r="AH367" s="33" t="str">
        <f t="shared" si="71"/>
        <v>-</v>
      </c>
      <c r="AI367" s="33" t="str">
        <f t="shared" si="72"/>
        <v>-</v>
      </c>
      <c r="AJ367" s="33" t="str">
        <f t="shared" si="73"/>
        <v>-</v>
      </c>
      <c r="AK367">
        <v>1963</v>
      </c>
    </row>
    <row r="368" spans="1:37">
      <c r="A368" t="s">
        <v>577</v>
      </c>
      <c r="B368" t="s">
        <v>558</v>
      </c>
      <c r="C368" t="s">
        <v>681</v>
      </c>
      <c r="D368" t="s">
        <v>681</v>
      </c>
      <c r="F368" t="s">
        <v>182</v>
      </c>
      <c r="G368" t="s">
        <v>79</v>
      </c>
      <c r="H368">
        <v>3</v>
      </c>
      <c r="I368">
        <v>9.8000000000000007</v>
      </c>
      <c r="J368" s="9">
        <v>25</v>
      </c>
      <c r="K368" s="9">
        <v>50</v>
      </c>
      <c r="L368" s="9">
        <v>150</v>
      </c>
      <c r="M368" s="10">
        <v>300</v>
      </c>
      <c r="N368" s="10">
        <v>1</v>
      </c>
      <c r="O368" s="10">
        <v>3</v>
      </c>
      <c r="P368" s="19">
        <v>32</v>
      </c>
      <c r="Q368" s="22" t="s">
        <v>755</v>
      </c>
      <c r="R368">
        <v>5</v>
      </c>
      <c r="S368" s="26">
        <f>VLOOKUP($F368,Munition!$B:$P,10,FALSE)</f>
        <v>4.5</v>
      </c>
      <c r="T368" s="26">
        <f>VLOOKUP($F368,Munition!$B:$P,11,FALSE)</f>
        <v>450</v>
      </c>
      <c r="U368" s="28">
        <f t="shared" si="62"/>
        <v>546.65824688365569</v>
      </c>
      <c r="V368" s="26">
        <f>VLOOKUP($F368,Munition!$B:$P,5,FALSE)</f>
        <v>6.75</v>
      </c>
      <c r="W368" s="30">
        <f t="shared" si="64"/>
        <v>1008.5689312399526</v>
      </c>
      <c r="X368" s="26">
        <f>VLOOKUP($F368,Munition!$B:$P,15,FALSE)</f>
        <v>106.1032953945969</v>
      </c>
      <c r="Y368" s="26">
        <f>VLOOKUP($F368,Munition!$B:$P,9,FALSE)</f>
        <v>1</v>
      </c>
      <c r="Z368" s="26">
        <f>VLOOKUP($F368,Munition!$B:$P,14,FALSE)</f>
        <v>1.5586226552622361E-5</v>
      </c>
      <c r="AA368" s="30">
        <f t="shared" si="65"/>
        <v>3.1707403625826833</v>
      </c>
      <c r="AB368" s="30">
        <f t="shared" si="66"/>
        <v>2.8250090933148573</v>
      </c>
      <c r="AC368" s="30">
        <f t="shared" si="67"/>
        <v>2.5169756790843261</v>
      </c>
      <c r="AD368" s="30">
        <f t="shared" si="68"/>
        <v>1.5860456935655671</v>
      </c>
      <c r="AE368" s="30">
        <f t="shared" si="69"/>
        <v>0.79336074683481195</v>
      </c>
      <c r="AF368" s="32" t="str">
        <f t="shared" si="63"/>
        <v>2D6+1</v>
      </c>
      <c r="AG368" s="33" t="str">
        <f t="shared" si="70"/>
        <v>-</v>
      </c>
      <c r="AH368" s="33" t="str">
        <f t="shared" si="71"/>
        <v>-</v>
      </c>
      <c r="AI368" s="33" t="str">
        <f t="shared" si="72"/>
        <v>-</v>
      </c>
      <c r="AJ368" s="33" t="str">
        <f t="shared" si="73"/>
        <v>-</v>
      </c>
      <c r="AK368">
        <v>1963</v>
      </c>
    </row>
    <row r="369" spans="1:37">
      <c r="A369" t="s">
        <v>571</v>
      </c>
      <c r="B369" t="s">
        <v>559</v>
      </c>
      <c r="C369" t="s">
        <v>681</v>
      </c>
      <c r="D369" t="s">
        <v>681</v>
      </c>
      <c r="F369" t="s">
        <v>182</v>
      </c>
      <c r="G369" t="s">
        <v>79</v>
      </c>
      <c r="H369">
        <v>0.88</v>
      </c>
      <c r="I369">
        <v>4.9000000000000004</v>
      </c>
      <c r="J369" s="9">
        <v>5</v>
      </c>
      <c r="K369" s="9">
        <v>10</v>
      </c>
      <c r="L369" s="9">
        <v>30</v>
      </c>
      <c r="M369" s="10">
        <v>60</v>
      </c>
      <c r="N369" s="10">
        <v>3</v>
      </c>
      <c r="O369" s="10"/>
      <c r="P369" s="18">
        <v>8</v>
      </c>
      <c r="Q369" s="22" t="s">
        <v>701</v>
      </c>
      <c r="R369">
        <v>1</v>
      </c>
      <c r="S369" s="26">
        <f>VLOOKUP($F369,Munition!$B:$P,10,FALSE)</f>
        <v>4.5</v>
      </c>
      <c r="T369" s="26">
        <f>VLOOKUP($F369,Munition!$B:$P,11,FALSE)</f>
        <v>450</v>
      </c>
      <c r="U369" s="28">
        <f t="shared" si="62"/>
        <v>459.68296017334609</v>
      </c>
      <c r="V369" s="26">
        <f>VLOOKUP($F369,Munition!$B:$P,5,FALSE)</f>
        <v>6.75</v>
      </c>
      <c r="W369" s="30">
        <f t="shared" si="64"/>
        <v>713.16593057383909</v>
      </c>
      <c r="X369" s="26">
        <f>VLOOKUP($F369,Munition!$B:$P,15,FALSE)</f>
        <v>106.1032953945969</v>
      </c>
      <c r="Y369" s="26">
        <f>VLOOKUP($F369,Munition!$B:$P,9,FALSE)</f>
        <v>1</v>
      </c>
      <c r="Z369" s="26">
        <f>VLOOKUP($F369,Munition!$B:$P,14,FALSE)</f>
        <v>1.5586226552622361E-5</v>
      </c>
      <c r="AA369" s="30">
        <f t="shared" si="65"/>
        <v>2.2420520117641072</v>
      </c>
      <c r="AB369" s="30">
        <f t="shared" si="66"/>
        <v>2.1908745832739327</v>
      </c>
      <c r="AC369" s="30">
        <f t="shared" si="67"/>
        <v>2.140865338738958</v>
      </c>
      <c r="AD369" s="30">
        <f t="shared" si="68"/>
        <v>1.951985944071402</v>
      </c>
      <c r="AE369" s="30">
        <f t="shared" si="69"/>
        <v>1.6994472500458699</v>
      </c>
      <c r="AF369" s="32" t="str">
        <f t="shared" si="63"/>
        <v>2D6</v>
      </c>
      <c r="AG369" s="33" t="str">
        <f t="shared" si="70"/>
        <v>-</v>
      </c>
      <c r="AH369" s="33" t="str">
        <f t="shared" si="71"/>
        <v>-</v>
      </c>
      <c r="AI369" s="33" t="str">
        <f t="shared" si="72"/>
        <v>-</v>
      </c>
      <c r="AJ369" s="33" t="str">
        <f t="shared" si="73"/>
        <v>-</v>
      </c>
      <c r="AK369">
        <v>1938</v>
      </c>
    </row>
    <row r="370" spans="1:37">
      <c r="A370" t="s">
        <v>577</v>
      </c>
      <c r="B370" t="s">
        <v>560</v>
      </c>
      <c r="C370" t="s">
        <v>681</v>
      </c>
      <c r="D370" t="s">
        <v>681</v>
      </c>
      <c r="F370" t="s">
        <v>182</v>
      </c>
      <c r="G370" t="s">
        <v>79</v>
      </c>
      <c r="H370">
        <v>2.87</v>
      </c>
      <c r="I370">
        <v>7.5</v>
      </c>
      <c r="J370" s="9">
        <v>5</v>
      </c>
      <c r="K370" s="9">
        <v>10</v>
      </c>
      <c r="L370" s="9">
        <v>30</v>
      </c>
      <c r="M370" s="10">
        <v>60</v>
      </c>
      <c r="N370" s="10">
        <v>1</v>
      </c>
      <c r="O370" s="10">
        <v>3</v>
      </c>
      <c r="P370" s="19">
        <v>25</v>
      </c>
      <c r="Q370" s="22" t="s">
        <v>755</v>
      </c>
      <c r="R370">
        <v>5</v>
      </c>
      <c r="S370" s="26">
        <f>VLOOKUP($F370,Munition!$B:$P,10,FALSE)</f>
        <v>4.5</v>
      </c>
      <c r="T370" s="26">
        <f>VLOOKUP($F370,Munition!$B:$P,11,FALSE)</f>
        <v>450</v>
      </c>
      <c r="U370" s="28">
        <f t="shared" si="62"/>
        <v>511.29871491037471</v>
      </c>
      <c r="V370" s="26">
        <f>VLOOKUP($F370,Munition!$B:$P,5,FALSE)</f>
        <v>6.75</v>
      </c>
      <c r="W370" s="30">
        <f t="shared" si="64"/>
        <v>882.31401855787715</v>
      </c>
      <c r="X370" s="26">
        <f>VLOOKUP($F370,Munition!$B:$P,15,FALSE)</f>
        <v>106.1032953945969</v>
      </c>
      <c r="Y370" s="26">
        <f>VLOOKUP($F370,Munition!$B:$P,9,FALSE)</f>
        <v>1</v>
      </c>
      <c r="Z370" s="26">
        <f>VLOOKUP($F370,Munition!$B:$P,14,FALSE)</f>
        <v>1.5586226552622361E-5</v>
      </c>
      <c r="AA370" s="30">
        <f t="shared" si="65"/>
        <v>2.7738199982767493</v>
      </c>
      <c r="AB370" s="30">
        <f t="shared" si="66"/>
        <v>2.7105043508869593</v>
      </c>
      <c r="AC370" s="30">
        <f t="shared" si="67"/>
        <v>2.6486339563278789</v>
      </c>
      <c r="AD370" s="30">
        <f t="shared" si="68"/>
        <v>2.4149563077085499</v>
      </c>
      <c r="AE370" s="30">
        <f t="shared" si="69"/>
        <v>2.102520701330469</v>
      </c>
      <c r="AF370" s="32" t="str">
        <f t="shared" si="63"/>
        <v>2D6+1</v>
      </c>
      <c r="AG370" s="33" t="str">
        <f t="shared" si="70"/>
        <v>-</v>
      </c>
      <c r="AH370" s="33" t="str">
        <f t="shared" si="71"/>
        <v>-</v>
      </c>
      <c r="AI370" s="33" t="str">
        <f t="shared" si="72"/>
        <v>-</v>
      </c>
      <c r="AJ370" s="33" t="str">
        <f t="shared" si="73"/>
        <v>-</v>
      </c>
      <c r="AK370">
        <v>1962</v>
      </c>
    </row>
    <row r="371" spans="1:37">
      <c r="A371" t="s">
        <v>577</v>
      </c>
      <c r="B371" t="s">
        <v>561</v>
      </c>
      <c r="C371" t="s">
        <v>681</v>
      </c>
      <c r="D371" t="s">
        <v>681</v>
      </c>
      <c r="F371" t="s">
        <v>182</v>
      </c>
      <c r="G371" t="s">
        <v>79</v>
      </c>
      <c r="H371">
        <v>3.15</v>
      </c>
      <c r="I371">
        <v>11</v>
      </c>
      <c r="J371" s="9">
        <v>5</v>
      </c>
      <c r="K371" s="9">
        <v>10</v>
      </c>
      <c r="L371" s="9">
        <v>30</v>
      </c>
      <c r="M371" s="10">
        <v>60</v>
      </c>
      <c r="N371" s="10">
        <v>1</v>
      </c>
      <c r="O371" s="10">
        <v>3</v>
      </c>
      <c r="P371" s="19">
        <v>25</v>
      </c>
      <c r="Q371" s="22" t="s">
        <v>729</v>
      </c>
      <c r="R371">
        <v>5</v>
      </c>
      <c r="S371" s="26">
        <f>VLOOKUP($F371,Munition!$B:$P,10,FALSE)</f>
        <v>4.5</v>
      </c>
      <c r="T371" s="26">
        <f>VLOOKUP($F371,Munition!$B:$P,11,FALSE)</f>
        <v>450</v>
      </c>
      <c r="U371" s="28">
        <f t="shared" si="62"/>
        <v>562.67491839256661</v>
      </c>
      <c r="V371" s="26">
        <f>VLOOKUP($F371,Munition!$B:$P,5,FALSE)</f>
        <v>6.75</v>
      </c>
      <c r="W371" s="30">
        <f t="shared" si="64"/>
        <v>1068.5353402847752</v>
      </c>
      <c r="X371" s="26">
        <f>VLOOKUP($F371,Munition!$B:$P,15,FALSE)</f>
        <v>106.1032953945969</v>
      </c>
      <c r="Y371" s="26">
        <f>VLOOKUP($F371,Munition!$B:$P,9,FALSE)</f>
        <v>1</v>
      </c>
      <c r="Z371" s="26">
        <f>VLOOKUP($F371,Munition!$B:$P,14,FALSE)</f>
        <v>1.5586226552622361E-5</v>
      </c>
      <c r="AA371" s="30">
        <f t="shared" si="65"/>
        <v>3.3592628399941216</v>
      </c>
      <c r="AB371" s="30">
        <f t="shared" si="66"/>
        <v>3.2825837830982785</v>
      </c>
      <c r="AC371" s="30">
        <f t="shared" si="67"/>
        <v>3.2076550143002982</v>
      </c>
      <c r="AD371" s="30">
        <f t="shared" si="68"/>
        <v>2.9246573280655048</v>
      </c>
      <c r="AE371" s="30">
        <f t="shared" si="69"/>
        <v>2.5462790183522008</v>
      </c>
      <c r="AF371" s="32" t="str">
        <f t="shared" si="63"/>
        <v>2D6+2</v>
      </c>
      <c r="AG371" s="33" t="str">
        <f t="shared" si="70"/>
        <v>-</v>
      </c>
      <c r="AH371" s="33" t="str">
        <f t="shared" si="71"/>
        <v>-</v>
      </c>
      <c r="AI371" s="33" t="str">
        <f t="shared" si="72"/>
        <v>-</v>
      </c>
      <c r="AJ371" s="33" t="str">
        <f t="shared" si="73"/>
        <v>-</v>
      </c>
      <c r="AK371">
        <v>1984</v>
      </c>
    </row>
    <row r="372" spans="1:37">
      <c r="A372" t="s">
        <v>577</v>
      </c>
      <c r="B372" t="s">
        <v>562</v>
      </c>
      <c r="C372" t="s">
        <v>681</v>
      </c>
      <c r="D372" t="s">
        <v>681</v>
      </c>
      <c r="F372" t="s">
        <v>182</v>
      </c>
      <c r="G372" t="s">
        <v>79</v>
      </c>
      <c r="H372">
        <v>3.1</v>
      </c>
      <c r="I372">
        <v>7.5</v>
      </c>
      <c r="J372" s="9">
        <v>5</v>
      </c>
      <c r="K372" s="9">
        <v>10</v>
      </c>
      <c r="L372" s="9">
        <v>30</v>
      </c>
      <c r="M372" s="10">
        <v>60</v>
      </c>
      <c r="N372" s="10">
        <v>1</v>
      </c>
      <c r="O372" s="10">
        <v>3</v>
      </c>
      <c r="P372" s="19">
        <v>20</v>
      </c>
      <c r="Q372" s="22" t="s">
        <v>729</v>
      </c>
      <c r="R372">
        <v>5</v>
      </c>
      <c r="S372" s="26">
        <f>VLOOKUP($F372,Munition!$B:$P,10,FALSE)</f>
        <v>4.5</v>
      </c>
      <c r="T372" s="26">
        <f>VLOOKUP($F372,Munition!$B:$P,11,FALSE)</f>
        <v>450</v>
      </c>
      <c r="U372" s="28">
        <f t="shared" si="62"/>
        <v>511.29871491037471</v>
      </c>
      <c r="V372" s="26">
        <f>VLOOKUP($F372,Munition!$B:$P,5,FALSE)</f>
        <v>6.75</v>
      </c>
      <c r="W372" s="30">
        <f t="shared" si="64"/>
        <v>882.31401855787715</v>
      </c>
      <c r="X372" s="26">
        <f>VLOOKUP($F372,Munition!$B:$P,15,FALSE)</f>
        <v>106.1032953945969</v>
      </c>
      <c r="Y372" s="26">
        <f>VLOOKUP($F372,Munition!$B:$P,9,FALSE)</f>
        <v>1</v>
      </c>
      <c r="Z372" s="26">
        <f>VLOOKUP($F372,Munition!$B:$P,14,FALSE)</f>
        <v>1.5586226552622361E-5</v>
      </c>
      <c r="AA372" s="30">
        <f t="shared" si="65"/>
        <v>2.7738199982767493</v>
      </c>
      <c r="AB372" s="30">
        <f t="shared" si="66"/>
        <v>2.7105043508869593</v>
      </c>
      <c r="AC372" s="30">
        <f t="shared" si="67"/>
        <v>2.6486339563278789</v>
      </c>
      <c r="AD372" s="30">
        <f t="shared" si="68"/>
        <v>2.4149563077085499</v>
      </c>
      <c r="AE372" s="30">
        <f t="shared" si="69"/>
        <v>2.102520701330469</v>
      </c>
      <c r="AF372" s="32" t="str">
        <f t="shared" si="63"/>
        <v>2D6+1</v>
      </c>
      <c r="AG372" s="33" t="str">
        <f t="shared" si="70"/>
        <v>-</v>
      </c>
      <c r="AH372" s="33" t="str">
        <f t="shared" si="71"/>
        <v>-</v>
      </c>
      <c r="AI372" s="33" t="str">
        <f t="shared" si="72"/>
        <v>-</v>
      </c>
      <c r="AJ372" s="33" t="str">
        <f t="shared" si="73"/>
        <v>-</v>
      </c>
      <c r="AK372">
        <v>1984</v>
      </c>
    </row>
    <row r="373" spans="1:37">
      <c r="A373" t="s">
        <v>572</v>
      </c>
      <c r="B373" t="s">
        <v>563</v>
      </c>
      <c r="C373" t="s">
        <v>681</v>
      </c>
      <c r="D373" t="s">
        <v>681</v>
      </c>
      <c r="F373" t="s">
        <v>130</v>
      </c>
      <c r="G373" t="s">
        <v>131</v>
      </c>
      <c r="H373">
        <v>12.9</v>
      </c>
      <c r="I373">
        <v>33</v>
      </c>
      <c r="J373" s="9">
        <v>183</v>
      </c>
      <c r="K373" s="9">
        <v>366</v>
      </c>
      <c r="L373" s="9">
        <v>1098</v>
      </c>
      <c r="M373" s="10">
        <v>2196</v>
      </c>
      <c r="N373" s="10">
        <v>2</v>
      </c>
      <c r="O373" s="10"/>
      <c r="P373" s="18">
        <v>2</v>
      </c>
      <c r="Q373" s="22" t="s">
        <v>699</v>
      </c>
      <c r="R373">
        <v>1</v>
      </c>
      <c r="S373" s="26">
        <f>VLOOKUP($F373,Munition!$B:$P,10,FALSE)</f>
        <v>30</v>
      </c>
      <c r="T373" s="26">
        <f>VLOOKUP($F373,Munition!$B:$P,11,FALSE)</f>
        <v>903</v>
      </c>
      <c r="U373" s="28">
        <f t="shared" si="62"/>
        <v>924.77466124325395</v>
      </c>
      <c r="V373" s="26">
        <f>VLOOKUP($F373,Munition!$B:$P,5,FALSE)</f>
        <v>42</v>
      </c>
      <c r="W373" s="30">
        <f t="shared" si="64"/>
        <v>17959.371655629078</v>
      </c>
      <c r="X373" s="26">
        <f>VLOOKUP($F373,Munition!$B:$P,15,FALSE)</f>
        <v>331.55224055351755</v>
      </c>
      <c r="Y373" s="26">
        <f>VLOOKUP($F373,Munition!$B:$P,9,FALSE)</f>
        <v>1</v>
      </c>
      <c r="Z373" s="26">
        <f>VLOOKUP($F373,Munition!$B:$P,14,FALSE)</f>
        <v>2.7156353957881518E-5</v>
      </c>
      <c r="AA373" s="30">
        <f t="shared" si="65"/>
        <v>28.35461862551027</v>
      </c>
      <c r="AB373" s="30">
        <f t="shared" si="66"/>
        <v>22.379418153383195</v>
      </c>
      <c r="AC373" s="30">
        <f t="shared" si="67"/>
        <v>17.663378354642362</v>
      </c>
      <c r="AD373" s="30">
        <f t="shared" si="68"/>
        <v>6.8544670738534759</v>
      </c>
      <c r="AE373" s="30">
        <f t="shared" si="69"/>
        <v>1.657004084134315</v>
      </c>
      <c r="AF373" s="32" t="str">
        <f t="shared" si="63"/>
        <v>11D6</v>
      </c>
      <c r="AG373" s="33" t="str">
        <f t="shared" si="70"/>
        <v>2+2</v>
      </c>
      <c r="AH373" s="33" t="str">
        <f t="shared" si="71"/>
        <v>3+1</v>
      </c>
      <c r="AI373" s="33" t="str">
        <f t="shared" si="72"/>
        <v>4+1</v>
      </c>
      <c r="AJ373" s="33" t="str">
        <f t="shared" si="73"/>
        <v>-</v>
      </c>
      <c r="AK373">
        <v>1999</v>
      </c>
    </row>
    <row r="374" spans="1:37">
      <c r="A374" t="s">
        <v>572</v>
      </c>
      <c r="B374" t="s">
        <v>564</v>
      </c>
      <c r="C374" t="s">
        <v>681</v>
      </c>
      <c r="D374" t="s">
        <v>681</v>
      </c>
      <c r="F374" t="s">
        <v>51</v>
      </c>
      <c r="G374" t="s">
        <v>52</v>
      </c>
      <c r="H374">
        <v>4.76</v>
      </c>
      <c r="I374">
        <v>20</v>
      </c>
      <c r="J374" s="9">
        <v>133</v>
      </c>
      <c r="K374" s="9">
        <v>266</v>
      </c>
      <c r="L374" s="9">
        <v>798</v>
      </c>
      <c r="M374" s="10">
        <v>1596</v>
      </c>
      <c r="N374" s="10">
        <v>2</v>
      </c>
      <c r="O374" s="10"/>
      <c r="P374" s="18">
        <v>20</v>
      </c>
      <c r="Q374" s="22" t="s">
        <v>704</v>
      </c>
      <c r="R374">
        <v>1</v>
      </c>
      <c r="S374" s="26">
        <f>VLOOKUP($F374,Munition!$B:$P,10,FALSE)</f>
        <v>22</v>
      </c>
      <c r="T374" s="26">
        <f>VLOOKUP($F374,Munition!$B:$P,11,FALSE)</f>
        <v>832</v>
      </c>
      <c r="U374" s="28">
        <f t="shared" si="62"/>
        <v>812.40980261069035</v>
      </c>
      <c r="V374" s="26">
        <f>VLOOKUP($F374,Munition!$B:$P,5,FALSE)</f>
        <v>9.4499999999999993</v>
      </c>
      <c r="W374" s="30">
        <f t="shared" si="64"/>
        <v>3118.5457728607707</v>
      </c>
      <c r="X374" s="26">
        <f>VLOOKUP($F374,Munition!$B:$P,15,FALSE)</f>
        <v>207.22015034594844</v>
      </c>
      <c r="Y374" s="26">
        <f>VLOOKUP($F374,Munition!$B:$P,9,FALSE)</f>
        <v>1</v>
      </c>
      <c r="Z374" s="26">
        <f>VLOOKUP($F374,Munition!$B:$P,14,FALSE)</f>
        <v>6.9830624463123905E-6</v>
      </c>
      <c r="AA374" s="30">
        <f t="shared" si="65"/>
        <v>13.676730664823932</v>
      </c>
      <c r="AB374" s="30">
        <f t="shared" si="66"/>
        <v>11.236142828833437</v>
      </c>
      <c r="AC374" s="30">
        <f t="shared" si="67"/>
        <v>9.2310734753779951</v>
      </c>
      <c r="AD374" s="30">
        <f t="shared" si="68"/>
        <v>4.2052520809849767</v>
      </c>
      <c r="AE374" s="30">
        <f t="shared" si="69"/>
        <v>1.2930096744620025</v>
      </c>
      <c r="AF374" s="32" t="str">
        <f t="shared" si="63"/>
        <v>4D6+1</v>
      </c>
      <c r="AG374" s="33" t="str">
        <f t="shared" si="70"/>
        <v>2+1</v>
      </c>
      <c r="AH374" s="33" t="str">
        <f t="shared" si="71"/>
        <v>2+2</v>
      </c>
      <c r="AI374" s="33" t="str">
        <f t="shared" si="72"/>
        <v>3+1</v>
      </c>
      <c r="AJ374" s="33" t="str">
        <f t="shared" si="73"/>
        <v>-</v>
      </c>
      <c r="AK374">
        <v>2018</v>
      </c>
    </row>
    <row r="375" spans="1:37">
      <c r="A375" t="s">
        <v>574</v>
      </c>
      <c r="B375" t="s">
        <v>688</v>
      </c>
      <c r="C375" t="s">
        <v>681</v>
      </c>
      <c r="D375" t="s">
        <v>681</v>
      </c>
      <c r="E375" t="s">
        <v>766</v>
      </c>
      <c r="F375" t="s">
        <v>447</v>
      </c>
      <c r="G375" t="s">
        <v>68</v>
      </c>
      <c r="H375">
        <v>12</v>
      </c>
      <c r="I375">
        <v>24</v>
      </c>
      <c r="J375" s="9">
        <v>200</v>
      </c>
      <c r="K375" s="9">
        <v>400</v>
      </c>
      <c r="L375" s="9">
        <v>1200</v>
      </c>
      <c r="M375" s="9">
        <v>2400</v>
      </c>
      <c r="N375" s="9">
        <v>1</v>
      </c>
      <c r="O375" s="9">
        <v>25</v>
      </c>
      <c r="P375" s="20">
        <v>75</v>
      </c>
      <c r="Q375" s="21" t="s">
        <v>695</v>
      </c>
      <c r="R375">
        <v>15</v>
      </c>
      <c r="S375" s="26">
        <f>VLOOKUP($F375,Munition!$B:$P,10,FALSE)</f>
        <v>24</v>
      </c>
      <c r="T375" s="26">
        <f>VLOOKUP($F375,Munition!$B:$P,11,FALSE)</f>
        <v>740</v>
      </c>
      <c r="U375" s="28">
        <f t="shared" si="62"/>
        <v>740</v>
      </c>
      <c r="V375" s="26">
        <f>VLOOKUP($F375,Munition!$B:$P,5,FALSE)</f>
        <v>13.4</v>
      </c>
      <c r="W375" s="30">
        <f t="shared" si="64"/>
        <v>3668.92</v>
      </c>
      <c r="X375" s="26">
        <f>VLOOKUP($F375,Munition!$B:$P,15,FALSE)</f>
        <v>271.99727546059046</v>
      </c>
      <c r="Y375" s="26">
        <f>VLOOKUP($F375,Munition!$B:$P,9,FALSE)</f>
        <v>1</v>
      </c>
      <c r="Z375" s="26">
        <f>VLOOKUP($F375,Munition!$B:$P,14,FALSE)</f>
        <v>7.8454829975279935E-6</v>
      </c>
      <c r="AA375" s="30">
        <f t="shared" si="65"/>
        <v>14.894570804221933</v>
      </c>
      <c r="AB375" s="30">
        <f t="shared" si="66"/>
        <v>11.784713772843881</v>
      </c>
      <c r="AC375" s="30">
        <f t="shared" si="67"/>
        <v>9.3241678819298528</v>
      </c>
      <c r="AD375" s="30">
        <f t="shared" si="68"/>
        <v>3.6540481569442567</v>
      </c>
      <c r="AE375" s="30">
        <f t="shared" si="69"/>
        <v>0.89643858213645311</v>
      </c>
      <c r="AF375" s="32" t="str">
        <f t="shared" si="63"/>
        <v>5D6</v>
      </c>
      <c r="AG375" s="33" t="str">
        <f t="shared" si="70"/>
        <v>2+1</v>
      </c>
      <c r="AH375" s="33" t="str">
        <f t="shared" si="71"/>
        <v>2+2</v>
      </c>
      <c r="AI375" s="33" t="str">
        <f t="shared" si="72"/>
        <v>3+2</v>
      </c>
      <c r="AJ375" s="33" t="str">
        <f t="shared" si="73"/>
        <v>-</v>
      </c>
      <c r="AK375">
        <v>1934</v>
      </c>
    </row>
    <row r="376" spans="1:37">
      <c r="A376" t="s">
        <v>574</v>
      </c>
      <c r="B376" t="s">
        <v>689</v>
      </c>
      <c r="C376" t="s">
        <v>681</v>
      </c>
      <c r="D376" t="s">
        <v>681</v>
      </c>
      <c r="E376" t="s">
        <v>767</v>
      </c>
      <c r="F376" t="s">
        <v>447</v>
      </c>
      <c r="G376" t="s">
        <v>68</v>
      </c>
      <c r="H376">
        <v>11.5</v>
      </c>
      <c r="I376">
        <v>21.7</v>
      </c>
      <c r="J376" s="9">
        <v>366</v>
      </c>
      <c r="K376" s="9">
        <v>732</v>
      </c>
      <c r="L376" s="9">
        <v>2196</v>
      </c>
      <c r="M376" s="9">
        <v>4392</v>
      </c>
      <c r="O376" s="9">
        <v>50</v>
      </c>
      <c r="P376" s="17">
        <v>250</v>
      </c>
      <c r="Q376" s="21">
        <v>50</v>
      </c>
      <c r="R376">
        <v>15</v>
      </c>
      <c r="S376" s="26">
        <f>VLOOKUP($F376,Munition!$B:$P,10,FALSE)</f>
        <v>24</v>
      </c>
      <c r="T376" s="26">
        <f>VLOOKUP($F376,Munition!$B:$P,11,FALSE)</f>
        <v>740</v>
      </c>
      <c r="U376" s="28">
        <f t="shared" si="62"/>
        <v>721.59554413333797</v>
      </c>
      <c r="V376" s="26">
        <f>VLOOKUP($F376,Munition!$B:$P,5,FALSE)</f>
        <v>13.4</v>
      </c>
      <c r="W376" s="30">
        <f t="shared" si="64"/>
        <v>3488.6908663976901</v>
      </c>
      <c r="X376" s="26">
        <f>VLOOKUP($F376,Munition!$B:$P,15,FALSE)</f>
        <v>271.99727546059046</v>
      </c>
      <c r="Y376" s="26">
        <f>VLOOKUP($F376,Munition!$B:$P,9,FALSE)</f>
        <v>1</v>
      </c>
      <c r="Z376" s="26">
        <f>VLOOKUP($F376,Munition!$B:$P,14,FALSE)</f>
        <v>7.8454829975279935E-6</v>
      </c>
      <c r="AA376" s="30">
        <f t="shared" si="65"/>
        <v>14.162901650513708</v>
      </c>
      <c r="AB376" s="30">
        <f t="shared" si="66"/>
        <v>9.2262422329486729</v>
      </c>
      <c r="AC376" s="30">
        <f t="shared" si="67"/>
        <v>6.0103182131437141</v>
      </c>
      <c r="AD376" s="30">
        <f t="shared" si="68"/>
        <v>1.0824003390175398</v>
      </c>
      <c r="AE376" s="30">
        <f t="shared" si="69"/>
        <v>8.2722490264753756E-2</v>
      </c>
      <c r="AF376" s="32" t="str">
        <f t="shared" si="63"/>
        <v>4D6+2</v>
      </c>
      <c r="AG376" s="33" t="str">
        <f t="shared" si="70"/>
        <v>2+1</v>
      </c>
      <c r="AH376" s="33" t="str">
        <f t="shared" si="71"/>
        <v>3+2</v>
      </c>
      <c r="AI376" s="33" t="str">
        <f t="shared" si="72"/>
        <v>-</v>
      </c>
      <c r="AJ376" s="33" t="str">
        <f t="shared" si="73"/>
        <v>-</v>
      </c>
      <c r="AK376">
        <v>1942</v>
      </c>
    </row>
    <row r="377" spans="1:37">
      <c r="A377" t="s">
        <v>575</v>
      </c>
      <c r="B377" t="s">
        <v>685</v>
      </c>
      <c r="C377" t="s">
        <v>681</v>
      </c>
      <c r="D377" t="s">
        <v>681</v>
      </c>
      <c r="E377" t="s">
        <v>768</v>
      </c>
      <c r="F377" t="s">
        <v>696</v>
      </c>
      <c r="G377" t="s">
        <v>66</v>
      </c>
      <c r="H377">
        <v>4.0999999999999996</v>
      </c>
      <c r="I377">
        <v>16.5</v>
      </c>
      <c r="J377" s="9">
        <v>33</v>
      </c>
      <c r="K377" s="9">
        <v>66</v>
      </c>
      <c r="L377" s="9">
        <v>198</v>
      </c>
      <c r="M377" s="9">
        <v>396</v>
      </c>
      <c r="N377" s="9">
        <v>2</v>
      </c>
      <c r="O377" s="9">
        <v>30</v>
      </c>
      <c r="P377" s="20">
        <v>30</v>
      </c>
      <c r="Q377" s="21" t="s">
        <v>695</v>
      </c>
      <c r="R377">
        <v>10</v>
      </c>
      <c r="S377" s="26">
        <f>VLOOKUP($F377,Munition!$B:$P,10,FALSE)</f>
        <v>16</v>
      </c>
      <c r="T377" s="26">
        <f>VLOOKUP($F377,Munition!$B:$P,11,FALSE)</f>
        <v>710</v>
      </c>
      <c r="U377" s="28">
        <f t="shared" si="62"/>
        <v>715.48303262350214</v>
      </c>
      <c r="V377" s="26">
        <f>VLOOKUP($F377,Munition!$B:$P,5,FALSE)</f>
        <v>8</v>
      </c>
      <c r="W377" s="30">
        <f t="shared" si="64"/>
        <v>2047.6638798884937</v>
      </c>
      <c r="X377" s="26">
        <f>VLOOKUP($F377,Munition!$B:$P,15,FALSE)</f>
        <v>162.38643311080028</v>
      </c>
      <c r="Y377" s="26">
        <f>VLOOKUP($F377,Munition!$B:$P,9,FALSE)</f>
        <v>1</v>
      </c>
      <c r="Z377" s="26">
        <f>VLOOKUP($F377,Munition!$B:$P,14,FALSE)</f>
        <v>8.4489816896455313E-6</v>
      </c>
      <c r="AA377" s="30">
        <f t="shared" si="65"/>
        <v>8.3128208416228659</v>
      </c>
      <c r="AB377" s="30">
        <f t="shared" si="66"/>
        <v>7.7531165947484686</v>
      </c>
      <c r="AC377" s="30">
        <f t="shared" si="67"/>
        <v>7.2310973707968174</v>
      </c>
      <c r="AD377" s="30">
        <f t="shared" si="68"/>
        <v>5.4716182251363943</v>
      </c>
      <c r="AE377" s="30">
        <f t="shared" si="69"/>
        <v>3.6014978034580132</v>
      </c>
      <c r="AF377" s="32" t="str">
        <f t="shared" si="63"/>
        <v>3D6+2</v>
      </c>
      <c r="AG377" s="33" t="str">
        <f t="shared" si="70"/>
        <v>3</v>
      </c>
      <c r="AH377" s="33" t="str">
        <f t="shared" si="71"/>
        <v>3+1</v>
      </c>
      <c r="AI377" s="33" t="str">
        <f t="shared" si="72"/>
        <v>3+1</v>
      </c>
      <c r="AJ377" s="33" t="str">
        <f t="shared" si="73"/>
        <v>-</v>
      </c>
      <c r="AK377">
        <v>1944</v>
      </c>
    </row>
    <row r="378" spans="1:37">
      <c r="A378" t="s">
        <v>577</v>
      </c>
      <c r="B378" t="s">
        <v>686</v>
      </c>
      <c r="C378" t="s">
        <v>681</v>
      </c>
      <c r="D378" t="s">
        <v>681</v>
      </c>
      <c r="E378" t="s">
        <v>763</v>
      </c>
      <c r="F378" t="s">
        <v>182</v>
      </c>
      <c r="G378" t="s">
        <v>79</v>
      </c>
      <c r="H378">
        <v>3.27</v>
      </c>
      <c r="I378">
        <v>8.6999999999999993</v>
      </c>
      <c r="J378" s="9">
        <v>13</v>
      </c>
      <c r="K378" s="9">
        <v>26</v>
      </c>
      <c r="L378" s="9">
        <v>78</v>
      </c>
      <c r="M378" s="9">
        <v>156</v>
      </c>
      <c r="O378" s="9">
        <v>15</v>
      </c>
      <c r="P378" s="17">
        <v>30</v>
      </c>
      <c r="Q378" s="21">
        <v>50</v>
      </c>
      <c r="R378">
        <v>10</v>
      </c>
      <c r="S378" s="26">
        <f>VLOOKUP($F378,Munition!$B:$P,10,FALSE)</f>
        <v>4.5</v>
      </c>
      <c r="T378" s="26">
        <f>VLOOKUP($F378,Munition!$B:$P,11,FALSE)</f>
        <v>450</v>
      </c>
      <c r="U378" s="28">
        <f t="shared" si="62"/>
        <v>530.62682159620601</v>
      </c>
      <c r="V378" s="26">
        <f>VLOOKUP($F378,Munition!$B:$P,5,FALSE)</f>
        <v>6.75</v>
      </c>
      <c r="W378" s="30">
        <f t="shared" si="64"/>
        <v>950.28128031585993</v>
      </c>
      <c r="X378" s="26">
        <f>VLOOKUP($F378,Munition!$B:$P,15,FALSE)</f>
        <v>106.1032953945969</v>
      </c>
      <c r="Y378" s="26">
        <f>VLOOKUP($F378,Munition!$B:$P,9,FALSE)</f>
        <v>1</v>
      </c>
      <c r="Z378" s="26">
        <f>VLOOKUP($F378,Munition!$B:$P,14,FALSE)</f>
        <v>1.5586226552622361E-5</v>
      </c>
      <c r="AA378" s="30">
        <f t="shared" si="65"/>
        <v>2.9874955672091681</v>
      </c>
      <c r="AB378" s="30">
        <f t="shared" si="66"/>
        <v>2.8134165471328143</v>
      </c>
      <c r="AC378" s="30">
        <f t="shared" si="67"/>
        <v>2.6494809748203187</v>
      </c>
      <c r="AD378" s="30">
        <f t="shared" si="68"/>
        <v>2.0838568256270129</v>
      </c>
      <c r="AE378" s="30">
        <f t="shared" si="69"/>
        <v>1.4535450085266208</v>
      </c>
      <c r="AF378" s="32" t="str">
        <f t="shared" si="63"/>
        <v>2D6+1</v>
      </c>
      <c r="AG378" s="33" t="str">
        <f t="shared" si="70"/>
        <v>-</v>
      </c>
      <c r="AH378" s="33" t="str">
        <f t="shared" si="71"/>
        <v>-</v>
      </c>
      <c r="AI378" s="33" t="str">
        <f t="shared" si="72"/>
        <v>-</v>
      </c>
      <c r="AJ378" s="33" t="str">
        <f t="shared" si="73"/>
        <v>-</v>
      </c>
      <c r="AK378">
        <v>1942</v>
      </c>
    </row>
    <row r="379" spans="1:37">
      <c r="A379" t="s">
        <v>574</v>
      </c>
      <c r="B379" t="s">
        <v>697</v>
      </c>
      <c r="C379" t="s">
        <v>681</v>
      </c>
      <c r="D379" t="s">
        <v>681</v>
      </c>
      <c r="E379" t="s">
        <v>765</v>
      </c>
      <c r="F379" t="s">
        <v>683</v>
      </c>
      <c r="G379" t="s">
        <v>682</v>
      </c>
      <c r="H379">
        <v>10.199999999999999</v>
      </c>
      <c r="I379">
        <v>23.6</v>
      </c>
      <c r="J379" s="9">
        <v>233</v>
      </c>
      <c r="K379" s="9">
        <v>466</v>
      </c>
      <c r="L379" s="9">
        <v>1398</v>
      </c>
      <c r="M379" s="9">
        <v>2796</v>
      </c>
      <c r="O379" s="9">
        <v>10</v>
      </c>
      <c r="P379" s="17">
        <v>20</v>
      </c>
      <c r="Q379" s="21">
        <v>50</v>
      </c>
      <c r="R379">
        <v>10</v>
      </c>
      <c r="S379" s="26">
        <f>VLOOKUP($F379,Munition!$B:$P,10,FALSE)</f>
        <v>24</v>
      </c>
      <c r="T379" s="26">
        <f>VLOOKUP($F379,Munition!$B:$P,11,FALSE)</f>
        <v>630</v>
      </c>
      <c r="U379" s="28">
        <f t="shared" si="62"/>
        <v>627.35843239397639</v>
      </c>
      <c r="V379" s="26">
        <f>VLOOKUP($F379,Munition!$B:$P,5,FALSE)</f>
        <v>9.4</v>
      </c>
      <c r="W379" s="30">
        <f t="shared" si="64"/>
        <v>1849.819432670389</v>
      </c>
      <c r="X379" s="26">
        <f>VLOOKUP($F379,Munition!$B:$P,15,FALSE)</f>
        <v>283.27696379906587</v>
      </c>
      <c r="Y379" s="26">
        <f>VLOOKUP($F379,Munition!$B:$P,9,FALSE)</f>
        <v>1</v>
      </c>
      <c r="Z379" s="26">
        <f>VLOOKUP($F379,Munition!$B:$P,14,FALSE)</f>
        <v>5.6908969172074872E-6</v>
      </c>
      <c r="AA379" s="30">
        <f t="shared" si="65"/>
        <v>11.149175158795282</v>
      </c>
      <c r="AB379" s="30">
        <f t="shared" si="66"/>
        <v>8.4084935406066474</v>
      </c>
      <c r="AC379" s="30">
        <f t="shared" si="67"/>
        <v>6.3415241590000671</v>
      </c>
      <c r="AD379" s="30">
        <f t="shared" si="68"/>
        <v>2.0516131636426329</v>
      </c>
      <c r="AE379" s="30">
        <f t="shared" si="69"/>
        <v>0.37752717248425993</v>
      </c>
      <c r="AF379" s="32" t="str">
        <f t="shared" si="63"/>
        <v>3D6+1</v>
      </c>
      <c r="AG379" s="33" t="str">
        <f t="shared" si="70"/>
        <v>2</v>
      </c>
      <c r="AH379" s="33" t="str">
        <f t="shared" si="71"/>
        <v>2+2</v>
      </c>
      <c r="AI379" s="33" t="str">
        <f t="shared" si="72"/>
        <v>-</v>
      </c>
      <c r="AJ379" s="33" t="str">
        <f t="shared" si="73"/>
        <v>-</v>
      </c>
      <c r="AK379">
        <v>1930</v>
      </c>
    </row>
    <row r="380" spans="1:37">
      <c r="A380" t="s">
        <v>579</v>
      </c>
      <c r="B380" t="s">
        <v>687</v>
      </c>
      <c r="C380" t="s">
        <v>681</v>
      </c>
      <c r="D380" t="s">
        <v>681</v>
      </c>
      <c r="E380" t="s">
        <v>764</v>
      </c>
      <c r="F380" t="s">
        <v>683</v>
      </c>
      <c r="G380" t="s">
        <v>682</v>
      </c>
      <c r="H380">
        <v>3.8</v>
      </c>
      <c r="I380">
        <v>21</v>
      </c>
      <c r="J380" s="9">
        <v>66</v>
      </c>
      <c r="K380" s="9">
        <v>132</v>
      </c>
      <c r="L380" s="9">
        <v>396</v>
      </c>
      <c r="M380" s="9">
        <v>792</v>
      </c>
      <c r="N380" s="9">
        <v>2</v>
      </c>
      <c r="P380" s="17">
        <v>6</v>
      </c>
      <c r="Q380" s="21" t="s">
        <v>699</v>
      </c>
      <c r="R380">
        <v>1</v>
      </c>
      <c r="S380" s="26">
        <f>VLOOKUP($F380,Munition!$B:$P,10,FALSE)</f>
        <v>24</v>
      </c>
      <c r="T380" s="26">
        <f>VLOOKUP($F380,Munition!$B:$P,11,FALSE)</f>
        <v>630</v>
      </c>
      <c r="U380" s="28">
        <f t="shared" si="62"/>
        <v>609.31597238431584</v>
      </c>
      <c r="V380" s="26">
        <f>VLOOKUP($F380,Munition!$B:$P,5,FALSE)</f>
        <v>9.4</v>
      </c>
      <c r="W380" s="30">
        <f t="shared" si="64"/>
        <v>1744.9499847524285</v>
      </c>
      <c r="X380" s="26">
        <f>VLOOKUP($F380,Munition!$B:$P,15,FALSE)</f>
        <v>283.27696379906587</v>
      </c>
      <c r="Y380" s="26">
        <f>VLOOKUP($F380,Munition!$B:$P,9,FALSE)</f>
        <v>1</v>
      </c>
      <c r="Z380" s="26">
        <f>VLOOKUP($F380,Munition!$B:$P,14,FALSE)</f>
        <v>5.6908969172074872E-6</v>
      </c>
      <c r="AA380" s="30">
        <f t="shared" si="65"/>
        <v>10.517109226848813</v>
      </c>
      <c r="AB380" s="30">
        <f t="shared" si="66"/>
        <v>9.709343395642918</v>
      </c>
      <c r="AC380" s="30">
        <f t="shared" si="67"/>
        <v>8.9636179620396312</v>
      </c>
      <c r="AD380" s="30">
        <f t="shared" si="68"/>
        <v>6.5111431847685903</v>
      </c>
      <c r="AE380" s="30">
        <f t="shared" si="69"/>
        <v>4.0310492796185446</v>
      </c>
      <c r="AF380" s="32" t="str">
        <f t="shared" si="63"/>
        <v>3D6+1</v>
      </c>
      <c r="AG380" s="33" t="str">
        <f t="shared" si="70"/>
        <v>2</v>
      </c>
      <c r="AH380" s="33" t="str">
        <f t="shared" si="71"/>
        <v>2+1</v>
      </c>
      <c r="AI380" s="33" t="str">
        <f t="shared" si="72"/>
        <v>2+2</v>
      </c>
      <c r="AJ380" s="33" t="str">
        <f t="shared" si="73"/>
        <v>-</v>
      </c>
      <c r="AK380">
        <v>1938</v>
      </c>
    </row>
    <row r="381" spans="1:37">
      <c r="A381" t="s">
        <v>571</v>
      </c>
      <c r="B381" t="s">
        <v>700</v>
      </c>
      <c r="C381" t="s">
        <v>681</v>
      </c>
      <c r="D381" t="s">
        <v>681</v>
      </c>
      <c r="E381" t="s">
        <v>769</v>
      </c>
      <c r="F381" t="s">
        <v>64</v>
      </c>
      <c r="G381" t="s">
        <v>65</v>
      </c>
      <c r="H381">
        <v>0.56999999999999995</v>
      </c>
      <c r="I381">
        <v>3.4</v>
      </c>
      <c r="J381" s="9">
        <v>5</v>
      </c>
      <c r="K381" s="9">
        <v>10</v>
      </c>
      <c r="L381" s="9">
        <v>30</v>
      </c>
      <c r="M381" s="9">
        <v>60</v>
      </c>
      <c r="N381" s="9">
        <v>3</v>
      </c>
      <c r="P381" s="17">
        <v>7</v>
      </c>
      <c r="Q381" s="21" t="s">
        <v>701</v>
      </c>
      <c r="R381">
        <v>1</v>
      </c>
      <c r="S381" s="26">
        <f>VLOOKUP($F381,Munition!$B:$P,10,FALSE)</f>
        <v>4</v>
      </c>
      <c r="T381" s="26">
        <f>VLOOKUP($F381,Munition!$B:$P,11,FALSE)</f>
        <v>318</v>
      </c>
      <c r="U381" s="28">
        <f t="shared" si="62"/>
        <v>305.33869943053173</v>
      </c>
      <c r="V381" s="26">
        <f>VLOOKUP($F381,Munition!$B:$P,5,FALSE)</f>
        <v>4.7</v>
      </c>
      <c r="W381" s="30">
        <f t="shared" si="64"/>
        <v>219.09454521933219</v>
      </c>
      <c r="X381" s="26">
        <f>VLOOKUP($F381,Munition!$B:$P,15,FALSE)</f>
        <v>102.25513025341134</v>
      </c>
      <c r="Y381" s="26">
        <f>VLOOKUP($F381,Munition!$B:$P,9,FALSE)</f>
        <v>1</v>
      </c>
      <c r="Z381" s="26">
        <f>VLOOKUP($F381,Munition!$B:$P,14,FALSE)</f>
        <v>1.1261048684269658E-5</v>
      </c>
      <c r="AA381" s="30">
        <f t="shared" si="65"/>
        <v>0.95334218124318004</v>
      </c>
      <c r="AB381" s="30">
        <f t="shared" si="66"/>
        <v>0.93077187783610471</v>
      </c>
      <c r="AC381" s="30">
        <f t="shared" si="67"/>
        <v>0.90873592464022357</v>
      </c>
      <c r="AD381" s="30">
        <f t="shared" si="68"/>
        <v>0.82568705014793309</v>
      </c>
      <c r="AE381" s="30">
        <f t="shared" si="69"/>
        <v>0.71512529099778832</v>
      </c>
      <c r="AF381" s="32" t="str">
        <f t="shared" si="63"/>
        <v>1D6</v>
      </c>
      <c r="AG381" s="33" t="str">
        <f t="shared" si="70"/>
        <v>-</v>
      </c>
      <c r="AH381" s="33" t="str">
        <f t="shared" si="71"/>
        <v>-</v>
      </c>
      <c r="AI381" s="33" t="str">
        <f t="shared" si="72"/>
        <v>-</v>
      </c>
      <c r="AJ381" s="33" t="str">
        <f t="shared" si="73"/>
        <v>-</v>
      </c>
      <c r="AK381">
        <v>1935</v>
      </c>
    </row>
  </sheetData>
  <autoFilter ref="A1:AK381" xr:uid="{00000000-0001-0000-0100-000000000000}"/>
  <pageMargins left="0.7" right="0.7" top="0.75" bottom="0.75" header="0.3" footer="0.3"/>
  <pageSetup paperSize="9" orientation="portrait" horizontalDpi="0" verticalDpi="0" r:id="rId1"/>
  <ignoredErrors>
    <ignoredError sqref="Q6:Q7 Q20 Q25:Q27 Q29:Q30 Q35 Q37 Q48:Q52 Q65:Q70 Q73:Q76 Q84 Q88:Q98 Q105 Q107:Q108 Q110:Q111 Q117 Q121:Q124 Q126:Q128 Q131:Q134 Q136:Q140 Q142 Q145:Q146 Q148 Q150:Q151 Q157 Q165:Q166 Q168:Q172 Q174 Q177 Q180 Q184:Q185 Q188:Q197 Q204:Q205 Q209:Q210 Q213:Q214 Q218:Q220 Q236:Q240 Q245 Q250 Q255 Q257 Q263 Q266:Q267 Q269:Q270 Q273 Q275:Q277 Q283:Q284 Q292:Q293 Q297 Q300 Q307:Q318 Q322 Q331 Q334:Q339 Q341:Q342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4B5E-6234-47BA-BD31-8138FCAAF115}">
  <dimension ref="A1:O32"/>
  <sheetViews>
    <sheetView workbookViewId="0">
      <selection activeCell="C8" sqref="C8"/>
    </sheetView>
  </sheetViews>
  <sheetFormatPr baseColWidth="10" defaultRowHeight="15"/>
  <cols>
    <col min="1" max="1" width="26.140625" style="35" bestFit="1" customWidth="1"/>
    <col min="2" max="2" width="18.28515625" style="35" bestFit="1" customWidth="1"/>
    <col min="3" max="3" width="23.85546875" style="35" bestFit="1" customWidth="1"/>
    <col min="4" max="10" width="11.85546875" style="35" customWidth="1"/>
    <col min="11" max="11" width="13.140625" customWidth="1"/>
    <col min="14" max="14" width="54.5703125" customWidth="1"/>
    <col min="15" max="16384" width="11.42578125" style="35"/>
  </cols>
  <sheetData>
    <row r="1" spans="1:15" s="24" customFormat="1" ht="29.25" customHeight="1">
      <c r="A1" s="24" t="s">
        <v>570</v>
      </c>
      <c r="B1" s="24" t="s">
        <v>863</v>
      </c>
      <c r="C1" s="24" t="s">
        <v>905</v>
      </c>
      <c r="D1" s="24" t="s">
        <v>1225</v>
      </c>
      <c r="E1" s="24" t="s">
        <v>1226</v>
      </c>
      <c r="F1" s="24" t="s">
        <v>1227</v>
      </c>
      <c r="G1" s="24" t="s">
        <v>1228</v>
      </c>
      <c r="H1" s="24" t="s">
        <v>864</v>
      </c>
      <c r="I1" s="24" t="s">
        <v>865</v>
      </c>
      <c r="J1" s="24" t="s">
        <v>866</v>
      </c>
      <c r="K1" s="3" t="s">
        <v>867</v>
      </c>
      <c r="L1" s="3" t="s">
        <v>868</v>
      </c>
      <c r="M1" s="3" t="s">
        <v>869</v>
      </c>
      <c r="N1" s="3" t="s">
        <v>870</v>
      </c>
      <c r="O1" s="24" t="s">
        <v>1229</v>
      </c>
    </row>
    <row r="2" spans="1:15">
      <c r="A2" s="35" t="s">
        <v>1230</v>
      </c>
      <c r="B2" s="35" t="s">
        <v>871</v>
      </c>
      <c r="C2" s="35" t="s">
        <v>1282</v>
      </c>
      <c r="D2" s="35">
        <v>1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t="s">
        <v>928</v>
      </c>
      <c r="L2">
        <v>150</v>
      </c>
      <c r="M2">
        <v>0.1</v>
      </c>
      <c r="N2" t="s">
        <v>1155</v>
      </c>
      <c r="O2">
        <v>1994</v>
      </c>
    </row>
    <row r="3" spans="1:15">
      <c r="A3" s="35" t="s">
        <v>1230</v>
      </c>
      <c r="B3" s="35" t="s">
        <v>871</v>
      </c>
      <c r="C3" s="35" t="s">
        <v>1153</v>
      </c>
      <c r="D3" s="35">
        <v>1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t="s">
        <v>932</v>
      </c>
      <c r="L3">
        <v>300</v>
      </c>
      <c r="M3">
        <v>0.1</v>
      </c>
      <c r="N3" t="s">
        <v>1154</v>
      </c>
      <c r="O3">
        <v>1994</v>
      </c>
    </row>
    <row r="4" spans="1:15">
      <c r="A4" s="35" t="s">
        <v>1230</v>
      </c>
      <c r="B4" s="35" t="s">
        <v>871</v>
      </c>
      <c r="C4" s="35" t="s">
        <v>872</v>
      </c>
      <c r="D4" s="35">
        <v>1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t="s">
        <v>932</v>
      </c>
      <c r="L4">
        <v>500</v>
      </c>
      <c r="M4">
        <v>0.2</v>
      </c>
      <c r="N4" t="s">
        <v>1155</v>
      </c>
      <c r="O4">
        <v>1998</v>
      </c>
    </row>
    <row r="5" spans="1:15">
      <c r="A5" s="35" t="s">
        <v>1230</v>
      </c>
      <c r="B5" s="35" t="s">
        <v>871</v>
      </c>
      <c r="C5" s="35" t="s">
        <v>873</v>
      </c>
      <c r="D5" s="35">
        <v>1</v>
      </c>
      <c r="E5" s="35">
        <v>1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t="s">
        <v>928</v>
      </c>
      <c r="L5">
        <v>500</v>
      </c>
      <c r="M5">
        <v>0.1</v>
      </c>
      <c r="N5" t="s">
        <v>1156</v>
      </c>
      <c r="O5">
        <v>1996</v>
      </c>
    </row>
    <row r="6" spans="1:15">
      <c r="A6" s="35" t="s">
        <v>1231</v>
      </c>
      <c r="B6" s="35" t="s">
        <v>874</v>
      </c>
      <c r="C6" s="35" t="s">
        <v>875</v>
      </c>
      <c r="D6" s="35">
        <v>1</v>
      </c>
      <c r="E6" s="35">
        <v>1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t="s">
        <v>928</v>
      </c>
      <c r="L6">
        <v>450</v>
      </c>
      <c r="M6">
        <v>0.1</v>
      </c>
      <c r="N6" t="s">
        <v>1140</v>
      </c>
      <c r="O6">
        <v>1975</v>
      </c>
    </row>
    <row r="7" spans="1:15">
      <c r="A7" s="35" t="s">
        <v>1231</v>
      </c>
      <c r="B7" s="35" t="s">
        <v>874</v>
      </c>
      <c r="C7" s="35" t="s">
        <v>876</v>
      </c>
      <c r="D7" s="35">
        <v>0</v>
      </c>
      <c r="E7" s="35">
        <v>0</v>
      </c>
      <c r="F7" s="35">
        <v>2</v>
      </c>
      <c r="G7" s="35">
        <v>1</v>
      </c>
      <c r="H7" s="35">
        <v>0</v>
      </c>
      <c r="I7" s="35">
        <v>0</v>
      </c>
      <c r="J7" s="35">
        <v>0</v>
      </c>
      <c r="K7" t="s">
        <v>932</v>
      </c>
      <c r="L7">
        <v>2300</v>
      </c>
      <c r="M7">
        <v>1</v>
      </c>
      <c r="N7" t="s">
        <v>1141</v>
      </c>
      <c r="O7">
        <v>1990</v>
      </c>
    </row>
    <row r="8" spans="1:15">
      <c r="A8" s="35" t="s">
        <v>1231</v>
      </c>
      <c r="B8" s="35" t="s">
        <v>874</v>
      </c>
      <c r="C8" s="35" t="s">
        <v>877</v>
      </c>
      <c r="D8" s="35">
        <v>0</v>
      </c>
      <c r="E8" s="35">
        <v>0</v>
      </c>
      <c r="F8" s="35">
        <v>1</v>
      </c>
      <c r="G8" s="35">
        <v>3</v>
      </c>
      <c r="H8" s="35">
        <v>0</v>
      </c>
      <c r="I8" s="35">
        <v>0</v>
      </c>
      <c r="J8" s="35">
        <v>0</v>
      </c>
      <c r="K8" t="s">
        <v>932</v>
      </c>
      <c r="L8">
        <v>3000</v>
      </c>
      <c r="M8">
        <v>1.2</v>
      </c>
      <c r="N8" t="s">
        <v>1142</v>
      </c>
      <c r="O8">
        <v>1990</v>
      </c>
    </row>
    <row r="9" spans="1:15">
      <c r="A9" s="35" t="s">
        <v>1231</v>
      </c>
      <c r="B9" s="35" t="s">
        <v>874</v>
      </c>
      <c r="C9" s="35" t="s">
        <v>878</v>
      </c>
      <c r="D9" s="35">
        <v>0</v>
      </c>
      <c r="E9" s="35">
        <v>1</v>
      </c>
      <c r="F9" s="35">
        <v>1</v>
      </c>
      <c r="G9" s="35">
        <v>0</v>
      </c>
      <c r="H9" s="35">
        <v>0</v>
      </c>
      <c r="I9" s="35">
        <v>0</v>
      </c>
      <c r="J9" s="35">
        <v>0</v>
      </c>
      <c r="K9" t="s">
        <v>928</v>
      </c>
      <c r="L9">
        <v>500</v>
      </c>
      <c r="M9">
        <v>0.8</v>
      </c>
      <c r="N9" t="s">
        <v>1143</v>
      </c>
      <c r="O9">
        <v>1985</v>
      </c>
    </row>
    <row r="10" spans="1:15">
      <c r="A10" s="35" t="s">
        <v>1231</v>
      </c>
      <c r="B10" s="35" t="s">
        <v>874</v>
      </c>
      <c r="C10" s="35" t="s">
        <v>879</v>
      </c>
      <c r="D10" s="35">
        <v>0</v>
      </c>
      <c r="E10" s="35">
        <v>1</v>
      </c>
      <c r="F10" s="35">
        <v>1</v>
      </c>
      <c r="G10" s="35">
        <v>0</v>
      </c>
      <c r="H10" s="35">
        <v>0</v>
      </c>
      <c r="I10" s="35">
        <v>0</v>
      </c>
      <c r="J10" s="35">
        <v>0</v>
      </c>
      <c r="K10" t="s">
        <v>928</v>
      </c>
      <c r="L10">
        <v>850</v>
      </c>
      <c r="M10">
        <v>0.8</v>
      </c>
      <c r="N10" t="s">
        <v>1143</v>
      </c>
      <c r="O10">
        <v>1985</v>
      </c>
    </row>
    <row r="11" spans="1:15">
      <c r="A11" s="35" t="s">
        <v>1231</v>
      </c>
      <c r="B11" s="35" t="s">
        <v>874</v>
      </c>
      <c r="C11" s="35" t="s">
        <v>880</v>
      </c>
      <c r="D11" s="35">
        <v>0</v>
      </c>
      <c r="E11" s="35">
        <v>1</v>
      </c>
      <c r="F11" s="35">
        <v>1</v>
      </c>
      <c r="G11" s="35">
        <v>1</v>
      </c>
      <c r="H11" s="35">
        <v>0</v>
      </c>
      <c r="I11" s="35">
        <v>0</v>
      </c>
      <c r="J11" s="35">
        <v>0</v>
      </c>
      <c r="K11" t="s">
        <v>928</v>
      </c>
      <c r="L11">
        <v>1340</v>
      </c>
      <c r="M11">
        <v>0.9</v>
      </c>
      <c r="N11" t="s">
        <v>1143</v>
      </c>
      <c r="O11">
        <v>1990</v>
      </c>
    </row>
    <row r="12" spans="1:15">
      <c r="A12" s="35" t="s">
        <v>1231</v>
      </c>
      <c r="B12" s="35" t="s">
        <v>874</v>
      </c>
      <c r="C12" s="35" t="s">
        <v>881</v>
      </c>
      <c r="D12" s="35">
        <v>0</v>
      </c>
      <c r="E12" s="35">
        <v>0</v>
      </c>
      <c r="F12" s="35">
        <v>1</v>
      </c>
      <c r="G12" s="35">
        <v>3</v>
      </c>
      <c r="H12" s="35">
        <v>0</v>
      </c>
      <c r="I12" s="35">
        <v>0</v>
      </c>
      <c r="J12" s="35">
        <v>0</v>
      </c>
      <c r="K12" t="s">
        <v>928</v>
      </c>
      <c r="L12">
        <v>850</v>
      </c>
      <c r="M12">
        <v>1</v>
      </c>
      <c r="N12" t="s">
        <v>1143</v>
      </c>
      <c r="O12">
        <v>1970</v>
      </c>
    </row>
    <row r="13" spans="1:15">
      <c r="A13" s="35" t="s">
        <v>1231</v>
      </c>
      <c r="B13" s="35" t="s">
        <v>874</v>
      </c>
      <c r="C13" s="35" t="s">
        <v>882</v>
      </c>
      <c r="D13" s="35">
        <v>0</v>
      </c>
      <c r="E13" s="35">
        <v>1</v>
      </c>
      <c r="F13" s="35">
        <v>2</v>
      </c>
      <c r="G13" s="35">
        <v>1</v>
      </c>
      <c r="H13" s="35">
        <v>0</v>
      </c>
      <c r="I13" s="35">
        <v>0</v>
      </c>
      <c r="J13" s="35">
        <v>0</v>
      </c>
      <c r="K13" t="s">
        <v>928</v>
      </c>
      <c r="L13">
        <v>1000</v>
      </c>
      <c r="M13">
        <v>0.5</v>
      </c>
      <c r="N13" t="s">
        <v>1144</v>
      </c>
      <c r="O13">
        <v>1975</v>
      </c>
    </row>
    <row r="14" spans="1:15">
      <c r="A14" s="35" t="s">
        <v>1231</v>
      </c>
      <c r="B14" s="35" t="s">
        <v>874</v>
      </c>
      <c r="C14" s="35" t="s">
        <v>883</v>
      </c>
      <c r="D14" s="35">
        <v>0</v>
      </c>
      <c r="E14" s="35">
        <v>1</v>
      </c>
      <c r="F14" s="35">
        <v>1</v>
      </c>
      <c r="G14" s="35">
        <v>0</v>
      </c>
      <c r="H14" s="35">
        <v>0</v>
      </c>
      <c r="I14" s="35">
        <v>0</v>
      </c>
      <c r="J14" s="35">
        <v>0</v>
      </c>
      <c r="K14" t="s">
        <v>928</v>
      </c>
      <c r="L14">
        <v>400</v>
      </c>
      <c r="M14">
        <v>0.3</v>
      </c>
      <c r="N14" t="s">
        <v>1141</v>
      </c>
      <c r="O14">
        <v>1960</v>
      </c>
    </row>
    <row r="15" spans="1:15">
      <c r="A15" s="35" t="s">
        <v>1231</v>
      </c>
      <c r="B15" s="35" t="s">
        <v>874</v>
      </c>
      <c r="C15" s="35" t="s">
        <v>884</v>
      </c>
      <c r="D15" s="35">
        <v>0</v>
      </c>
      <c r="E15" s="35">
        <v>1</v>
      </c>
      <c r="F15" s="35">
        <v>2</v>
      </c>
      <c r="G15" s="35">
        <v>2</v>
      </c>
      <c r="H15" s="35">
        <v>0</v>
      </c>
      <c r="I15" s="35">
        <v>0</v>
      </c>
      <c r="J15" s="35">
        <v>0</v>
      </c>
      <c r="K15" t="s">
        <v>928</v>
      </c>
      <c r="L15">
        <v>1700</v>
      </c>
      <c r="M15">
        <v>0.6</v>
      </c>
      <c r="N15" t="s">
        <v>1145</v>
      </c>
      <c r="O15">
        <v>1980</v>
      </c>
    </row>
    <row r="16" spans="1:15">
      <c r="A16" s="35" t="s">
        <v>1231</v>
      </c>
      <c r="B16" s="35" t="s">
        <v>874</v>
      </c>
      <c r="C16" s="35" t="s">
        <v>885</v>
      </c>
      <c r="D16" s="35">
        <v>0</v>
      </c>
      <c r="E16" s="35">
        <v>0</v>
      </c>
      <c r="F16" s="35">
        <v>2</v>
      </c>
      <c r="G16" s="35">
        <v>2</v>
      </c>
      <c r="H16" s="35">
        <v>0</v>
      </c>
      <c r="I16" s="35">
        <v>0</v>
      </c>
      <c r="J16" s="35">
        <v>0</v>
      </c>
      <c r="K16" t="s">
        <v>928</v>
      </c>
      <c r="L16">
        <v>2300</v>
      </c>
      <c r="M16">
        <v>0.8</v>
      </c>
      <c r="N16" t="s">
        <v>1141</v>
      </c>
      <c r="O16">
        <v>1980</v>
      </c>
    </row>
    <row r="17" spans="1:15">
      <c r="A17" s="35" t="s">
        <v>1231</v>
      </c>
      <c r="B17" s="35" t="s">
        <v>874</v>
      </c>
      <c r="C17" s="35" t="s">
        <v>886</v>
      </c>
      <c r="D17" s="35">
        <v>0</v>
      </c>
      <c r="E17" s="35">
        <v>0</v>
      </c>
      <c r="F17" s="35">
        <v>2</v>
      </c>
      <c r="G17" s="35">
        <v>4</v>
      </c>
      <c r="H17" s="35">
        <v>0</v>
      </c>
      <c r="I17" s="35">
        <v>0</v>
      </c>
      <c r="J17" s="35">
        <v>0</v>
      </c>
      <c r="K17" t="s">
        <v>932</v>
      </c>
      <c r="L17">
        <v>3500</v>
      </c>
      <c r="M17">
        <v>1</v>
      </c>
      <c r="N17" t="s">
        <v>1145</v>
      </c>
      <c r="O17">
        <v>1990</v>
      </c>
    </row>
    <row r="18" spans="1:15">
      <c r="A18" s="35" t="s">
        <v>1231</v>
      </c>
      <c r="B18" s="35" t="s">
        <v>874</v>
      </c>
      <c r="C18" s="35" t="s">
        <v>887</v>
      </c>
      <c r="D18" s="35">
        <v>0</v>
      </c>
      <c r="E18" s="35">
        <v>1</v>
      </c>
      <c r="F18" s="35">
        <v>2</v>
      </c>
      <c r="G18" s="35">
        <v>3</v>
      </c>
      <c r="H18" s="35">
        <v>0</v>
      </c>
      <c r="I18" s="35">
        <v>0</v>
      </c>
      <c r="J18" s="35">
        <v>0</v>
      </c>
      <c r="K18" t="s">
        <v>932</v>
      </c>
      <c r="L18">
        <v>3000</v>
      </c>
      <c r="M18">
        <v>0.9</v>
      </c>
      <c r="N18" t="s">
        <v>1146</v>
      </c>
      <c r="O18">
        <v>1990</v>
      </c>
    </row>
    <row r="19" spans="1:15">
      <c r="A19" s="35" t="s">
        <v>1231</v>
      </c>
      <c r="B19" s="35" t="s">
        <v>874</v>
      </c>
      <c r="C19" s="35" t="s">
        <v>888</v>
      </c>
      <c r="D19" s="35">
        <v>0</v>
      </c>
      <c r="E19" s="35">
        <v>1</v>
      </c>
      <c r="F19" s="35">
        <v>2</v>
      </c>
      <c r="G19" s="35">
        <v>2</v>
      </c>
      <c r="H19" s="35">
        <v>0</v>
      </c>
      <c r="I19" s="35">
        <v>0</v>
      </c>
      <c r="J19" s="35">
        <v>0</v>
      </c>
      <c r="K19" t="s">
        <v>928</v>
      </c>
      <c r="L19">
        <v>2000</v>
      </c>
      <c r="M19">
        <v>1</v>
      </c>
      <c r="N19" t="s">
        <v>1147</v>
      </c>
      <c r="O19">
        <v>1995</v>
      </c>
    </row>
    <row r="20" spans="1:15">
      <c r="A20" s="35" t="s">
        <v>1231</v>
      </c>
      <c r="B20" s="35" t="s">
        <v>874</v>
      </c>
      <c r="C20" s="35" t="s">
        <v>1148</v>
      </c>
      <c r="D20" s="35">
        <v>0</v>
      </c>
      <c r="E20" s="35">
        <v>1</v>
      </c>
      <c r="F20" s="35">
        <v>1</v>
      </c>
      <c r="G20" s="35">
        <v>0</v>
      </c>
      <c r="H20" s="35">
        <v>0</v>
      </c>
      <c r="I20" s="35">
        <v>0</v>
      </c>
      <c r="J20" s="35">
        <v>0</v>
      </c>
      <c r="K20" t="s">
        <v>932</v>
      </c>
      <c r="L20">
        <v>4000</v>
      </c>
      <c r="M20">
        <v>1.3</v>
      </c>
      <c r="N20" t="s">
        <v>1232</v>
      </c>
      <c r="O20">
        <v>2000</v>
      </c>
    </row>
    <row r="21" spans="1:15">
      <c r="A21" s="35" t="s">
        <v>1231</v>
      </c>
      <c r="B21" s="35" t="s">
        <v>874</v>
      </c>
      <c r="C21" s="35" t="s">
        <v>889</v>
      </c>
      <c r="D21" s="35">
        <v>0</v>
      </c>
      <c r="E21" s="35">
        <v>0</v>
      </c>
      <c r="F21" s="35">
        <v>2</v>
      </c>
      <c r="G21" s="35">
        <v>1</v>
      </c>
      <c r="H21" s="35">
        <v>0</v>
      </c>
      <c r="I21" s="35">
        <v>0</v>
      </c>
      <c r="J21" s="35">
        <v>0</v>
      </c>
      <c r="K21" t="s">
        <v>934</v>
      </c>
      <c r="L21">
        <v>5000</v>
      </c>
      <c r="M21">
        <v>1.4</v>
      </c>
      <c r="N21" t="s">
        <v>1233</v>
      </c>
      <c r="O21">
        <v>2005</v>
      </c>
    </row>
    <row r="22" spans="1:15">
      <c r="A22" s="35" t="s">
        <v>1234</v>
      </c>
      <c r="B22" s="35" t="s">
        <v>890</v>
      </c>
      <c r="C22" s="35" t="s">
        <v>891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t="s">
        <v>932</v>
      </c>
      <c r="L22">
        <v>1100</v>
      </c>
      <c r="M22">
        <v>1.3</v>
      </c>
      <c r="N22" t="s">
        <v>1283</v>
      </c>
      <c r="O22">
        <v>2000</v>
      </c>
    </row>
    <row r="23" spans="1:15">
      <c r="A23" s="35" t="s">
        <v>1234</v>
      </c>
      <c r="B23" s="35" t="s">
        <v>890</v>
      </c>
      <c r="C23" s="35" t="s">
        <v>892</v>
      </c>
      <c r="D23" s="35">
        <v>0</v>
      </c>
      <c r="E23" s="35">
        <v>1</v>
      </c>
      <c r="F23" s="35">
        <v>1</v>
      </c>
      <c r="G23" s="35">
        <v>0</v>
      </c>
      <c r="H23" s="35">
        <v>0</v>
      </c>
      <c r="I23" s="35">
        <v>0</v>
      </c>
      <c r="J23" s="35">
        <v>0</v>
      </c>
      <c r="K23" t="s">
        <v>928</v>
      </c>
      <c r="L23">
        <v>300</v>
      </c>
      <c r="M23">
        <v>0.3</v>
      </c>
      <c r="N23" t="s">
        <v>1151</v>
      </c>
      <c r="O23">
        <v>1990</v>
      </c>
    </row>
    <row r="24" spans="1:15">
      <c r="A24" s="35" t="s">
        <v>1235</v>
      </c>
      <c r="B24" s="35" t="s">
        <v>893</v>
      </c>
      <c r="C24" s="35" t="s">
        <v>1224</v>
      </c>
      <c r="D24" s="35">
        <v>0</v>
      </c>
      <c r="E24" s="35">
        <v>0</v>
      </c>
      <c r="F24" s="35">
        <v>0</v>
      </c>
      <c r="G24" s="35">
        <v>0</v>
      </c>
      <c r="H24" s="37">
        <v>-0.4</v>
      </c>
      <c r="I24" s="38">
        <v>-0.8</v>
      </c>
      <c r="J24" s="35">
        <v>0</v>
      </c>
      <c r="K24" t="s">
        <v>934</v>
      </c>
      <c r="L24">
        <v>3000</v>
      </c>
      <c r="M24">
        <v>1.5</v>
      </c>
      <c r="N24" t="s">
        <v>1281</v>
      </c>
      <c r="O24">
        <v>1930</v>
      </c>
    </row>
    <row r="25" spans="1:15">
      <c r="A25" s="35" t="s">
        <v>1235</v>
      </c>
      <c r="B25" s="35" t="s">
        <v>893</v>
      </c>
      <c r="C25" s="35" t="s">
        <v>894</v>
      </c>
      <c r="D25" s="35">
        <v>0</v>
      </c>
      <c r="E25" s="35">
        <v>0</v>
      </c>
      <c r="F25" s="35">
        <v>0</v>
      </c>
      <c r="G25" s="35">
        <v>0</v>
      </c>
      <c r="H25" s="35">
        <v>-15</v>
      </c>
      <c r="I25" s="35">
        <v>-30</v>
      </c>
      <c r="J25" s="35">
        <v>0</v>
      </c>
      <c r="K25" t="s">
        <v>932</v>
      </c>
      <c r="L25">
        <v>200</v>
      </c>
      <c r="M25">
        <v>0.1</v>
      </c>
      <c r="N25" t="s">
        <v>895</v>
      </c>
      <c r="O25">
        <v>1930</v>
      </c>
    </row>
    <row r="26" spans="1:15">
      <c r="A26" s="35" t="s">
        <v>1235</v>
      </c>
      <c r="B26" s="35" t="s">
        <v>893</v>
      </c>
      <c r="C26" s="35" t="s">
        <v>896</v>
      </c>
      <c r="D26" s="35">
        <v>0</v>
      </c>
      <c r="E26" s="35">
        <v>0</v>
      </c>
      <c r="F26" s="35">
        <v>0</v>
      </c>
      <c r="G26" s="35">
        <v>0</v>
      </c>
      <c r="H26" s="35">
        <v>-25</v>
      </c>
      <c r="I26" s="35">
        <v>-50</v>
      </c>
      <c r="J26" s="35">
        <v>0</v>
      </c>
      <c r="K26" s="36" t="s">
        <v>932</v>
      </c>
      <c r="L26">
        <v>450</v>
      </c>
      <c r="M26">
        <v>0.3</v>
      </c>
      <c r="N26" t="s">
        <v>897</v>
      </c>
      <c r="O26" s="39">
        <v>1990</v>
      </c>
    </row>
    <row r="27" spans="1:15">
      <c r="A27" s="35" t="s">
        <v>1235</v>
      </c>
      <c r="B27" s="35" t="s">
        <v>893</v>
      </c>
      <c r="C27" s="35" t="s">
        <v>898</v>
      </c>
      <c r="D27" s="35">
        <v>0</v>
      </c>
      <c r="E27" s="35">
        <v>0</v>
      </c>
      <c r="F27" s="35">
        <v>0</v>
      </c>
      <c r="G27" s="35">
        <v>0</v>
      </c>
      <c r="H27" s="35">
        <v>-45</v>
      </c>
      <c r="I27" s="35">
        <v>-90</v>
      </c>
      <c r="J27" s="35">
        <v>0</v>
      </c>
      <c r="K27" t="s">
        <v>934</v>
      </c>
      <c r="L27">
        <v>900</v>
      </c>
      <c r="M27">
        <v>0.8</v>
      </c>
      <c r="N27" t="s">
        <v>899</v>
      </c>
      <c r="O27" s="39">
        <v>1960</v>
      </c>
    </row>
    <row r="28" spans="1:15">
      <c r="A28" s="35" t="s">
        <v>1235</v>
      </c>
      <c r="B28" s="35" t="s">
        <v>893</v>
      </c>
      <c r="C28" s="35" t="s">
        <v>900</v>
      </c>
      <c r="D28" s="35">
        <v>0</v>
      </c>
      <c r="E28" s="35">
        <v>0</v>
      </c>
      <c r="F28" s="35">
        <v>0</v>
      </c>
      <c r="G28" s="35">
        <v>0</v>
      </c>
      <c r="H28" s="35">
        <v>-30</v>
      </c>
      <c r="I28" s="35">
        <v>-60</v>
      </c>
      <c r="J28" s="35">
        <v>0</v>
      </c>
      <c r="K28" t="s">
        <v>932</v>
      </c>
      <c r="L28">
        <v>850</v>
      </c>
      <c r="M28">
        <v>0.2</v>
      </c>
      <c r="N28" t="s">
        <v>895</v>
      </c>
      <c r="O28" s="39">
        <v>1930</v>
      </c>
    </row>
    <row r="29" spans="1:15">
      <c r="A29" s="35" t="s">
        <v>1235</v>
      </c>
      <c r="B29" s="35" t="s">
        <v>893</v>
      </c>
      <c r="C29" s="35" t="s">
        <v>901</v>
      </c>
      <c r="D29" s="35">
        <v>0</v>
      </c>
      <c r="E29" s="35">
        <v>0</v>
      </c>
      <c r="F29" s="35">
        <v>0</v>
      </c>
      <c r="G29" s="35">
        <v>0</v>
      </c>
      <c r="H29" s="35">
        <v>-40</v>
      </c>
      <c r="I29" s="35">
        <v>-80</v>
      </c>
      <c r="J29" s="35">
        <v>0</v>
      </c>
      <c r="K29" t="s">
        <v>932</v>
      </c>
      <c r="L29">
        <v>1400</v>
      </c>
      <c r="M29">
        <v>0.6</v>
      </c>
      <c r="N29" t="s">
        <v>902</v>
      </c>
      <c r="O29" s="39">
        <v>1990</v>
      </c>
    </row>
    <row r="30" spans="1:15">
      <c r="A30" s="35" t="s">
        <v>1235</v>
      </c>
      <c r="B30" s="35" t="s">
        <v>893</v>
      </c>
      <c r="C30" s="35" t="s">
        <v>903</v>
      </c>
      <c r="D30" s="35">
        <v>0</v>
      </c>
      <c r="E30" s="35">
        <v>0</v>
      </c>
      <c r="F30" s="35">
        <v>0</v>
      </c>
      <c r="G30" s="35">
        <v>0</v>
      </c>
      <c r="H30" s="35">
        <v>-60</v>
      </c>
      <c r="I30" s="35">
        <v>-120</v>
      </c>
      <c r="J30" s="35">
        <v>0</v>
      </c>
      <c r="K30" t="s">
        <v>934</v>
      </c>
      <c r="L30">
        <v>1800</v>
      </c>
      <c r="M30">
        <v>0.8</v>
      </c>
      <c r="N30" t="s">
        <v>904</v>
      </c>
      <c r="O30" s="39">
        <v>1960</v>
      </c>
    </row>
    <row r="31" spans="1:15">
      <c r="C31"/>
    </row>
    <row r="32" spans="1:15">
      <c r="C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44A9-9026-4248-B1DC-F446852477BC}">
  <dimension ref="A1:AA23"/>
  <sheetViews>
    <sheetView workbookViewId="0"/>
  </sheetViews>
  <sheetFormatPr baseColWidth="10" defaultRowHeight="15"/>
  <cols>
    <col min="1" max="1" width="19.140625" bestFit="1" customWidth="1"/>
    <col min="2" max="2" width="37" customWidth="1"/>
    <col min="3" max="3" width="11" bestFit="1" customWidth="1"/>
    <col min="6" max="6" width="11.140625" customWidth="1"/>
    <col min="7" max="7" width="86.85546875" bestFit="1" customWidth="1"/>
  </cols>
  <sheetData>
    <row r="1" spans="1:27">
      <c r="A1" t="s">
        <v>570</v>
      </c>
      <c r="B1" t="s">
        <v>183</v>
      </c>
      <c r="C1" t="s">
        <v>867</v>
      </c>
      <c r="D1" t="s">
        <v>868</v>
      </c>
      <c r="E1" t="s">
        <v>869</v>
      </c>
      <c r="F1" t="s">
        <v>1229</v>
      </c>
      <c r="G1" t="s">
        <v>870</v>
      </c>
      <c r="H1" t="s">
        <v>906</v>
      </c>
      <c r="I1" t="s">
        <v>907</v>
      </c>
      <c r="J1" t="s">
        <v>908</v>
      </c>
      <c r="K1" t="s">
        <v>909</v>
      </c>
      <c r="L1" t="s">
        <v>910</v>
      </c>
      <c r="M1" t="s">
        <v>911</v>
      </c>
      <c r="N1" t="s">
        <v>912</v>
      </c>
      <c r="O1" t="s">
        <v>913</v>
      </c>
      <c r="P1" t="s">
        <v>914</v>
      </c>
      <c r="Q1" t="s">
        <v>915</v>
      </c>
      <c r="R1" t="s">
        <v>916</v>
      </c>
      <c r="S1" t="s">
        <v>917</v>
      </c>
      <c r="T1" t="s">
        <v>918</v>
      </c>
      <c r="U1" t="s">
        <v>919</v>
      </c>
      <c r="V1" t="s">
        <v>920</v>
      </c>
      <c r="W1" t="s">
        <v>921</v>
      </c>
      <c r="X1" t="s">
        <v>922</v>
      </c>
      <c r="Y1" t="s">
        <v>923</v>
      </c>
      <c r="Z1" t="s">
        <v>924</v>
      </c>
      <c r="AA1" t="s">
        <v>925</v>
      </c>
    </row>
    <row r="2" spans="1:27">
      <c r="A2" t="s">
        <v>926</v>
      </c>
      <c r="B2" t="s">
        <v>927</v>
      </c>
      <c r="C2" t="s">
        <v>928</v>
      </c>
      <c r="D2">
        <v>200</v>
      </c>
      <c r="E2">
        <v>1.2</v>
      </c>
      <c r="F2">
        <v>1970</v>
      </c>
      <c r="G2" t="s">
        <v>991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926</v>
      </c>
      <c r="B3" t="s">
        <v>929</v>
      </c>
      <c r="C3" t="s">
        <v>928</v>
      </c>
      <c r="D3">
        <v>350</v>
      </c>
      <c r="E3">
        <v>1.8</v>
      </c>
      <c r="F3">
        <v>1988</v>
      </c>
      <c r="G3" t="s">
        <v>992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926</v>
      </c>
      <c r="B4" t="s">
        <v>930</v>
      </c>
      <c r="C4" t="s">
        <v>928</v>
      </c>
      <c r="D4">
        <v>500</v>
      </c>
      <c r="E4">
        <v>2.5</v>
      </c>
      <c r="F4">
        <v>1970</v>
      </c>
      <c r="G4" t="s">
        <v>993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926</v>
      </c>
      <c r="B5" t="s">
        <v>931</v>
      </c>
      <c r="C5" t="s">
        <v>932</v>
      </c>
      <c r="D5">
        <v>800</v>
      </c>
      <c r="E5">
        <v>3.2</v>
      </c>
      <c r="F5">
        <v>1990</v>
      </c>
      <c r="G5" t="s">
        <v>994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t="s">
        <v>926</v>
      </c>
      <c r="B6" t="s">
        <v>933</v>
      </c>
      <c r="C6" t="s">
        <v>932</v>
      </c>
      <c r="D6">
        <v>1100</v>
      </c>
      <c r="E6">
        <v>4</v>
      </c>
      <c r="F6">
        <v>1995</v>
      </c>
      <c r="G6" t="s">
        <v>995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926</v>
      </c>
      <c r="B7" t="s">
        <v>1279</v>
      </c>
      <c r="C7" t="s">
        <v>932</v>
      </c>
      <c r="D7">
        <v>2200</v>
      </c>
      <c r="E7">
        <v>7.5</v>
      </c>
      <c r="F7">
        <v>2007</v>
      </c>
      <c r="G7" t="s">
        <v>1280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926</v>
      </c>
      <c r="B8" t="s">
        <v>935</v>
      </c>
      <c r="C8" t="s">
        <v>934</v>
      </c>
      <c r="D8">
        <v>4500</v>
      </c>
      <c r="E8">
        <v>5.8</v>
      </c>
      <c r="F8">
        <v>1985</v>
      </c>
      <c r="G8" t="s">
        <v>996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t="s">
        <v>926</v>
      </c>
      <c r="B9" t="s">
        <v>997</v>
      </c>
      <c r="C9" t="s">
        <v>934</v>
      </c>
      <c r="D9">
        <v>12000</v>
      </c>
      <c r="E9">
        <v>18</v>
      </c>
      <c r="F9">
        <v>2004</v>
      </c>
      <c r="G9" t="s">
        <v>998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t="s">
        <v>936</v>
      </c>
      <c r="B10" t="s">
        <v>937</v>
      </c>
      <c r="C10" t="s">
        <v>928</v>
      </c>
      <c r="D10">
        <v>180</v>
      </c>
      <c r="E10">
        <v>1.4</v>
      </c>
      <c r="F10">
        <v>1983</v>
      </c>
      <c r="G10" t="s">
        <v>999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936</v>
      </c>
      <c r="B11" t="s">
        <v>938</v>
      </c>
      <c r="C11" t="s">
        <v>928</v>
      </c>
      <c r="D11">
        <v>380</v>
      </c>
      <c r="E11">
        <v>1.1000000000000001</v>
      </c>
      <c r="F11">
        <v>2003</v>
      </c>
      <c r="G11" t="s">
        <v>1000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936</v>
      </c>
      <c r="B12" t="s">
        <v>939</v>
      </c>
      <c r="C12" t="s">
        <v>932</v>
      </c>
      <c r="D12">
        <v>620</v>
      </c>
      <c r="E12">
        <v>0.9</v>
      </c>
      <c r="F12">
        <v>2008</v>
      </c>
      <c r="G12" t="s">
        <v>1001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936</v>
      </c>
      <c r="B13" t="s">
        <v>1002</v>
      </c>
      <c r="C13" t="s">
        <v>934</v>
      </c>
      <c r="D13">
        <v>1800</v>
      </c>
      <c r="E13">
        <v>1.3</v>
      </c>
      <c r="F13">
        <v>2017</v>
      </c>
      <c r="G13" t="s">
        <v>1003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936</v>
      </c>
      <c r="B14" t="s">
        <v>940</v>
      </c>
      <c r="C14" t="s">
        <v>934</v>
      </c>
      <c r="D14">
        <v>3200</v>
      </c>
      <c r="E14">
        <v>3.5</v>
      </c>
      <c r="F14">
        <v>1990</v>
      </c>
      <c r="G14" t="s">
        <v>1004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941</v>
      </c>
      <c r="B15" t="s">
        <v>1005</v>
      </c>
      <c r="C15" t="s">
        <v>928</v>
      </c>
      <c r="D15">
        <v>80</v>
      </c>
      <c r="E15">
        <v>0.6</v>
      </c>
      <c r="F15">
        <v>2000</v>
      </c>
      <c r="G15" t="s">
        <v>1006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941</v>
      </c>
      <c r="B16" t="s">
        <v>1007</v>
      </c>
      <c r="C16" t="s">
        <v>928</v>
      </c>
      <c r="D16">
        <v>90</v>
      </c>
      <c r="E16">
        <v>0.7</v>
      </c>
      <c r="F16">
        <v>2000</v>
      </c>
      <c r="G16" t="s">
        <v>1008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</row>
    <row r="17" spans="1:27">
      <c r="A17" t="s">
        <v>941</v>
      </c>
      <c r="B17" t="s">
        <v>942</v>
      </c>
      <c r="C17" t="s">
        <v>928</v>
      </c>
      <c r="D17">
        <v>120</v>
      </c>
      <c r="E17">
        <v>0.8</v>
      </c>
      <c r="F17">
        <v>1985</v>
      </c>
      <c r="G17" t="s">
        <v>1009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941</v>
      </c>
      <c r="B18" t="s">
        <v>1010</v>
      </c>
      <c r="C18" t="s">
        <v>928</v>
      </c>
      <c r="D18">
        <v>150</v>
      </c>
      <c r="E18">
        <v>1.4</v>
      </c>
      <c r="F18">
        <v>2010</v>
      </c>
      <c r="G18" t="s">
        <v>1011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1</v>
      </c>
    </row>
    <row r="19" spans="1:27">
      <c r="A19" t="s">
        <v>941</v>
      </c>
      <c r="B19" t="s">
        <v>943</v>
      </c>
      <c r="C19" t="s">
        <v>932</v>
      </c>
      <c r="D19">
        <v>450</v>
      </c>
      <c r="E19">
        <v>3.5</v>
      </c>
      <c r="F19">
        <v>1995</v>
      </c>
      <c r="G19" t="s">
        <v>1012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</row>
    <row r="20" spans="1:27">
      <c r="A20" t="s">
        <v>944</v>
      </c>
      <c r="B20" t="s">
        <v>1013</v>
      </c>
      <c r="C20" t="s">
        <v>932</v>
      </c>
      <c r="D20">
        <v>3500</v>
      </c>
      <c r="E20">
        <v>8</v>
      </c>
      <c r="F20">
        <v>2012</v>
      </c>
      <c r="G20" t="s">
        <v>1014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t="s">
        <v>944</v>
      </c>
      <c r="B21" t="s">
        <v>1015</v>
      </c>
      <c r="C21" t="s">
        <v>934</v>
      </c>
      <c r="D21">
        <v>8500</v>
      </c>
      <c r="E21">
        <v>14</v>
      </c>
      <c r="F21">
        <v>2015</v>
      </c>
      <c r="G21" t="s">
        <v>1016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t="s">
        <v>926</v>
      </c>
      <c r="B22" t="s">
        <v>1277</v>
      </c>
      <c r="C22" t="s">
        <v>934</v>
      </c>
      <c r="D22">
        <v>3000</v>
      </c>
      <c r="E22">
        <v>7</v>
      </c>
      <c r="F22">
        <v>2005</v>
      </c>
      <c r="G22" t="s">
        <v>1269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926</v>
      </c>
      <c r="B23" t="s">
        <v>1278</v>
      </c>
      <c r="C23" t="s">
        <v>934</v>
      </c>
      <c r="D23">
        <v>5000</v>
      </c>
      <c r="E23">
        <v>6</v>
      </c>
      <c r="F23">
        <v>2019</v>
      </c>
      <c r="G23" t="s">
        <v>1269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5938-0EF7-4DB0-8EC0-CD7790E40548}">
  <dimension ref="A1:G188"/>
  <sheetViews>
    <sheetView tabSelected="1" topLeftCell="A70" workbookViewId="0">
      <selection activeCell="G110" sqref="G110"/>
    </sheetView>
  </sheetViews>
  <sheetFormatPr baseColWidth="10" defaultRowHeight="15"/>
  <cols>
    <col min="1" max="1" width="35.28515625" customWidth="1"/>
    <col min="2" max="2" width="41.140625" customWidth="1"/>
    <col min="6" max="6" width="91.28515625" customWidth="1"/>
    <col min="7" max="7" width="8" customWidth="1"/>
  </cols>
  <sheetData>
    <row r="1" spans="1:7">
      <c r="A1" t="s">
        <v>570</v>
      </c>
      <c r="B1" t="s">
        <v>183</v>
      </c>
      <c r="C1" t="s">
        <v>867</v>
      </c>
      <c r="D1" t="s">
        <v>868</v>
      </c>
      <c r="E1" t="s">
        <v>869</v>
      </c>
      <c r="F1" t="s">
        <v>870</v>
      </c>
      <c r="G1" t="s">
        <v>1229</v>
      </c>
    </row>
    <row r="2" spans="1:7">
      <c r="A2" t="s">
        <v>968</v>
      </c>
      <c r="B2" t="s">
        <v>969</v>
      </c>
      <c r="C2" t="s">
        <v>928</v>
      </c>
      <c r="D2">
        <v>150</v>
      </c>
      <c r="E2">
        <v>2</v>
      </c>
      <c r="F2" t="s">
        <v>1266</v>
      </c>
      <c r="G2">
        <v>1997</v>
      </c>
    </row>
    <row r="3" spans="1:7">
      <c r="A3" t="s">
        <v>968</v>
      </c>
      <c r="B3" t="s">
        <v>970</v>
      </c>
      <c r="C3" t="s">
        <v>928</v>
      </c>
      <c r="D3">
        <v>200</v>
      </c>
      <c r="E3">
        <v>1</v>
      </c>
      <c r="F3" t="s">
        <v>1267</v>
      </c>
      <c r="G3">
        <v>1997</v>
      </c>
    </row>
    <row r="4" spans="1:7">
      <c r="A4" t="s">
        <v>968</v>
      </c>
      <c r="B4" t="s">
        <v>971</v>
      </c>
      <c r="C4" t="s">
        <v>928</v>
      </c>
      <c r="D4">
        <v>80</v>
      </c>
      <c r="E4">
        <v>0.5</v>
      </c>
      <c r="F4" t="s">
        <v>972</v>
      </c>
      <c r="G4">
        <v>1965</v>
      </c>
    </row>
    <row r="5" spans="1:7">
      <c r="A5" t="s">
        <v>968</v>
      </c>
      <c r="B5" t="s">
        <v>973</v>
      </c>
      <c r="C5" t="s">
        <v>928</v>
      </c>
      <c r="D5">
        <v>300</v>
      </c>
      <c r="E5">
        <v>3.5</v>
      </c>
      <c r="F5" t="s">
        <v>1268</v>
      </c>
      <c r="G5">
        <v>2005</v>
      </c>
    </row>
    <row r="6" spans="1:7">
      <c r="A6" t="s">
        <v>968</v>
      </c>
      <c r="B6" t="s">
        <v>1219</v>
      </c>
      <c r="C6" t="s">
        <v>928</v>
      </c>
      <c r="D6">
        <v>100</v>
      </c>
      <c r="E6">
        <v>2</v>
      </c>
      <c r="G6">
        <v>1930</v>
      </c>
    </row>
    <row r="7" spans="1:7">
      <c r="A7" t="s">
        <v>968</v>
      </c>
      <c r="B7" t="s">
        <v>1220</v>
      </c>
      <c r="C7" t="s">
        <v>928</v>
      </c>
      <c r="D7">
        <v>200</v>
      </c>
      <c r="E7">
        <v>3</v>
      </c>
      <c r="G7">
        <v>2010</v>
      </c>
    </row>
    <row r="8" spans="1:7">
      <c r="A8" t="s">
        <v>968</v>
      </c>
      <c r="B8" t="s">
        <v>1221</v>
      </c>
      <c r="C8" t="s">
        <v>928</v>
      </c>
      <c r="D8">
        <v>300</v>
      </c>
      <c r="E8">
        <v>5</v>
      </c>
      <c r="G8">
        <v>2010</v>
      </c>
    </row>
    <row r="9" spans="1:7">
      <c r="A9" t="s">
        <v>968</v>
      </c>
      <c r="B9" t="s">
        <v>1222</v>
      </c>
      <c r="C9" t="s">
        <v>928</v>
      </c>
      <c r="D9">
        <v>150</v>
      </c>
      <c r="E9">
        <v>0.5</v>
      </c>
      <c r="G9">
        <v>1930</v>
      </c>
    </row>
    <row r="10" spans="1:7">
      <c r="A10" t="s">
        <v>968</v>
      </c>
      <c r="B10" t="s">
        <v>1223</v>
      </c>
      <c r="C10" t="s">
        <v>928</v>
      </c>
      <c r="D10">
        <v>150</v>
      </c>
      <c r="E10">
        <v>0.5</v>
      </c>
      <c r="G10">
        <v>1930</v>
      </c>
    </row>
    <row r="11" spans="1:7">
      <c r="A11" t="s">
        <v>968</v>
      </c>
      <c r="B11" t="s">
        <v>1017</v>
      </c>
      <c r="C11" t="s">
        <v>934</v>
      </c>
      <c r="D11">
        <v>45000</v>
      </c>
      <c r="E11">
        <v>15</v>
      </c>
      <c r="F11" t="s">
        <v>1273</v>
      </c>
      <c r="G11">
        <v>2010</v>
      </c>
    </row>
    <row r="12" spans="1:7">
      <c r="A12" t="s">
        <v>974</v>
      </c>
      <c r="B12" t="s">
        <v>975</v>
      </c>
      <c r="C12" t="s">
        <v>928</v>
      </c>
      <c r="D12">
        <v>150</v>
      </c>
      <c r="E12">
        <v>2.5</v>
      </c>
      <c r="F12" t="s">
        <v>976</v>
      </c>
      <c r="G12">
        <v>2010</v>
      </c>
    </row>
    <row r="13" spans="1:7">
      <c r="A13" t="s">
        <v>974</v>
      </c>
      <c r="B13" t="s">
        <v>977</v>
      </c>
      <c r="C13" t="s">
        <v>928</v>
      </c>
      <c r="D13">
        <v>20</v>
      </c>
      <c r="E13">
        <v>0.1</v>
      </c>
      <c r="F13" t="s">
        <v>1263</v>
      </c>
      <c r="G13">
        <v>2010</v>
      </c>
    </row>
    <row r="14" spans="1:7">
      <c r="A14" t="s">
        <v>974</v>
      </c>
      <c r="B14" t="s">
        <v>978</v>
      </c>
      <c r="C14" t="s">
        <v>928</v>
      </c>
      <c r="D14">
        <v>40</v>
      </c>
      <c r="E14">
        <v>0.1</v>
      </c>
      <c r="F14" t="s">
        <v>1264</v>
      </c>
      <c r="G14">
        <v>2010</v>
      </c>
    </row>
    <row r="15" spans="1:7">
      <c r="A15" t="s">
        <v>974</v>
      </c>
      <c r="B15" t="s">
        <v>979</v>
      </c>
      <c r="C15" t="s">
        <v>932</v>
      </c>
      <c r="D15">
        <v>600</v>
      </c>
      <c r="E15">
        <v>0.2</v>
      </c>
      <c r="F15" t="s">
        <v>1265</v>
      </c>
      <c r="G15">
        <v>2015</v>
      </c>
    </row>
    <row r="16" spans="1:7">
      <c r="A16" t="s">
        <v>974</v>
      </c>
      <c r="B16" t="s">
        <v>1194</v>
      </c>
      <c r="C16" t="s">
        <v>928</v>
      </c>
      <c r="D16">
        <v>10</v>
      </c>
      <c r="E16">
        <v>0.1</v>
      </c>
      <c r="G16">
        <v>1930</v>
      </c>
    </row>
    <row r="17" spans="1:7">
      <c r="A17" t="s">
        <v>974</v>
      </c>
      <c r="B17" t="s">
        <v>1195</v>
      </c>
      <c r="C17" t="s">
        <v>928</v>
      </c>
      <c r="D17">
        <v>50</v>
      </c>
      <c r="E17">
        <v>0.5</v>
      </c>
      <c r="G17">
        <v>1930</v>
      </c>
    </row>
    <row r="18" spans="1:7">
      <c r="A18" t="s">
        <v>974</v>
      </c>
      <c r="B18" t="s">
        <v>1196</v>
      </c>
      <c r="C18" t="s">
        <v>928</v>
      </c>
      <c r="D18">
        <v>10</v>
      </c>
      <c r="E18">
        <v>0.5</v>
      </c>
      <c r="G18">
        <v>1930</v>
      </c>
    </row>
    <row r="19" spans="1:7">
      <c r="A19" t="s">
        <v>974</v>
      </c>
      <c r="B19" t="s">
        <v>1197</v>
      </c>
      <c r="C19" t="s">
        <v>928</v>
      </c>
      <c r="D19">
        <v>50</v>
      </c>
      <c r="E19">
        <v>0.5</v>
      </c>
      <c r="G19">
        <v>1990</v>
      </c>
    </row>
    <row r="20" spans="1:7">
      <c r="A20" t="s">
        <v>974</v>
      </c>
      <c r="B20" t="s">
        <v>1198</v>
      </c>
      <c r="C20" t="s">
        <v>928</v>
      </c>
      <c r="D20">
        <v>150</v>
      </c>
      <c r="E20">
        <v>0.1</v>
      </c>
      <c r="G20">
        <v>1930</v>
      </c>
    </row>
    <row r="21" spans="1:7">
      <c r="A21" t="s">
        <v>974</v>
      </c>
      <c r="B21" t="s">
        <v>1199</v>
      </c>
      <c r="C21" t="s">
        <v>928</v>
      </c>
      <c r="D21">
        <v>250</v>
      </c>
      <c r="E21">
        <v>1</v>
      </c>
      <c r="G21">
        <v>1930</v>
      </c>
    </row>
    <row r="22" spans="1:7">
      <c r="A22" t="s">
        <v>974</v>
      </c>
      <c r="B22" t="s">
        <v>1200</v>
      </c>
      <c r="C22" t="s">
        <v>932</v>
      </c>
      <c r="D22">
        <v>5000</v>
      </c>
      <c r="E22">
        <v>6</v>
      </c>
      <c r="G22">
        <v>1930</v>
      </c>
    </row>
    <row r="23" spans="1:7">
      <c r="A23" t="s">
        <v>974</v>
      </c>
      <c r="B23" t="s">
        <v>1201</v>
      </c>
      <c r="C23" t="s">
        <v>932</v>
      </c>
      <c r="D23">
        <v>7500</v>
      </c>
      <c r="E23">
        <v>10</v>
      </c>
      <c r="G23">
        <v>1930</v>
      </c>
    </row>
    <row r="24" spans="1:7">
      <c r="A24" t="s">
        <v>974</v>
      </c>
      <c r="B24" t="s">
        <v>1202</v>
      </c>
      <c r="C24" t="s">
        <v>932</v>
      </c>
      <c r="D24">
        <v>800</v>
      </c>
      <c r="E24">
        <v>10</v>
      </c>
      <c r="G24">
        <v>2010</v>
      </c>
    </row>
    <row r="25" spans="1:7">
      <c r="A25" t="s">
        <v>974</v>
      </c>
      <c r="B25" t="s">
        <v>1203</v>
      </c>
      <c r="C25" t="s">
        <v>928</v>
      </c>
      <c r="D25">
        <v>150</v>
      </c>
      <c r="E25">
        <v>2</v>
      </c>
      <c r="G25">
        <v>1930</v>
      </c>
    </row>
    <row r="26" spans="1:7">
      <c r="A26" t="s">
        <v>974</v>
      </c>
      <c r="B26" t="s">
        <v>1204</v>
      </c>
      <c r="C26" t="s">
        <v>928</v>
      </c>
      <c r="D26">
        <v>150</v>
      </c>
      <c r="E26">
        <v>2</v>
      </c>
      <c r="G26">
        <v>1930</v>
      </c>
    </row>
    <row r="27" spans="1:7">
      <c r="A27" t="s">
        <v>974</v>
      </c>
      <c r="B27" t="s">
        <v>1205</v>
      </c>
      <c r="C27" t="s">
        <v>928</v>
      </c>
      <c r="D27">
        <v>150</v>
      </c>
      <c r="E27">
        <v>2</v>
      </c>
      <c r="F27" t="s">
        <v>1206</v>
      </c>
      <c r="G27">
        <v>1930</v>
      </c>
    </row>
    <row r="28" spans="1:7">
      <c r="A28" t="s">
        <v>974</v>
      </c>
      <c r="B28" t="s">
        <v>1207</v>
      </c>
      <c r="C28" t="s">
        <v>928</v>
      </c>
      <c r="D28">
        <v>2000</v>
      </c>
      <c r="E28">
        <v>3</v>
      </c>
      <c r="G28">
        <v>2010</v>
      </c>
    </row>
    <row r="29" spans="1:7">
      <c r="A29" t="s">
        <v>974</v>
      </c>
      <c r="B29" t="s">
        <v>1208</v>
      </c>
      <c r="C29" t="s">
        <v>928</v>
      </c>
      <c r="D29">
        <v>50</v>
      </c>
      <c r="E29">
        <v>0.8</v>
      </c>
      <c r="F29" t="s">
        <v>1209</v>
      </c>
      <c r="G29">
        <v>1930</v>
      </c>
    </row>
    <row r="30" spans="1:7">
      <c r="A30" t="s">
        <v>974</v>
      </c>
      <c r="B30" t="s">
        <v>1210</v>
      </c>
      <c r="C30" t="s">
        <v>928</v>
      </c>
      <c r="D30">
        <v>10</v>
      </c>
      <c r="E30">
        <v>0.5</v>
      </c>
      <c r="G30">
        <v>1930</v>
      </c>
    </row>
    <row r="31" spans="1:7">
      <c r="A31" t="s">
        <v>974</v>
      </c>
      <c r="B31" t="s">
        <v>1211</v>
      </c>
      <c r="C31" t="s">
        <v>928</v>
      </c>
      <c r="D31">
        <v>50</v>
      </c>
      <c r="E31">
        <v>3</v>
      </c>
      <c r="G31">
        <v>2010</v>
      </c>
    </row>
    <row r="32" spans="1:7">
      <c r="A32" t="s">
        <v>974</v>
      </c>
      <c r="B32" t="s">
        <v>1212</v>
      </c>
      <c r="C32" t="s">
        <v>928</v>
      </c>
      <c r="D32">
        <v>150</v>
      </c>
      <c r="E32">
        <v>6</v>
      </c>
      <c r="G32">
        <v>1930</v>
      </c>
    </row>
    <row r="33" spans="1:7">
      <c r="A33" t="s">
        <v>974</v>
      </c>
      <c r="B33" t="s">
        <v>1213</v>
      </c>
      <c r="C33" t="s">
        <v>928</v>
      </c>
      <c r="D33">
        <v>300</v>
      </c>
      <c r="E33">
        <v>12</v>
      </c>
      <c r="G33">
        <v>1930</v>
      </c>
    </row>
    <row r="34" spans="1:7">
      <c r="A34" t="s">
        <v>974</v>
      </c>
      <c r="B34" t="s">
        <v>1214</v>
      </c>
      <c r="C34" t="s">
        <v>928</v>
      </c>
      <c r="D34">
        <v>700</v>
      </c>
      <c r="E34">
        <v>35</v>
      </c>
      <c r="G34">
        <v>1930</v>
      </c>
    </row>
    <row r="35" spans="1:7">
      <c r="A35" t="s">
        <v>974</v>
      </c>
      <c r="B35" t="s">
        <v>1215</v>
      </c>
      <c r="C35" t="s">
        <v>928</v>
      </c>
      <c r="D35">
        <v>15</v>
      </c>
      <c r="E35">
        <v>1</v>
      </c>
      <c r="G35">
        <v>2010</v>
      </c>
    </row>
    <row r="36" spans="1:7">
      <c r="A36" t="s">
        <v>974</v>
      </c>
      <c r="B36" t="s">
        <v>1216</v>
      </c>
      <c r="C36" t="s">
        <v>932</v>
      </c>
      <c r="D36">
        <v>20</v>
      </c>
      <c r="E36">
        <v>0.5</v>
      </c>
      <c r="G36">
        <v>2010</v>
      </c>
    </row>
    <row r="37" spans="1:7">
      <c r="A37" t="s">
        <v>974</v>
      </c>
      <c r="B37" t="s">
        <v>1217</v>
      </c>
      <c r="C37" t="s">
        <v>928</v>
      </c>
      <c r="D37">
        <v>30</v>
      </c>
      <c r="E37">
        <v>5</v>
      </c>
      <c r="G37">
        <v>1930</v>
      </c>
    </row>
    <row r="38" spans="1:7">
      <c r="A38" t="s">
        <v>974</v>
      </c>
      <c r="B38" t="s">
        <v>1218</v>
      </c>
      <c r="C38" t="s">
        <v>928</v>
      </c>
      <c r="D38">
        <v>20</v>
      </c>
      <c r="E38">
        <v>2</v>
      </c>
      <c r="G38">
        <v>1930</v>
      </c>
    </row>
    <row r="39" spans="1:7">
      <c r="A39" t="s">
        <v>1185</v>
      </c>
      <c r="B39" t="s">
        <v>1186</v>
      </c>
      <c r="C39" t="s">
        <v>932</v>
      </c>
      <c r="D39">
        <v>1000</v>
      </c>
      <c r="E39">
        <v>12</v>
      </c>
      <c r="G39">
        <v>1930</v>
      </c>
    </row>
    <row r="40" spans="1:7">
      <c r="A40" t="s">
        <v>1185</v>
      </c>
      <c r="B40" t="s">
        <v>1187</v>
      </c>
      <c r="C40" t="s">
        <v>928</v>
      </c>
      <c r="D40">
        <v>2000</v>
      </c>
      <c r="E40">
        <v>12</v>
      </c>
      <c r="G40">
        <v>2010</v>
      </c>
    </row>
    <row r="41" spans="1:7">
      <c r="A41" t="s">
        <v>1185</v>
      </c>
      <c r="B41" t="s">
        <v>1188</v>
      </c>
      <c r="C41" t="s">
        <v>928</v>
      </c>
      <c r="D41">
        <v>1500</v>
      </c>
      <c r="E41">
        <v>6</v>
      </c>
      <c r="G41">
        <v>1930</v>
      </c>
    </row>
    <row r="42" spans="1:7">
      <c r="A42" t="s">
        <v>1185</v>
      </c>
      <c r="B42" t="s">
        <v>1189</v>
      </c>
      <c r="C42" t="s">
        <v>928</v>
      </c>
      <c r="D42">
        <v>2000</v>
      </c>
      <c r="E42">
        <v>12</v>
      </c>
      <c r="G42">
        <v>2010</v>
      </c>
    </row>
    <row r="43" spans="1:7">
      <c r="A43" t="s">
        <v>1185</v>
      </c>
      <c r="B43" t="s">
        <v>1190</v>
      </c>
      <c r="C43" t="s">
        <v>928</v>
      </c>
      <c r="D43">
        <v>4000</v>
      </c>
      <c r="E43">
        <v>20</v>
      </c>
      <c r="F43" t="s">
        <v>1191</v>
      </c>
      <c r="G43">
        <v>2010</v>
      </c>
    </row>
    <row r="44" spans="1:7">
      <c r="A44" t="s">
        <v>1185</v>
      </c>
      <c r="B44" t="s">
        <v>1192</v>
      </c>
      <c r="C44" t="s">
        <v>934</v>
      </c>
      <c r="D44">
        <v>10000</v>
      </c>
      <c r="E44">
        <v>500</v>
      </c>
      <c r="G44">
        <v>2010</v>
      </c>
    </row>
    <row r="45" spans="1:7">
      <c r="A45" t="s">
        <v>1185</v>
      </c>
      <c r="B45" t="s">
        <v>1193</v>
      </c>
      <c r="C45" t="s">
        <v>934</v>
      </c>
      <c r="D45">
        <v>15000</v>
      </c>
      <c r="E45">
        <v>250</v>
      </c>
      <c r="G45">
        <v>2010</v>
      </c>
    </row>
    <row r="46" spans="1:7">
      <c r="A46" t="s">
        <v>984</v>
      </c>
      <c r="B46" t="s">
        <v>985</v>
      </c>
      <c r="C46" t="s">
        <v>928</v>
      </c>
      <c r="D46">
        <v>180</v>
      </c>
      <c r="E46">
        <v>0.3</v>
      </c>
      <c r="F46" t="s">
        <v>986</v>
      </c>
      <c r="G46">
        <v>2011</v>
      </c>
    </row>
    <row r="47" spans="1:7">
      <c r="A47" t="s">
        <v>984</v>
      </c>
      <c r="B47" t="s">
        <v>987</v>
      </c>
      <c r="C47" t="s">
        <v>928</v>
      </c>
      <c r="D47">
        <v>60</v>
      </c>
      <c r="E47">
        <v>0.6</v>
      </c>
      <c r="F47" t="s">
        <v>1259</v>
      </c>
      <c r="G47">
        <v>1930</v>
      </c>
    </row>
    <row r="48" spans="1:7">
      <c r="A48" t="s">
        <v>984</v>
      </c>
      <c r="B48" t="s">
        <v>988</v>
      </c>
      <c r="C48" t="s">
        <v>928</v>
      </c>
      <c r="D48">
        <v>40</v>
      </c>
      <c r="E48">
        <v>0.8</v>
      </c>
      <c r="F48" t="s">
        <v>1260</v>
      </c>
      <c r="G48">
        <v>1930</v>
      </c>
    </row>
    <row r="49" spans="1:7">
      <c r="A49" t="s">
        <v>984</v>
      </c>
      <c r="B49" t="s">
        <v>989</v>
      </c>
      <c r="C49" t="s">
        <v>928</v>
      </c>
      <c r="D49">
        <v>25</v>
      </c>
      <c r="E49">
        <v>0.1</v>
      </c>
      <c r="F49" t="s">
        <v>1261</v>
      </c>
      <c r="G49">
        <v>1930</v>
      </c>
    </row>
    <row r="50" spans="1:7">
      <c r="A50" t="s">
        <v>984</v>
      </c>
      <c r="B50" t="s">
        <v>990</v>
      </c>
      <c r="C50" t="s">
        <v>932</v>
      </c>
      <c r="D50">
        <v>800</v>
      </c>
      <c r="E50">
        <v>1.3</v>
      </c>
      <c r="F50" t="s">
        <v>1262</v>
      </c>
      <c r="G50">
        <v>2010</v>
      </c>
    </row>
    <row r="51" spans="1:7">
      <c r="A51" t="s">
        <v>984</v>
      </c>
      <c r="B51" t="s">
        <v>1162</v>
      </c>
      <c r="C51" t="s">
        <v>932</v>
      </c>
      <c r="D51">
        <v>500</v>
      </c>
      <c r="E51">
        <v>4</v>
      </c>
      <c r="F51" t="s">
        <v>1163</v>
      </c>
      <c r="G51">
        <v>1930</v>
      </c>
    </row>
    <row r="52" spans="1:7">
      <c r="A52" t="s">
        <v>984</v>
      </c>
      <c r="B52" t="s">
        <v>1164</v>
      </c>
      <c r="C52" t="s">
        <v>928</v>
      </c>
      <c r="D52">
        <v>500</v>
      </c>
      <c r="E52">
        <v>5</v>
      </c>
      <c r="F52" t="s">
        <v>1165</v>
      </c>
      <c r="G52">
        <v>1930</v>
      </c>
    </row>
    <row r="53" spans="1:7">
      <c r="A53" t="s">
        <v>984</v>
      </c>
      <c r="B53" t="s">
        <v>1166</v>
      </c>
      <c r="C53" t="s">
        <v>928</v>
      </c>
      <c r="D53">
        <v>1500</v>
      </c>
      <c r="E53">
        <v>35</v>
      </c>
      <c r="F53" t="s">
        <v>1167</v>
      </c>
      <c r="G53">
        <v>2010</v>
      </c>
    </row>
    <row r="54" spans="1:7">
      <c r="A54" t="s">
        <v>984</v>
      </c>
      <c r="B54" t="s">
        <v>1168</v>
      </c>
      <c r="C54" t="s">
        <v>928</v>
      </c>
      <c r="D54">
        <v>1000</v>
      </c>
      <c r="E54">
        <v>10</v>
      </c>
      <c r="F54" t="s">
        <v>1169</v>
      </c>
      <c r="G54">
        <v>1930</v>
      </c>
    </row>
    <row r="55" spans="1:7">
      <c r="A55" t="s">
        <v>984</v>
      </c>
      <c r="B55" t="s">
        <v>1170</v>
      </c>
      <c r="C55" t="s">
        <v>934</v>
      </c>
      <c r="D55">
        <v>10000</v>
      </c>
      <c r="E55">
        <v>15</v>
      </c>
      <c r="F55" t="s">
        <v>1171</v>
      </c>
      <c r="G55">
        <v>1930</v>
      </c>
    </row>
    <row r="56" spans="1:7">
      <c r="A56" t="s">
        <v>984</v>
      </c>
      <c r="B56" t="s">
        <v>1172</v>
      </c>
      <c r="C56" t="s">
        <v>932</v>
      </c>
      <c r="D56">
        <v>15000</v>
      </c>
      <c r="E56">
        <v>15</v>
      </c>
      <c r="F56" t="s">
        <v>1173</v>
      </c>
      <c r="G56">
        <v>1930</v>
      </c>
    </row>
    <row r="57" spans="1:7">
      <c r="A57" t="s">
        <v>984</v>
      </c>
      <c r="B57" t="s">
        <v>1174</v>
      </c>
      <c r="C57" t="s">
        <v>934</v>
      </c>
      <c r="D57">
        <v>200000</v>
      </c>
      <c r="E57">
        <v>22</v>
      </c>
      <c r="F57" t="s">
        <v>1173</v>
      </c>
      <c r="G57">
        <v>2010</v>
      </c>
    </row>
    <row r="58" spans="1:7">
      <c r="A58" t="s">
        <v>984</v>
      </c>
      <c r="B58" t="s">
        <v>1175</v>
      </c>
      <c r="C58" t="s">
        <v>934</v>
      </c>
      <c r="D58">
        <v>200000</v>
      </c>
      <c r="E58">
        <v>22</v>
      </c>
      <c r="F58" t="s">
        <v>1173</v>
      </c>
      <c r="G58">
        <v>1930</v>
      </c>
    </row>
    <row r="59" spans="1:7">
      <c r="A59" t="s">
        <v>984</v>
      </c>
      <c r="B59" t="s">
        <v>1176</v>
      </c>
      <c r="C59" t="s">
        <v>932</v>
      </c>
      <c r="D59">
        <v>500</v>
      </c>
      <c r="E59">
        <v>30</v>
      </c>
      <c r="G59">
        <v>1930</v>
      </c>
    </row>
    <row r="60" spans="1:7">
      <c r="A60" t="s">
        <v>984</v>
      </c>
      <c r="B60" t="s">
        <v>1177</v>
      </c>
      <c r="C60" t="s">
        <v>932</v>
      </c>
      <c r="D60">
        <v>200</v>
      </c>
      <c r="E60">
        <v>5</v>
      </c>
      <c r="G60">
        <v>1930</v>
      </c>
    </row>
    <row r="61" spans="1:7">
      <c r="A61" t="s">
        <v>984</v>
      </c>
      <c r="B61" t="s">
        <v>1178</v>
      </c>
      <c r="C61" t="s">
        <v>932</v>
      </c>
      <c r="D61">
        <v>750</v>
      </c>
      <c r="E61">
        <v>25</v>
      </c>
      <c r="G61">
        <v>1930</v>
      </c>
    </row>
    <row r="62" spans="1:7">
      <c r="A62" t="s">
        <v>984</v>
      </c>
      <c r="B62" t="s">
        <v>1179</v>
      </c>
      <c r="C62" t="s">
        <v>928</v>
      </c>
      <c r="D62">
        <v>500</v>
      </c>
      <c r="E62">
        <v>3</v>
      </c>
      <c r="G62">
        <v>1930</v>
      </c>
    </row>
    <row r="63" spans="1:7">
      <c r="A63" t="s">
        <v>984</v>
      </c>
      <c r="B63" t="s">
        <v>1270</v>
      </c>
      <c r="C63" t="s">
        <v>928</v>
      </c>
      <c r="D63">
        <v>1000</v>
      </c>
      <c r="E63">
        <v>3</v>
      </c>
      <c r="G63">
        <v>1990</v>
      </c>
    </row>
    <row r="64" spans="1:7">
      <c r="A64" t="s">
        <v>984</v>
      </c>
      <c r="B64" t="s">
        <v>1180</v>
      </c>
      <c r="C64" t="s">
        <v>928</v>
      </c>
      <c r="D64">
        <v>1000</v>
      </c>
      <c r="E64">
        <v>2</v>
      </c>
      <c r="G64">
        <v>2010</v>
      </c>
    </row>
    <row r="65" spans="1:7">
      <c r="A65" t="s">
        <v>984</v>
      </c>
      <c r="B65" t="s">
        <v>1181</v>
      </c>
      <c r="C65" t="s">
        <v>932</v>
      </c>
      <c r="D65">
        <v>750</v>
      </c>
      <c r="E65">
        <v>1750</v>
      </c>
      <c r="G65">
        <v>2010</v>
      </c>
    </row>
    <row r="66" spans="1:7">
      <c r="A66" t="s">
        <v>984</v>
      </c>
      <c r="B66" t="s">
        <v>1182</v>
      </c>
      <c r="C66" t="s">
        <v>934</v>
      </c>
      <c r="D66">
        <v>20</v>
      </c>
      <c r="E66">
        <v>0.5</v>
      </c>
      <c r="G66">
        <v>1930</v>
      </c>
    </row>
    <row r="67" spans="1:7">
      <c r="A67" t="s">
        <v>984</v>
      </c>
      <c r="B67" t="s">
        <v>1183</v>
      </c>
      <c r="C67" t="s">
        <v>932</v>
      </c>
      <c r="D67">
        <v>250</v>
      </c>
      <c r="E67">
        <v>5</v>
      </c>
      <c r="F67" t="s">
        <v>1184</v>
      </c>
      <c r="G67">
        <v>2010</v>
      </c>
    </row>
    <row r="68" spans="1:7">
      <c r="A68" t="s">
        <v>960</v>
      </c>
      <c r="B68" t="s">
        <v>961</v>
      </c>
      <c r="C68" t="s">
        <v>928</v>
      </c>
      <c r="D68">
        <v>200</v>
      </c>
      <c r="E68">
        <v>0.7</v>
      </c>
      <c r="F68" t="s">
        <v>1139</v>
      </c>
      <c r="G68">
        <v>1930</v>
      </c>
    </row>
    <row r="69" spans="1:7">
      <c r="A69" t="s">
        <v>960</v>
      </c>
      <c r="B69" t="s">
        <v>962</v>
      </c>
      <c r="C69" t="s">
        <v>932</v>
      </c>
      <c r="D69">
        <v>2500</v>
      </c>
      <c r="E69">
        <v>0.8</v>
      </c>
      <c r="F69" t="s">
        <v>1257</v>
      </c>
      <c r="G69">
        <v>2010</v>
      </c>
    </row>
    <row r="70" spans="1:7">
      <c r="A70" t="s">
        <v>960</v>
      </c>
      <c r="B70" t="s">
        <v>1157</v>
      </c>
      <c r="C70" t="s">
        <v>934</v>
      </c>
      <c r="D70">
        <v>8000</v>
      </c>
      <c r="E70">
        <v>1.2</v>
      </c>
      <c r="F70" t="s">
        <v>1158</v>
      </c>
      <c r="G70">
        <v>1985</v>
      </c>
    </row>
    <row r="71" spans="1:7">
      <c r="A71" t="s">
        <v>960</v>
      </c>
      <c r="B71" t="s">
        <v>1159</v>
      </c>
      <c r="C71" t="s">
        <v>932</v>
      </c>
      <c r="D71">
        <v>5000</v>
      </c>
      <c r="E71">
        <v>1</v>
      </c>
      <c r="F71" t="s">
        <v>1160</v>
      </c>
      <c r="G71">
        <v>1990</v>
      </c>
    </row>
    <row r="72" spans="1:7">
      <c r="A72" t="s">
        <v>960</v>
      </c>
      <c r="B72" t="s">
        <v>1161</v>
      </c>
      <c r="C72" t="s">
        <v>932</v>
      </c>
      <c r="D72">
        <v>1500</v>
      </c>
      <c r="E72">
        <v>0.7</v>
      </c>
      <c r="F72" t="s">
        <v>1258</v>
      </c>
      <c r="G72">
        <v>1985</v>
      </c>
    </row>
    <row r="73" spans="1:7">
      <c r="A73" t="s">
        <v>960</v>
      </c>
      <c r="B73" t="s">
        <v>1149</v>
      </c>
      <c r="C73" t="s">
        <v>932</v>
      </c>
      <c r="D73">
        <v>7000</v>
      </c>
      <c r="E73">
        <v>0.6</v>
      </c>
      <c r="F73" t="s">
        <v>1150</v>
      </c>
      <c r="G73">
        <v>2000</v>
      </c>
    </row>
    <row r="74" spans="1:7">
      <c r="A74" t="s">
        <v>960</v>
      </c>
      <c r="B74" t="s">
        <v>1152</v>
      </c>
      <c r="C74" t="s">
        <v>934</v>
      </c>
      <c r="D74">
        <v>5000</v>
      </c>
      <c r="E74">
        <v>2</v>
      </c>
      <c r="F74" t="s">
        <v>1145</v>
      </c>
      <c r="G74">
        <v>2000</v>
      </c>
    </row>
    <row r="75" spans="1:7">
      <c r="A75" t="s">
        <v>945</v>
      </c>
      <c r="B75" t="s">
        <v>946</v>
      </c>
      <c r="C75" t="s">
        <v>928</v>
      </c>
      <c r="D75">
        <v>50</v>
      </c>
      <c r="E75">
        <v>1</v>
      </c>
      <c r="F75" t="s">
        <v>1252</v>
      </c>
      <c r="G75">
        <v>1930</v>
      </c>
    </row>
    <row r="76" spans="1:7">
      <c r="A76" t="s">
        <v>945</v>
      </c>
      <c r="B76" t="s">
        <v>947</v>
      </c>
      <c r="C76" t="s">
        <v>928</v>
      </c>
      <c r="D76">
        <v>200</v>
      </c>
      <c r="E76">
        <v>0.8</v>
      </c>
      <c r="F76" t="s">
        <v>948</v>
      </c>
      <c r="G76">
        <v>2000</v>
      </c>
    </row>
    <row r="77" spans="1:7">
      <c r="A77" t="s">
        <v>945</v>
      </c>
      <c r="B77" t="s">
        <v>949</v>
      </c>
      <c r="C77" t="s">
        <v>932</v>
      </c>
      <c r="D77">
        <v>600</v>
      </c>
      <c r="E77">
        <v>3.5</v>
      </c>
      <c r="F77" t="s">
        <v>950</v>
      </c>
      <c r="G77">
        <v>1930</v>
      </c>
    </row>
    <row r="78" spans="1:7">
      <c r="A78" t="s">
        <v>945</v>
      </c>
      <c r="B78" t="s">
        <v>951</v>
      </c>
      <c r="C78" t="s">
        <v>932</v>
      </c>
      <c r="D78">
        <v>1200</v>
      </c>
      <c r="E78">
        <v>2</v>
      </c>
      <c r="F78" t="s">
        <v>1253</v>
      </c>
      <c r="G78">
        <v>2010</v>
      </c>
    </row>
    <row r="79" spans="1:7">
      <c r="A79" t="s">
        <v>945</v>
      </c>
      <c r="B79" t="s">
        <v>952</v>
      </c>
      <c r="C79" t="s">
        <v>932</v>
      </c>
      <c r="D79">
        <v>150</v>
      </c>
      <c r="E79">
        <v>0.1</v>
      </c>
      <c r="F79" t="s">
        <v>1254</v>
      </c>
      <c r="G79">
        <v>2010</v>
      </c>
    </row>
    <row r="80" spans="1:7">
      <c r="A80" t="s">
        <v>945</v>
      </c>
      <c r="B80" t="s">
        <v>953</v>
      </c>
      <c r="C80" t="s">
        <v>928</v>
      </c>
      <c r="D80">
        <v>45</v>
      </c>
      <c r="E80">
        <v>0.1</v>
      </c>
      <c r="F80" t="s">
        <v>1255</v>
      </c>
      <c r="G80">
        <v>2004</v>
      </c>
    </row>
    <row r="81" spans="1:7">
      <c r="A81" t="s">
        <v>945</v>
      </c>
      <c r="B81" t="s">
        <v>1125</v>
      </c>
      <c r="C81" t="s">
        <v>934</v>
      </c>
      <c r="D81">
        <v>150</v>
      </c>
      <c r="E81">
        <v>0.01</v>
      </c>
      <c r="F81" t="s">
        <v>1126</v>
      </c>
      <c r="G81">
        <v>1930</v>
      </c>
    </row>
    <row r="82" spans="1:7">
      <c r="A82" t="s">
        <v>945</v>
      </c>
      <c r="B82" t="s">
        <v>1127</v>
      </c>
      <c r="C82" t="s">
        <v>932</v>
      </c>
      <c r="D82">
        <v>100</v>
      </c>
      <c r="E82">
        <v>0.05</v>
      </c>
      <c r="F82" t="s">
        <v>1126</v>
      </c>
      <c r="G82">
        <v>1930</v>
      </c>
    </row>
    <row r="83" spans="1:7">
      <c r="A83" t="s">
        <v>945</v>
      </c>
      <c r="B83" t="s">
        <v>1128</v>
      </c>
      <c r="C83" t="s">
        <v>928</v>
      </c>
      <c r="D83">
        <v>20</v>
      </c>
      <c r="E83">
        <v>0.02</v>
      </c>
      <c r="F83" t="s">
        <v>1129</v>
      </c>
      <c r="G83">
        <v>1930</v>
      </c>
    </row>
    <row r="84" spans="1:7">
      <c r="A84" t="s">
        <v>945</v>
      </c>
      <c r="B84" t="s">
        <v>1130</v>
      </c>
      <c r="C84" t="s">
        <v>928</v>
      </c>
      <c r="D84">
        <v>20</v>
      </c>
      <c r="E84">
        <v>0.05</v>
      </c>
      <c r="G84">
        <v>1930</v>
      </c>
    </row>
    <row r="85" spans="1:7">
      <c r="A85" t="s">
        <v>945</v>
      </c>
      <c r="B85" t="s">
        <v>1131</v>
      </c>
      <c r="C85" t="s">
        <v>932</v>
      </c>
      <c r="D85">
        <v>50</v>
      </c>
      <c r="E85">
        <v>0.05</v>
      </c>
      <c r="F85" t="s">
        <v>1132</v>
      </c>
      <c r="G85">
        <v>1930</v>
      </c>
    </row>
    <row r="86" spans="1:7">
      <c r="A86" t="s">
        <v>945</v>
      </c>
      <c r="B86" t="s">
        <v>1133</v>
      </c>
      <c r="C86" t="s">
        <v>934</v>
      </c>
      <c r="D86">
        <v>150</v>
      </c>
      <c r="E86">
        <v>0.05</v>
      </c>
      <c r="F86" t="s">
        <v>1134</v>
      </c>
      <c r="G86">
        <v>1930</v>
      </c>
    </row>
    <row r="87" spans="1:7">
      <c r="A87" t="s">
        <v>945</v>
      </c>
      <c r="B87" t="s">
        <v>1135</v>
      </c>
      <c r="C87" t="s">
        <v>934</v>
      </c>
      <c r="D87">
        <v>500</v>
      </c>
      <c r="E87">
        <v>0.05</v>
      </c>
      <c r="F87" t="s">
        <v>1134</v>
      </c>
      <c r="G87">
        <v>1930</v>
      </c>
    </row>
    <row r="88" spans="1:7">
      <c r="A88" t="s">
        <v>945</v>
      </c>
      <c r="B88" t="s">
        <v>1136</v>
      </c>
      <c r="C88" t="s">
        <v>934</v>
      </c>
      <c r="D88">
        <v>250</v>
      </c>
      <c r="E88">
        <v>0.5</v>
      </c>
      <c r="G88">
        <v>1930</v>
      </c>
    </row>
    <row r="89" spans="1:7">
      <c r="A89" t="s">
        <v>945</v>
      </c>
      <c r="B89" t="s">
        <v>1137</v>
      </c>
      <c r="C89" t="s">
        <v>934</v>
      </c>
      <c r="D89">
        <v>1000</v>
      </c>
      <c r="E89">
        <v>0.5</v>
      </c>
      <c r="G89">
        <v>2010</v>
      </c>
    </row>
    <row r="90" spans="1:7">
      <c r="A90" t="s">
        <v>945</v>
      </c>
      <c r="B90" t="s">
        <v>1138</v>
      </c>
      <c r="C90" t="s">
        <v>934</v>
      </c>
      <c r="D90">
        <v>2500</v>
      </c>
      <c r="E90">
        <v>5</v>
      </c>
      <c r="F90" t="s">
        <v>1256</v>
      </c>
      <c r="G90">
        <v>1930</v>
      </c>
    </row>
    <row r="91" spans="1:7">
      <c r="A91" t="s">
        <v>1103</v>
      </c>
      <c r="B91" t="s">
        <v>1104</v>
      </c>
      <c r="C91" t="s">
        <v>932</v>
      </c>
      <c r="D91">
        <v>7.5</v>
      </c>
      <c r="E91">
        <v>0.25</v>
      </c>
      <c r="G91">
        <v>1930</v>
      </c>
    </row>
    <row r="92" spans="1:7">
      <c r="A92" t="s">
        <v>1103</v>
      </c>
      <c r="B92" t="s">
        <v>1105</v>
      </c>
      <c r="C92" t="s">
        <v>934</v>
      </c>
      <c r="D92">
        <v>3</v>
      </c>
      <c r="E92">
        <v>0.1</v>
      </c>
      <c r="G92">
        <v>2010</v>
      </c>
    </row>
    <row r="93" spans="1:7">
      <c r="A93" t="s">
        <v>1103</v>
      </c>
      <c r="B93" t="s">
        <v>1106</v>
      </c>
      <c r="C93" t="s">
        <v>934</v>
      </c>
      <c r="D93">
        <v>4</v>
      </c>
      <c r="E93">
        <v>0.05</v>
      </c>
      <c r="G93">
        <v>2010</v>
      </c>
    </row>
    <row r="94" spans="1:7">
      <c r="A94" t="s">
        <v>1103</v>
      </c>
      <c r="B94" t="s">
        <v>1107</v>
      </c>
      <c r="C94" t="s">
        <v>934</v>
      </c>
      <c r="D94">
        <v>50</v>
      </c>
      <c r="E94">
        <v>4</v>
      </c>
      <c r="G94">
        <v>1930</v>
      </c>
    </row>
    <row r="95" spans="1:7">
      <c r="A95" t="s">
        <v>1103</v>
      </c>
      <c r="B95" t="s">
        <v>1108</v>
      </c>
      <c r="C95" t="s">
        <v>934</v>
      </c>
      <c r="D95">
        <v>250</v>
      </c>
      <c r="E95">
        <v>2</v>
      </c>
      <c r="G95">
        <v>2010</v>
      </c>
    </row>
    <row r="96" spans="1:7">
      <c r="A96" t="s">
        <v>1103</v>
      </c>
      <c r="B96" t="s">
        <v>1109</v>
      </c>
      <c r="C96" t="s">
        <v>934</v>
      </c>
      <c r="D96">
        <v>100</v>
      </c>
      <c r="E96">
        <v>35</v>
      </c>
      <c r="G96">
        <v>1930</v>
      </c>
    </row>
    <row r="97" spans="1:7">
      <c r="A97" t="s">
        <v>1103</v>
      </c>
      <c r="B97" t="s">
        <v>1110</v>
      </c>
      <c r="C97" t="s">
        <v>932</v>
      </c>
      <c r="D97">
        <v>2</v>
      </c>
      <c r="E97" t="s">
        <v>1111</v>
      </c>
      <c r="G97">
        <v>1930</v>
      </c>
    </row>
    <row r="98" spans="1:7">
      <c r="A98" t="s">
        <v>1103</v>
      </c>
      <c r="B98" t="s">
        <v>1112</v>
      </c>
      <c r="C98" t="s">
        <v>932</v>
      </c>
      <c r="D98">
        <v>2</v>
      </c>
      <c r="E98" t="s">
        <v>1111</v>
      </c>
      <c r="G98">
        <v>1930</v>
      </c>
    </row>
    <row r="99" spans="1:7">
      <c r="A99" t="s">
        <v>1103</v>
      </c>
      <c r="B99" t="s">
        <v>1113</v>
      </c>
      <c r="C99" t="s">
        <v>932</v>
      </c>
      <c r="D99">
        <v>100</v>
      </c>
      <c r="E99">
        <v>3</v>
      </c>
      <c r="F99" t="s">
        <v>1114</v>
      </c>
      <c r="G99">
        <v>1930</v>
      </c>
    </row>
    <row r="100" spans="1:7">
      <c r="A100" t="s">
        <v>1103</v>
      </c>
      <c r="B100" t="s">
        <v>1115</v>
      </c>
      <c r="C100" t="s">
        <v>932</v>
      </c>
      <c r="D100">
        <v>75</v>
      </c>
      <c r="E100">
        <v>3</v>
      </c>
      <c r="F100" t="s">
        <v>1116</v>
      </c>
      <c r="G100">
        <v>1930</v>
      </c>
    </row>
    <row r="101" spans="1:7">
      <c r="A101" t="s">
        <v>1103</v>
      </c>
      <c r="B101" t="s">
        <v>1117</v>
      </c>
      <c r="C101" t="s">
        <v>928</v>
      </c>
      <c r="D101">
        <v>10</v>
      </c>
      <c r="E101">
        <v>2</v>
      </c>
      <c r="G101">
        <v>1930</v>
      </c>
    </row>
    <row r="102" spans="1:7">
      <c r="A102" t="s">
        <v>1103</v>
      </c>
      <c r="B102" t="s">
        <v>1118</v>
      </c>
      <c r="C102" t="s">
        <v>932</v>
      </c>
      <c r="D102">
        <v>20</v>
      </c>
      <c r="E102">
        <v>0.25</v>
      </c>
      <c r="F102" t="s">
        <v>1119</v>
      </c>
      <c r="G102">
        <v>1930</v>
      </c>
    </row>
    <row r="103" spans="1:7">
      <c r="A103" t="s">
        <v>1103</v>
      </c>
      <c r="B103" t="s">
        <v>1120</v>
      </c>
      <c r="C103" t="s">
        <v>932</v>
      </c>
      <c r="D103">
        <v>3</v>
      </c>
      <c r="E103" t="s">
        <v>1111</v>
      </c>
      <c r="G103">
        <v>1930</v>
      </c>
    </row>
    <row r="104" spans="1:7">
      <c r="A104" t="s">
        <v>1103</v>
      </c>
      <c r="B104" t="s">
        <v>1121</v>
      </c>
      <c r="C104" t="s">
        <v>932</v>
      </c>
      <c r="D104">
        <v>50</v>
      </c>
      <c r="E104">
        <v>0.5</v>
      </c>
      <c r="F104" t="s">
        <v>1122</v>
      </c>
      <c r="G104">
        <v>1930</v>
      </c>
    </row>
    <row r="105" spans="1:7">
      <c r="A105" t="s">
        <v>1103</v>
      </c>
      <c r="B105" t="s">
        <v>1123</v>
      </c>
      <c r="C105" t="s">
        <v>928</v>
      </c>
      <c r="D105">
        <v>50</v>
      </c>
      <c r="E105">
        <v>5</v>
      </c>
      <c r="G105">
        <v>1930</v>
      </c>
    </row>
    <row r="106" spans="1:7">
      <c r="A106" t="s">
        <v>1103</v>
      </c>
      <c r="B106" t="s">
        <v>1124</v>
      </c>
      <c r="C106" t="s">
        <v>932</v>
      </c>
      <c r="F106" t="s">
        <v>1043</v>
      </c>
      <c r="G106">
        <v>2010</v>
      </c>
    </row>
    <row r="107" spans="1:7">
      <c r="A107" t="s">
        <v>1103</v>
      </c>
      <c r="B107" t="s">
        <v>1271</v>
      </c>
      <c r="C107" t="s">
        <v>932</v>
      </c>
      <c r="D107">
        <v>50</v>
      </c>
      <c r="E107">
        <v>0</v>
      </c>
      <c r="F107" t="s">
        <v>1272</v>
      </c>
      <c r="G107">
        <v>2010</v>
      </c>
    </row>
    <row r="108" spans="1:7">
      <c r="A108" t="s">
        <v>1276</v>
      </c>
      <c r="B108" t="s">
        <v>1250</v>
      </c>
      <c r="C108" t="s">
        <v>932</v>
      </c>
      <c r="D108">
        <v>125</v>
      </c>
      <c r="E108">
        <v>0.5</v>
      </c>
      <c r="G108">
        <v>1960</v>
      </c>
    </row>
    <row r="109" spans="1:7">
      <c r="A109" t="s">
        <v>1276</v>
      </c>
      <c r="B109" t="s">
        <v>1251</v>
      </c>
      <c r="C109" t="s">
        <v>932</v>
      </c>
      <c r="D109">
        <v>50</v>
      </c>
      <c r="E109">
        <v>1</v>
      </c>
      <c r="G109">
        <v>1930</v>
      </c>
    </row>
    <row r="110" spans="1:7">
      <c r="A110" t="s">
        <v>1276</v>
      </c>
      <c r="B110" t="s">
        <v>1082</v>
      </c>
      <c r="C110" t="s">
        <v>932</v>
      </c>
      <c r="G110">
        <v>1990</v>
      </c>
    </row>
    <row r="111" spans="1:7">
      <c r="A111" t="s">
        <v>1276</v>
      </c>
      <c r="B111" t="s">
        <v>1083</v>
      </c>
      <c r="C111" t="s">
        <v>928</v>
      </c>
      <c r="G111">
        <v>2010</v>
      </c>
    </row>
    <row r="112" spans="1:7">
      <c r="A112" t="s">
        <v>1276</v>
      </c>
      <c r="B112" t="s">
        <v>1084</v>
      </c>
      <c r="C112" t="s">
        <v>928</v>
      </c>
      <c r="G112">
        <v>2010</v>
      </c>
    </row>
    <row r="113" spans="1:7">
      <c r="A113" t="s">
        <v>1276</v>
      </c>
      <c r="B113" t="s">
        <v>1085</v>
      </c>
      <c r="C113" t="s">
        <v>928</v>
      </c>
      <c r="G113">
        <v>2010</v>
      </c>
    </row>
    <row r="114" spans="1:7">
      <c r="A114" t="s">
        <v>1276</v>
      </c>
      <c r="B114" t="s">
        <v>1086</v>
      </c>
      <c r="C114" t="s">
        <v>928</v>
      </c>
      <c r="G114">
        <v>2004</v>
      </c>
    </row>
    <row r="115" spans="1:7">
      <c r="A115" t="s">
        <v>1276</v>
      </c>
      <c r="B115" t="s">
        <v>1087</v>
      </c>
      <c r="C115" t="s">
        <v>928</v>
      </c>
      <c r="G115">
        <v>2010</v>
      </c>
    </row>
    <row r="116" spans="1:7">
      <c r="A116" t="s">
        <v>1276</v>
      </c>
      <c r="B116" t="s">
        <v>1088</v>
      </c>
      <c r="C116" t="s">
        <v>928</v>
      </c>
      <c r="D116">
        <v>300</v>
      </c>
      <c r="E116">
        <v>0.5</v>
      </c>
      <c r="G116">
        <v>2010</v>
      </c>
    </row>
    <row r="117" spans="1:7">
      <c r="A117" t="s">
        <v>1276</v>
      </c>
      <c r="B117" t="s">
        <v>1089</v>
      </c>
      <c r="C117" t="s">
        <v>928</v>
      </c>
      <c r="D117">
        <v>1000</v>
      </c>
      <c r="E117">
        <v>3</v>
      </c>
      <c r="G117">
        <v>1995</v>
      </c>
    </row>
    <row r="118" spans="1:7">
      <c r="A118" t="s">
        <v>1276</v>
      </c>
      <c r="B118" t="s">
        <v>1090</v>
      </c>
      <c r="C118" t="s">
        <v>928</v>
      </c>
      <c r="D118">
        <v>1500</v>
      </c>
      <c r="E118">
        <v>3</v>
      </c>
      <c r="G118">
        <v>1995</v>
      </c>
    </row>
    <row r="119" spans="1:7">
      <c r="A119" t="s">
        <v>1276</v>
      </c>
      <c r="B119" t="s">
        <v>1091</v>
      </c>
      <c r="C119" t="s">
        <v>928</v>
      </c>
      <c r="D119">
        <v>2500</v>
      </c>
      <c r="E119">
        <v>4</v>
      </c>
      <c r="G119">
        <v>1995</v>
      </c>
    </row>
    <row r="120" spans="1:7">
      <c r="A120" t="s">
        <v>1276</v>
      </c>
      <c r="B120" t="s">
        <v>1092</v>
      </c>
      <c r="C120" t="s">
        <v>928</v>
      </c>
      <c r="D120">
        <v>400</v>
      </c>
      <c r="E120">
        <v>0.5</v>
      </c>
      <c r="G120">
        <v>1930</v>
      </c>
    </row>
    <row r="121" spans="1:7">
      <c r="A121" t="s">
        <v>1276</v>
      </c>
      <c r="B121" t="s">
        <v>1093</v>
      </c>
      <c r="C121" t="s">
        <v>928</v>
      </c>
      <c r="D121">
        <v>2500</v>
      </c>
      <c r="E121">
        <v>1</v>
      </c>
      <c r="G121">
        <v>2010</v>
      </c>
    </row>
    <row r="122" spans="1:7">
      <c r="A122" t="s">
        <v>1276</v>
      </c>
      <c r="B122" t="s">
        <v>1094</v>
      </c>
      <c r="C122" t="s">
        <v>928</v>
      </c>
      <c r="D122">
        <v>2500</v>
      </c>
      <c r="E122">
        <v>1.5</v>
      </c>
      <c r="G122">
        <v>2010</v>
      </c>
    </row>
    <row r="123" spans="1:7">
      <c r="A123" t="s">
        <v>1276</v>
      </c>
      <c r="B123" t="s">
        <v>1095</v>
      </c>
      <c r="C123" t="s">
        <v>928</v>
      </c>
      <c r="D123">
        <v>1000</v>
      </c>
      <c r="E123">
        <v>4</v>
      </c>
      <c r="F123" t="s">
        <v>1096</v>
      </c>
      <c r="G123">
        <v>1990</v>
      </c>
    </row>
    <row r="124" spans="1:7">
      <c r="A124" t="s">
        <v>1276</v>
      </c>
      <c r="B124" t="s">
        <v>1097</v>
      </c>
      <c r="C124" t="s">
        <v>934</v>
      </c>
      <c r="D124">
        <v>40000</v>
      </c>
      <c r="E124">
        <v>7</v>
      </c>
      <c r="F124" t="s">
        <v>1098</v>
      </c>
      <c r="G124">
        <v>2010</v>
      </c>
    </row>
    <row r="125" spans="1:7">
      <c r="A125" t="s">
        <v>1276</v>
      </c>
      <c r="B125" t="s">
        <v>1099</v>
      </c>
      <c r="C125" t="s">
        <v>934</v>
      </c>
      <c r="D125">
        <v>100000</v>
      </c>
      <c r="E125">
        <v>7</v>
      </c>
      <c r="F125" t="s">
        <v>1098</v>
      </c>
      <c r="G125">
        <v>2010</v>
      </c>
    </row>
    <row r="126" spans="1:7">
      <c r="A126" t="s">
        <v>1276</v>
      </c>
      <c r="B126" t="s">
        <v>1100</v>
      </c>
      <c r="C126" t="s">
        <v>934</v>
      </c>
      <c r="D126">
        <v>200000</v>
      </c>
      <c r="E126">
        <v>7</v>
      </c>
      <c r="F126" t="s">
        <v>1098</v>
      </c>
      <c r="G126">
        <v>2010</v>
      </c>
    </row>
    <row r="127" spans="1:7">
      <c r="A127" t="s">
        <v>1276</v>
      </c>
      <c r="B127" t="s">
        <v>1101</v>
      </c>
      <c r="C127" t="s">
        <v>928</v>
      </c>
      <c r="D127">
        <v>500</v>
      </c>
      <c r="E127">
        <v>0.4</v>
      </c>
      <c r="G127">
        <v>1996</v>
      </c>
    </row>
    <row r="128" spans="1:7">
      <c r="A128" t="s">
        <v>1276</v>
      </c>
      <c r="B128" t="s">
        <v>1102</v>
      </c>
      <c r="C128" t="s">
        <v>928</v>
      </c>
      <c r="D128">
        <v>10</v>
      </c>
      <c r="E128">
        <v>0.1</v>
      </c>
      <c r="G128">
        <v>1995</v>
      </c>
    </row>
    <row r="129" spans="1:7">
      <c r="A129" t="s">
        <v>1276</v>
      </c>
      <c r="B129" t="s">
        <v>1080</v>
      </c>
      <c r="C129" t="s">
        <v>932</v>
      </c>
      <c r="D129">
        <v>125</v>
      </c>
      <c r="E129">
        <v>0.5</v>
      </c>
      <c r="G129">
        <v>2010</v>
      </c>
    </row>
    <row r="130" spans="1:7">
      <c r="A130" t="s">
        <v>1276</v>
      </c>
      <c r="B130" t="s">
        <v>1081</v>
      </c>
      <c r="C130" t="s">
        <v>932</v>
      </c>
      <c r="D130">
        <v>50</v>
      </c>
      <c r="E130">
        <v>1</v>
      </c>
      <c r="G130">
        <v>1930</v>
      </c>
    </row>
    <row r="131" spans="1:7">
      <c r="A131" t="s">
        <v>980</v>
      </c>
      <c r="B131" t="s">
        <v>981</v>
      </c>
      <c r="C131" t="s">
        <v>928</v>
      </c>
      <c r="D131">
        <v>180</v>
      </c>
      <c r="E131">
        <v>0.1</v>
      </c>
      <c r="F131" t="s">
        <v>1247</v>
      </c>
      <c r="G131">
        <v>1999</v>
      </c>
    </row>
    <row r="132" spans="1:7">
      <c r="A132" t="s">
        <v>980</v>
      </c>
      <c r="B132" t="s">
        <v>982</v>
      </c>
      <c r="C132" t="s">
        <v>928</v>
      </c>
      <c r="D132">
        <v>120</v>
      </c>
      <c r="E132">
        <v>0.2</v>
      </c>
      <c r="F132" t="s">
        <v>1248</v>
      </c>
      <c r="G132">
        <v>2000</v>
      </c>
    </row>
    <row r="133" spans="1:7">
      <c r="A133" t="s">
        <v>980</v>
      </c>
      <c r="B133" t="s">
        <v>983</v>
      </c>
      <c r="C133" t="s">
        <v>928</v>
      </c>
      <c r="D133">
        <v>30</v>
      </c>
      <c r="E133">
        <v>0.2</v>
      </c>
      <c r="F133" t="s">
        <v>1249</v>
      </c>
      <c r="G133">
        <v>2010</v>
      </c>
    </row>
    <row r="134" spans="1:7">
      <c r="A134" t="s">
        <v>980</v>
      </c>
      <c r="B134" t="s">
        <v>1075</v>
      </c>
      <c r="C134" t="s">
        <v>928</v>
      </c>
      <c r="D134">
        <v>30</v>
      </c>
      <c r="E134">
        <v>0.5</v>
      </c>
      <c r="G134">
        <v>1930</v>
      </c>
    </row>
    <row r="135" spans="1:7">
      <c r="A135" t="s">
        <v>980</v>
      </c>
      <c r="B135" t="s">
        <v>1076</v>
      </c>
      <c r="C135" t="s">
        <v>932</v>
      </c>
      <c r="D135">
        <v>50</v>
      </c>
      <c r="E135">
        <v>0.5</v>
      </c>
      <c r="G135">
        <v>2010</v>
      </c>
    </row>
    <row r="136" spans="1:7">
      <c r="A136" t="s">
        <v>980</v>
      </c>
      <c r="B136" t="s">
        <v>1077</v>
      </c>
      <c r="C136" t="s">
        <v>928</v>
      </c>
      <c r="D136">
        <v>100</v>
      </c>
      <c r="E136">
        <v>2</v>
      </c>
      <c r="G136">
        <v>1930</v>
      </c>
    </row>
    <row r="137" spans="1:7">
      <c r="A137" t="s">
        <v>980</v>
      </c>
      <c r="B137" t="s">
        <v>1078</v>
      </c>
      <c r="C137" t="s">
        <v>928</v>
      </c>
      <c r="D137">
        <v>20</v>
      </c>
      <c r="E137">
        <v>1</v>
      </c>
      <c r="G137">
        <v>1930</v>
      </c>
    </row>
    <row r="138" spans="1:7">
      <c r="A138" t="s">
        <v>980</v>
      </c>
      <c r="B138" t="s">
        <v>1079</v>
      </c>
      <c r="C138" t="s">
        <v>928</v>
      </c>
      <c r="D138">
        <v>100</v>
      </c>
      <c r="E138">
        <v>0.5</v>
      </c>
      <c r="G138">
        <v>1930</v>
      </c>
    </row>
    <row r="139" spans="1:7">
      <c r="A139" t="s">
        <v>1055</v>
      </c>
      <c r="B139" t="s">
        <v>1056</v>
      </c>
      <c r="C139" t="s">
        <v>928</v>
      </c>
      <c r="D139">
        <v>20</v>
      </c>
      <c r="E139">
        <v>0.1</v>
      </c>
      <c r="F139" t="s">
        <v>1057</v>
      </c>
      <c r="G139">
        <v>1930</v>
      </c>
    </row>
    <row r="140" spans="1:7">
      <c r="A140" t="s">
        <v>1055</v>
      </c>
      <c r="B140" t="s">
        <v>1058</v>
      </c>
      <c r="C140" t="s">
        <v>1059</v>
      </c>
      <c r="D140">
        <v>5</v>
      </c>
      <c r="E140">
        <v>0.05</v>
      </c>
      <c r="F140" t="s">
        <v>1060</v>
      </c>
      <c r="G140">
        <v>1930</v>
      </c>
    </row>
    <row r="141" spans="1:7">
      <c r="A141" t="s">
        <v>1055</v>
      </c>
      <c r="B141" t="s">
        <v>1061</v>
      </c>
      <c r="C141" t="s">
        <v>928</v>
      </c>
      <c r="D141">
        <v>100</v>
      </c>
      <c r="E141">
        <v>20</v>
      </c>
      <c r="G141">
        <v>1930</v>
      </c>
    </row>
    <row r="142" spans="1:7">
      <c r="A142" t="s">
        <v>1055</v>
      </c>
      <c r="B142" t="s">
        <v>1062</v>
      </c>
      <c r="C142" t="s">
        <v>928</v>
      </c>
      <c r="D142">
        <v>25</v>
      </c>
      <c r="E142">
        <v>1</v>
      </c>
      <c r="G142">
        <v>1930</v>
      </c>
    </row>
    <row r="143" spans="1:7">
      <c r="A143" t="s">
        <v>1055</v>
      </c>
      <c r="B143" t="s">
        <v>1063</v>
      </c>
      <c r="C143" t="s">
        <v>932</v>
      </c>
      <c r="D143">
        <v>300</v>
      </c>
      <c r="E143">
        <v>12</v>
      </c>
      <c r="G143">
        <v>1930</v>
      </c>
    </row>
    <row r="144" spans="1:7">
      <c r="A144" t="s">
        <v>1055</v>
      </c>
      <c r="B144" t="s">
        <v>1064</v>
      </c>
      <c r="C144" t="s">
        <v>928</v>
      </c>
      <c r="D144">
        <v>125</v>
      </c>
      <c r="E144">
        <v>3</v>
      </c>
      <c r="G144">
        <v>1930</v>
      </c>
    </row>
    <row r="145" spans="1:7">
      <c r="A145" t="s">
        <v>1055</v>
      </c>
      <c r="B145" t="s">
        <v>1065</v>
      </c>
      <c r="C145" t="s">
        <v>928</v>
      </c>
      <c r="D145">
        <v>80</v>
      </c>
      <c r="E145">
        <v>2</v>
      </c>
      <c r="G145">
        <v>1930</v>
      </c>
    </row>
    <row r="146" spans="1:7">
      <c r="A146" t="s">
        <v>1055</v>
      </c>
      <c r="B146" t="s">
        <v>1066</v>
      </c>
      <c r="C146" t="s">
        <v>928</v>
      </c>
      <c r="D146">
        <v>100</v>
      </c>
      <c r="E146">
        <v>1.5</v>
      </c>
      <c r="G146">
        <v>1930</v>
      </c>
    </row>
    <row r="147" spans="1:7">
      <c r="A147" t="s">
        <v>1055</v>
      </c>
      <c r="B147" t="s">
        <v>1067</v>
      </c>
      <c r="C147" t="s">
        <v>928</v>
      </c>
      <c r="D147">
        <v>200</v>
      </c>
      <c r="E147">
        <v>4</v>
      </c>
      <c r="G147">
        <v>1930</v>
      </c>
    </row>
    <row r="148" spans="1:7">
      <c r="A148" t="s">
        <v>1055</v>
      </c>
      <c r="B148" t="s">
        <v>1068</v>
      </c>
      <c r="C148" t="s">
        <v>932</v>
      </c>
      <c r="D148">
        <v>250</v>
      </c>
      <c r="E148">
        <v>3</v>
      </c>
      <c r="G148">
        <v>1930</v>
      </c>
    </row>
    <row r="149" spans="1:7">
      <c r="A149" t="s">
        <v>1055</v>
      </c>
      <c r="B149" t="s">
        <v>1069</v>
      </c>
      <c r="C149" t="s">
        <v>928</v>
      </c>
      <c r="D149">
        <v>200</v>
      </c>
      <c r="E149">
        <v>3</v>
      </c>
      <c r="F149" t="s">
        <v>1070</v>
      </c>
      <c r="G149">
        <v>1930</v>
      </c>
    </row>
    <row r="150" spans="1:7">
      <c r="A150" t="s">
        <v>1055</v>
      </c>
      <c r="B150" t="s">
        <v>1071</v>
      </c>
      <c r="C150" t="s">
        <v>928</v>
      </c>
      <c r="D150">
        <v>50</v>
      </c>
      <c r="E150">
        <v>2</v>
      </c>
      <c r="F150" t="s">
        <v>1072</v>
      </c>
      <c r="G150">
        <v>1930</v>
      </c>
    </row>
    <row r="151" spans="1:7">
      <c r="A151" t="s">
        <v>1055</v>
      </c>
      <c r="B151" t="s">
        <v>1073</v>
      </c>
      <c r="C151" t="s">
        <v>928</v>
      </c>
      <c r="D151">
        <v>60</v>
      </c>
      <c r="E151">
        <v>2</v>
      </c>
      <c r="F151" t="s">
        <v>1245</v>
      </c>
      <c r="G151">
        <v>1930</v>
      </c>
    </row>
    <row r="152" spans="1:7">
      <c r="A152" t="s">
        <v>1055</v>
      </c>
      <c r="B152" t="s">
        <v>1074</v>
      </c>
      <c r="C152" t="s">
        <v>928</v>
      </c>
      <c r="D152">
        <v>80</v>
      </c>
      <c r="E152">
        <v>4</v>
      </c>
      <c r="F152" t="s">
        <v>1246</v>
      </c>
      <c r="G152">
        <v>1930</v>
      </c>
    </row>
    <row r="153" spans="1:7">
      <c r="A153" t="s">
        <v>954</v>
      </c>
      <c r="B153" t="s">
        <v>955</v>
      </c>
      <c r="C153" t="s">
        <v>932</v>
      </c>
      <c r="D153">
        <v>3500</v>
      </c>
      <c r="E153">
        <v>0.6</v>
      </c>
      <c r="F153" t="s">
        <v>1240</v>
      </c>
      <c r="G153">
        <v>2000</v>
      </c>
    </row>
    <row r="154" spans="1:7">
      <c r="A154" t="s">
        <v>954</v>
      </c>
      <c r="B154" t="s">
        <v>956</v>
      </c>
      <c r="C154" t="s">
        <v>934</v>
      </c>
      <c r="D154">
        <v>8000</v>
      </c>
      <c r="E154">
        <v>5</v>
      </c>
      <c r="F154" t="s">
        <v>1241</v>
      </c>
      <c r="G154">
        <v>2010</v>
      </c>
    </row>
    <row r="155" spans="1:7">
      <c r="A155" t="s">
        <v>954</v>
      </c>
      <c r="B155" t="s">
        <v>957</v>
      </c>
      <c r="C155" t="s">
        <v>928</v>
      </c>
      <c r="D155">
        <v>800</v>
      </c>
      <c r="E155">
        <v>0.4</v>
      </c>
      <c r="F155" t="s">
        <v>1242</v>
      </c>
      <c r="G155">
        <v>2012</v>
      </c>
    </row>
    <row r="156" spans="1:7">
      <c r="A156" t="s">
        <v>954</v>
      </c>
      <c r="B156" t="s">
        <v>958</v>
      </c>
      <c r="C156" t="s">
        <v>928</v>
      </c>
      <c r="D156">
        <v>350</v>
      </c>
      <c r="E156">
        <v>0.2</v>
      </c>
      <c r="F156" t="s">
        <v>1243</v>
      </c>
      <c r="G156">
        <v>2010</v>
      </c>
    </row>
    <row r="157" spans="1:7">
      <c r="A157" t="s">
        <v>954</v>
      </c>
      <c r="B157" t="s">
        <v>959</v>
      </c>
      <c r="C157" t="s">
        <v>932</v>
      </c>
      <c r="D157">
        <v>1200</v>
      </c>
      <c r="E157">
        <v>0.3</v>
      </c>
      <c r="F157" t="s">
        <v>1244</v>
      </c>
      <c r="G157">
        <v>2010</v>
      </c>
    </row>
    <row r="158" spans="1:7">
      <c r="A158" t="s">
        <v>954</v>
      </c>
      <c r="B158" t="s">
        <v>1036</v>
      </c>
      <c r="C158" t="s">
        <v>928</v>
      </c>
      <c r="D158">
        <v>250</v>
      </c>
      <c r="E158">
        <v>0.5</v>
      </c>
      <c r="G158">
        <v>1930</v>
      </c>
    </row>
    <row r="159" spans="1:7">
      <c r="A159" t="s">
        <v>954</v>
      </c>
      <c r="B159" t="s">
        <v>1037</v>
      </c>
      <c r="C159" t="s">
        <v>928</v>
      </c>
      <c r="D159">
        <v>50</v>
      </c>
      <c r="E159">
        <v>0</v>
      </c>
      <c r="G159">
        <v>2010</v>
      </c>
    </row>
    <row r="160" spans="1:7">
      <c r="A160" t="s">
        <v>954</v>
      </c>
      <c r="B160" t="s">
        <v>1038</v>
      </c>
      <c r="C160" t="s">
        <v>928</v>
      </c>
      <c r="D160">
        <v>500</v>
      </c>
      <c r="E160">
        <v>5</v>
      </c>
      <c r="G160">
        <v>1930</v>
      </c>
    </row>
    <row r="161" spans="1:7">
      <c r="A161" t="s">
        <v>954</v>
      </c>
      <c r="B161" t="s">
        <v>1039</v>
      </c>
      <c r="C161" t="s">
        <v>934</v>
      </c>
      <c r="D161">
        <v>2000</v>
      </c>
      <c r="E161">
        <v>10</v>
      </c>
      <c r="G161">
        <v>2010</v>
      </c>
    </row>
    <row r="162" spans="1:7">
      <c r="A162" t="s">
        <v>954</v>
      </c>
      <c r="B162" t="s">
        <v>1040</v>
      </c>
      <c r="C162" t="s">
        <v>934</v>
      </c>
      <c r="D162">
        <v>1500</v>
      </c>
      <c r="E162">
        <v>15</v>
      </c>
      <c r="G162">
        <v>1930</v>
      </c>
    </row>
    <row r="163" spans="1:7">
      <c r="A163" t="s">
        <v>954</v>
      </c>
      <c r="B163" t="s">
        <v>1041</v>
      </c>
      <c r="C163" t="s">
        <v>934</v>
      </c>
      <c r="D163">
        <v>6000</v>
      </c>
      <c r="E163">
        <v>15</v>
      </c>
      <c r="G163">
        <v>2010</v>
      </c>
    </row>
    <row r="164" spans="1:7">
      <c r="A164" t="s">
        <v>954</v>
      </c>
      <c r="B164" t="s">
        <v>1042</v>
      </c>
      <c r="C164" t="s">
        <v>928</v>
      </c>
      <c r="D164">
        <v>550</v>
      </c>
      <c r="E164">
        <v>0.5</v>
      </c>
      <c r="F164" t="s">
        <v>1043</v>
      </c>
      <c r="G164">
        <v>2010</v>
      </c>
    </row>
    <row r="165" spans="1:7">
      <c r="A165" t="s">
        <v>954</v>
      </c>
      <c r="B165" t="s">
        <v>1044</v>
      </c>
      <c r="C165" t="s">
        <v>928</v>
      </c>
      <c r="D165">
        <v>1000</v>
      </c>
      <c r="E165">
        <v>0.1</v>
      </c>
      <c r="G165">
        <v>2007</v>
      </c>
    </row>
    <row r="166" spans="1:7">
      <c r="A166" t="s">
        <v>954</v>
      </c>
      <c r="B166" t="s">
        <v>1045</v>
      </c>
      <c r="C166" t="s">
        <v>928</v>
      </c>
      <c r="D166">
        <v>25</v>
      </c>
      <c r="E166">
        <v>0.2</v>
      </c>
      <c r="F166" t="s">
        <v>1046</v>
      </c>
      <c r="G166">
        <v>2010</v>
      </c>
    </row>
    <row r="167" spans="1:7">
      <c r="A167" t="s">
        <v>954</v>
      </c>
      <c r="B167" t="s">
        <v>1047</v>
      </c>
      <c r="C167" t="s">
        <v>928</v>
      </c>
      <c r="D167">
        <v>75</v>
      </c>
      <c r="E167">
        <v>0.5</v>
      </c>
      <c r="G167">
        <v>2010</v>
      </c>
    </row>
    <row r="168" spans="1:7">
      <c r="A168" t="s">
        <v>954</v>
      </c>
      <c r="B168" t="s">
        <v>1048</v>
      </c>
      <c r="C168" t="s">
        <v>932</v>
      </c>
      <c r="D168">
        <v>10000</v>
      </c>
      <c r="E168">
        <v>4</v>
      </c>
      <c r="G168">
        <v>2010</v>
      </c>
    </row>
    <row r="169" spans="1:7">
      <c r="A169" t="s">
        <v>954</v>
      </c>
      <c r="B169" t="s">
        <v>1049</v>
      </c>
      <c r="C169" t="s">
        <v>932</v>
      </c>
      <c r="D169">
        <v>1000</v>
      </c>
      <c r="E169">
        <v>1</v>
      </c>
      <c r="G169">
        <v>1990</v>
      </c>
    </row>
    <row r="170" spans="1:7">
      <c r="A170" t="s">
        <v>954</v>
      </c>
      <c r="B170" t="s">
        <v>1050</v>
      </c>
      <c r="C170" t="s">
        <v>934</v>
      </c>
      <c r="D170">
        <v>2400</v>
      </c>
      <c r="E170">
        <v>0.5</v>
      </c>
      <c r="G170">
        <v>2010</v>
      </c>
    </row>
    <row r="171" spans="1:7">
      <c r="A171" t="s">
        <v>954</v>
      </c>
      <c r="B171" t="s">
        <v>1051</v>
      </c>
      <c r="C171" t="s">
        <v>934</v>
      </c>
      <c r="D171">
        <v>3000</v>
      </c>
      <c r="E171">
        <v>1</v>
      </c>
      <c r="G171">
        <v>2010</v>
      </c>
    </row>
    <row r="172" spans="1:7">
      <c r="A172" t="s">
        <v>954</v>
      </c>
      <c r="B172" t="s">
        <v>1052</v>
      </c>
      <c r="C172" t="s">
        <v>934</v>
      </c>
      <c r="D172">
        <v>5000</v>
      </c>
      <c r="E172">
        <v>2</v>
      </c>
      <c r="G172">
        <v>1990</v>
      </c>
    </row>
    <row r="173" spans="1:7">
      <c r="A173" t="s">
        <v>954</v>
      </c>
      <c r="B173" t="s">
        <v>1053</v>
      </c>
      <c r="C173" t="s">
        <v>928</v>
      </c>
      <c r="D173">
        <v>300</v>
      </c>
      <c r="E173">
        <v>0.3</v>
      </c>
      <c r="F173" t="s">
        <v>1054</v>
      </c>
      <c r="G173">
        <v>1930</v>
      </c>
    </row>
    <row r="174" spans="1:7">
      <c r="A174" t="s">
        <v>963</v>
      </c>
      <c r="B174" t="s">
        <v>964</v>
      </c>
      <c r="C174" t="s">
        <v>932</v>
      </c>
      <c r="D174">
        <v>500</v>
      </c>
      <c r="E174">
        <v>0.8</v>
      </c>
      <c r="F174" t="s">
        <v>1236</v>
      </c>
      <c r="G174">
        <v>2003</v>
      </c>
    </row>
    <row r="175" spans="1:7">
      <c r="A175" t="s">
        <v>963</v>
      </c>
      <c r="B175" t="s">
        <v>965</v>
      </c>
      <c r="C175" t="s">
        <v>932</v>
      </c>
      <c r="D175">
        <v>1500</v>
      </c>
      <c r="E175">
        <v>1.5</v>
      </c>
      <c r="F175" t="s">
        <v>1237</v>
      </c>
      <c r="G175">
        <v>2010</v>
      </c>
    </row>
    <row r="176" spans="1:7">
      <c r="A176" t="s">
        <v>963</v>
      </c>
      <c r="B176" t="s">
        <v>966</v>
      </c>
      <c r="C176" t="s">
        <v>934</v>
      </c>
      <c r="D176">
        <v>800</v>
      </c>
      <c r="E176">
        <v>4.5</v>
      </c>
      <c r="F176" t="s">
        <v>1238</v>
      </c>
      <c r="G176">
        <v>2010</v>
      </c>
    </row>
    <row r="177" spans="1:7">
      <c r="A177" t="s">
        <v>963</v>
      </c>
      <c r="B177" t="s">
        <v>967</v>
      </c>
      <c r="C177" t="s">
        <v>928</v>
      </c>
      <c r="D177">
        <v>60</v>
      </c>
      <c r="E177">
        <v>0.1</v>
      </c>
      <c r="F177" t="s">
        <v>1239</v>
      </c>
      <c r="G177">
        <v>2010</v>
      </c>
    </row>
    <row r="178" spans="1:7">
      <c r="A178" t="s">
        <v>963</v>
      </c>
      <c r="B178" t="s">
        <v>1032</v>
      </c>
      <c r="C178" t="s">
        <v>934</v>
      </c>
      <c r="D178">
        <v>500</v>
      </c>
      <c r="E178">
        <v>0.02</v>
      </c>
      <c r="F178" t="s">
        <v>1033</v>
      </c>
      <c r="G178">
        <v>2010</v>
      </c>
    </row>
    <row r="179" spans="1:7">
      <c r="A179" t="s">
        <v>963</v>
      </c>
      <c r="B179" t="s">
        <v>1034</v>
      </c>
      <c r="C179" t="s">
        <v>934</v>
      </c>
      <c r="D179">
        <v>2000</v>
      </c>
      <c r="E179">
        <v>0.05</v>
      </c>
      <c r="F179" t="s">
        <v>1035</v>
      </c>
      <c r="G179">
        <v>2010</v>
      </c>
    </row>
    <row r="180" spans="1:7">
      <c r="A180" t="s">
        <v>1018</v>
      </c>
      <c r="B180" t="s">
        <v>1019</v>
      </c>
      <c r="C180" t="s">
        <v>932</v>
      </c>
      <c r="D180">
        <v>40</v>
      </c>
      <c r="E180">
        <v>0.5</v>
      </c>
      <c r="G180">
        <v>1930</v>
      </c>
    </row>
    <row r="181" spans="1:7">
      <c r="A181" t="s">
        <v>1018</v>
      </c>
      <c r="B181" t="s">
        <v>1020</v>
      </c>
      <c r="C181" t="s">
        <v>928</v>
      </c>
      <c r="D181">
        <v>20</v>
      </c>
      <c r="E181">
        <v>0.2</v>
      </c>
      <c r="F181" t="s">
        <v>1021</v>
      </c>
      <c r="G181">
        <v>1930</v>
      </c>
    </row>
    <row r="182" spans="1:7">
      <c r="A182" t="s">
        <v>1018</v>
      </c>
      <c r="B182" t="s">
        <v>1022</v>
      </c>
      <c r="C182" t="s">
        <v>928</v>
      </c>
      <c r="D182">
        <v>20</v>
      </c>
      <c r="E182">
        <v>0.25</v>
      </c>
      <c r="F182" t="s">
        <v>1023</v>
      </c>
      <c r="G182">
        <v>1930</v>
      </c>
    </row>
    <row r="183" spans="1:7">
      <c r="A183" t="s">
        <v>1018</v>
      </c>
      <c r="B183" t="s">
        <v>1024</v>
      </c>
      <c r="C183" t="s">
        <v>928</v>
      </c>
      <c r="D183">
        <v>50</v>
      </c>
      <c r="E183">
        <v>0.15</v>
      </c>
      <c r="F183" t="s">
        <v>1025</v>
      </c>
      <c r="G183">
        <v>1930</v>
      </c>
    </row>
    <row r="184" spans="1:7">
      <c r="A184" t="s">
        <v>1018</v>
      </c>
      <c r="B184" t="s">
        <v>1026</v>
      </c>
      <c r="C184" t="s">
        <v>928</v>
      </c>
      <c r="D184">
        <v>30</v>
      </c>
      <c r="E184">
        <v>0.25</v>
      </c>
      <c r="F184" t="s">
        <v>1023</v>
      </c>
      <c r="G184">
        <v>1930</v>
      </c>
    </row>
    <row r="185" spans="1:7">
      <c r="A185" t="s">
        <v>1018</v>
      </c>
      <c r="B185" t="s">
        <v>1027</v>
      </c>
      <c r="C185" t="s">
        <v>928</v>
      </c>
      <c r="D185">
        <v>50</v>
      </c>
      <c r="E185">
        <v>0.3</v>
      </c>
      <c r="F185" t="s">
        <v>1028</v>
      </c>
      <c r="G185">
        <v>1930</v>
      </c>
    </row>
    <row r="186" spans="1:7">
      <c r="A186" t="s">
        <v>1018</v>
      </c>
      <c r="B186" t="s">
        <v>1029</v>
      </c>
      <c r="C186" t="s">
        <v>932</v>
      </c>
      <c r="D186">
        <v>200</v>
      </c>
      <c r="E186">
        <v>4</v>
      </c>
      <c r="G186">
        <v>1930</v>
      </c>
    </row>
    <row r="187" spans="1:7">
      <c r="A187" t="s">
        <v>1018</v>
      </c>
      <c r="B187" t="s">
        <v>1030</v>
      </c>
      <c r="C187" t="s">
        <v>928</v>
      </c>
      <c r="D187">
        <v>80</v>
      </c>
      <c r="E187">
        <v>2</v>
      </c>
      <c r="G187">
        <v>1930</v>
      </c>
    </row>
    <row r="188" spans="1:7">
      <c r="A188" t="s">
        <v>1018</v>
      </c>
      <c r="B188" t="s">
        <v>1031</v>
      </c>
      <c r="C188" t="s">
        <v>928</v>
      </c>
      <c r="D188">
        <v>100</v>
      </c>
      <c r="E188">
        <v>3</v>
      </c>
      <c r="G188">
        <v>1930</v>
      </c>
    </row>
  </sheetData>
  <autoFilter ref="A1:G188" xr:uid="{30045938-0EF7-4DB0-8EC0-CD7790E4054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9053-F5FB-4906-BBB6-020269F367D5}">
  <dimension ref="A1:AZ60"/>
  <sheetViews>
    <sheetView zoomScaleNormal="100" workbookViewId="0">
      <pane xSplit="1" ySplit="1" topLeftCell="L38" activePane="bottomRight" state="frozen"/>
      <selection pane="topRight" activeCell="B1" sqref="B1"/>
      <selection pane="bottomLeft" activeCell="A2" sqref="A2"/>
      <selection pane="bottomRight" activeCell="A59" sqref="A59"/>
    </sheetView>
  </sheetViews>
  <sheetFormatPr baseColWidth="10" defaultRowHeight="15"/>
  <cols>
    <col min="2" max="2" width="12.42578125" customWidth="1"/>
    <col min="3" max="3" width="12.7109375" customWidth="1"/>
    <col min="4" max="4" width="14.140625" customWidth="1"/>
    <col min="6" max="6" width="14.85546875" customWidth="1"/>
    <col min="7" max="7" width="15.7109375" customWidth="1"/>
    <col min="8" max="8" width="12.42578125" customWidth="1"/>
    <col min="9" max="9" width="14.7109375" customWidth="1"/>
    <col min="10" max="10" width="12" customWidth="1"/>
    <col min="11" max="11" width="16.28515625" style="2" customWidth="1"/>
    <col min="12" max="12" width="14.85546875" style="2" customWidth="1"/>
    <col min="13" max="14" width="15.140625" style="2" bestFit="1" customWidth="1"/>
    <col min="15" max="15" width="15.140625" style="2" customWidth="1"/>
    <col min="16" max="25" width="16.28515625" style="2" customWidth="1"/>
    <col min="26" max="26" width="15.85546875" customWidth="1"/>
    <col min="27" max="27" width="18" style="2" customWidth="1"/>
    <col min="28" max="28" width="16.28515625" style="2" customWidth="1"/>
    <col min="29" max="29" width="14.42578125" customWidth="1"/>
    <col min="30" max="30" width="18" style="2" customWidth="1"/>
    <col min="31" max="31" width="16.28515625" style="2" customWidth="1"/>
    <col min="32" max="32" width="17.7109375" style="13" customWidth="1"/>
    <col min="33" max="33" width="15" style="15" bestFit="1" customWidth="1"/>
    <col min="34" max="37" width="14.7109375" style="15" customWidth="1"/>
    <col min="38" max="38" width="12.28515625" style="11" customWidth="1"/>
    <col min="39" max="39" width="13" style="11" customWidth="1"/>
    <col min="40" max="43" width="11.42578125" hidden="1" customWidth="1"/>
    <col min="44" max="47" width="0" style="9" hidden="1" customWidth="1"/>
    <col min="48" max="48" width="13.140625" style="9" customWidth="1"/>
  </cols>
  <sheetData>
    <row r="1" spans="1:52" s="3" customFormat="1" ht="75.75" customHeight="1">
      <c r="A1" s="3" t="s">
        <v>796</v>
      </c>
      <c r="B1" s="3" t="s">
        <v>800</v>
      </c>
      <c r="C1" s="3" t="s">
        <v>801</v>
      </c>
      <c r="D1" s="3" t="s">
        <v>797</v>
      </c>
      <c r="E1" s="3" t="s">
        <v>802</v>
      </c>
      <c r="F1" s="3" t="s">
        <v>823</v>
      </c>
      <c r="G1" s="3" t="s">
        <v>824</v>
      </c>
      <c r="H1" s="3" t="s">
        <v>799</v>
      </c>
      <c r="I1" s="5" t="s">
        <v>814</v>
      </c>
      <c r="J1" s="6" t="s">
        <v>803</v>
      </c>
      <c r="K1" s="8" t="s">
        <v>804</v>
      </c>
      <c r="L1" s="4" t="s">
        <v>806</v>
      </c>
      <c r="M1" s="4" t="s">
        <v>807</v>
      </c>
      <c r="N1" s="4" t="s">
        <v>808</v>
      </c>
      <c r="O1" s="4" t="s">
        <v>809</v>
      </c>
      <c r="P1" s="4" t="s">
        <v>805</v>
      </c>
      <c r="Q1" s="4" t="s">
        <v>833</v>
      </c>
      <c r="R1" s="4" t="s">
        <v>834</v>
      </c>
      <c r="S1" s="4" t="s">
        <v>835</v>
      </c>
      <c r="T1" s="4" t="s">
        <v>836</v>
      </c>
      <c r="U1" s="4" t="s">
        <v>837</v>
      </c>
      <c r="V1" s="4" t="s">
        <v>838</v>
      </c>
      <c r="W1" s="4" t="s">
        <v>839</v>
      </c>
      <c r="X1" s="4" t="s">
        <v>840</v>
      </c>
      <c r="Y1" s="4" t="s">
        <v>845</v>
      </c>
      <c r="Z1" s="5" t="s">
        <v>810</v>
      </c>
      <c r="AA1" s="7" t="s">
        <v>811</v>
      </c>
      <c r="AB1" s="8" t="s">
        <v>813</v>
      </c>
      <c r="AC1" s="5" t="s">
        <v>815</v>
      </c>
      <c r="AD1" s="7" t="s">
        <v>812</v>
      </c>
      <c r="AE1" s="8" t="s">
        <v>816</v>
      </c>
      <c r="AF1" s="12" t="s">
        <v>817</v>
      </c>
      <c r="AG1" s="14" t="s">
        <v>818</v>
      </c>
      <c r="AH1" s="14" t="s">
        <v>819</v>
      </c>
      <c r="AI1" s="14" t="s">
        <v>820</v>
      </c>
      <c r="AJ1" s="14" t="s">
        <v>821</v>
      </c>
      <c r="AK1" s="14" t="s">
        <v>822</v>
      </c>
      <c r="AL1" s="3" t="s">
        <v>798</v>
      </c>
      <c r="AM1" s="3" t="s">
        <v>843</v>
      </c>
      <c r="AR1" s="3" t="s">
        <v>825</v>
      </c>
      <c r="AS1" s="3" t="s">
        <v>828</v>
      </c>
      <c r="AT1" s="3" t="s">
        <v>827</v>
      </c>
      <c r="AU1" s="3" t="s">
        <v>826</v>
      </c>
      <c r="AV1" s="3" t="s">
        <v>829</v>
      </c>
      <c r="AW1" s="3" t="s">
        <v>830</v>
      </c>
      <c r="AX1" s="3" t="s">
        <v>832</v>
      </c>
      <c r="AY1" s="3" t="s">
        <v>831</v>
      </c>
    </row>
    <row r="2" spans="1:52">
      <c r="A2" t="s">
        <v>6</v>
      </c>
      <c r="B2">
        <v>3.4</v>
      </c>
      <c r="C2">
        <v>5.45</v>
      </c>
      <c r="D2">
        <v>0.25</v>
      </c>
      <c r="E2">
        <v>1.2250000000000001</v>
      </c>
      <c r="F2">
        <f>PI()*C2^2/4000000</f>
        <v>2.3328288948312706E-5</v>
      </c>
      <c r="G2" s="1">
        <f>0.5 * D2 * E2 * F2</f>
        <v>3.5721442452103835E-6</v>
      </c>
      <c r="H2" s="1">
        <v>1</v>
      </c>
      <c r="I2">
        <v>16</v>
      </c>
      <c r="J2">
        <v>900</v>
      </c>
      <c r="K2" s="2">
        <f t="shared" ref="K2" si="0">0.5 * (B2/1000) * (J2^2)</f>
        <v>1377</v>
      </c>
      <c r="L2" s="2">
        <f>-(B2/1000) / (2 * G2) * LN(0.8)</f>
        <v>106.19505014188329</v>
      </c>
      <c r="M2" s="2">
        <f>-(B2/1000) / (2 * G2) * LN(0.5)</f>
        <v>329.87195534779062</v>
      </c>
      <c r="N2" s="2">
        <f>MAX(M2, IF(J2&gt;400, -(B2/1000)/G2*LN(400/J2), M2))</f>
        <v>771.85089567208479</v>
      </c>
      <c r="O2" s="2">
        <f>MAX(N2, IF(J2&gt;340, -(B2/1000)/G2*LN(340/J2), N2))</f>
        <v>926.53791902880562</v>
      </c>
      <c r="P2" s="2">
        <f>(B2/1000) / (2 * G2) * LN(100)</f>
        <v>2191.6218323705107</v>
      </c>
      <c r="Q2" s="2">
        <f xml:space="preserve"> (0.5 * 9.81 * (L2 / ($J2 - ($G2 * L2 / 2)))^2) * 100</f>
        <v>6.8290882425009487</v>
      </c>
      <c r="R2" s="2">
        <f t="shared" ref="R2" si="1" xml:space="preserve"> (0.5 * 9.81 * (M2 / ($J2 - ($G2 * M2 / 2)))^2) * 100</f>
        <v>65.893921022445895</v>
      </c>
      <c r="S2" s="2">
        <f t="shared" ref="S2" si="2" xml:space="preserve"> (0.5 * 9.81 * (N2 / ($J2 - ($G2 * N2 / 2)))^2) * 100</f>
        <v>360.76313165393526</v>
      </c>
      <c r="T2" s="2">
        <f t="shared" ref="T2" si="3" xml:space="preserve"> (0.5 * 9.81 * (O2 / ($J2 - ($G2 * O2 / 2)))^2) * 100</f>
        <v>519.85471274186864</v>
      </c>
      <c r="U2" s="2">
        <f t="shared" ref="U2" si="4" xml:space="preserve"> (0.5 * 9.81 * (P2 / ($J2 - ($G2 * P2 / 2)))^2) * 100</f>
        <v>2908.6335340185469</v>
      </c>
      <c r="V2" s="2">
        <f>J2 * SQRT(0.02 / 9.81) * (1 - (G2 * SQRT(0.02 / 9.81) / 2))</f>
        <v>40.637124411519224</v>
      </c>
      <c r="W2" s="2">
        <f t="shared" ref="W2" si="5">J2 * SQRT(0.04 / 9.81) * (1 - (G2 * SQRT(0.04 / 9.81) / 2))</f>
        <v>57.469570558875965</v>
      </c>
      <c r="X2" s="2">
        <f>J2 * SQRT(0.16 / 9.81) * (1 - (G2 * SQRT(0.16 / 9.81) / 2))</f>
        <v>114.9391280089657</v>
      </c>
      <c r="Y2" s="2">
        <f>J2 * SQRT(1 / 9.81) * (1 - (G2 * SQRT(1 / 9.81) / 2))</f>
        <v>287.34772170651769</v>
      </c>
      <c r="Z2">
        <v>8</v>
      </c>
      <c r="AA2" s="2">
        <f>J2 * POWER(Z2/I2,0.25)</f>
        <v>756.80677372834305</v>
      </c>
      <c r="AB2" s="2">
        <f t="shared" ref="AB2" si="6">0.5 * (B2/1000) * (AA2^2)</f>
        <v>973.68603769387573</v>
      </c>
      <c r="AC2">
        <v>20</v>
      </c>
      <c r="AD2" s="2">
        <f t="shared" ref="AD2" si="7">J2 * POWER(AC2/Z2,0.25)</f>
        <v>1131.6900867146419</v>
      </c>
      <c r="AE2" s="2">
        <f t="shared" ref="AE2" si="8">0.5 * (B2/1000) * (AD2^2)</f>
        <v>2177.2281690259292</v>
      </c>
      <c r="AF2" s="13">
        <f>(B2/1000) / ((PI() * (C2/1000)^2) / 4)</f>
        <v>145.74579419575974</v>
      </c>
      <c r="AG2" s="15">
        <f>0.0000001 * AF2 * (2 * K2 / (B2/1000)) * H2</f>
        <v>11.805409329856538</v>
      </c>
      <c r="AH2" s="14">
        <f>0.0000001 * AF2 * (2 * K2 * EXP(-(2*G2/(B2/1000)) * L2) / (B2/1000))  * H2</f>
        <v>9.4443274638852319</v>
      </c>
      <c r="AI2" s="14">
        <f>0.0000001 * AF2 * (2 * K2 * EXP(-(2*G2/(B2/1000)) * M2) / (B2/1000))  * H2</f>
        <v>5.9027046649282688</v>
      </c>
      <c r="AJ2" s="14">
        <f>0.0000001 * AF2 * (2 * K2 * EXP(-(2*G2/(B2/1000)) * N2) / (B2/1000))  * H2</f>
        <v>2.3319327071321552</v>
      </c>
      <c r="AK2" s="14">
        <f>0.0000001 * AF2 * (2 * K2 * EXP(-(2*G2/(B2/1000)) * O2) / (B2/1000))  * H2</f>
        <v>1.6848213809029826</v>
      </c>
      <c r="AL2" s="11" t="str">
        <f>IF(INT(SQRT(K2)/12)=0, MOD(INT(SQRT(K2)/4),3), INT(SQRT(K2)/12) &amp; "D6" &amp; IF(MOD(INT(SQRT(K2)/4),3)=0, "", "+" &amp; MOD(INT(SQRT(K2)/4),3)))</f>
        <v>3D6</v>
      </c>
      <c r="AM2" s="11" t="str">
        <f>IF(INT(SQRT(K2*0.5)/12)=0, MOD(INT(SQRT(K2*0.5)/4),3), INT(SQRT(K2*0.5)/12) &amp; "D6" &amp; IF(MOD(INT(SQRT(K2*0.5)/4),3)=0, "", "+" &amp; MOD(INT(SQRT(K2*0.5)/4),3)))</f>
        <v>2D6</v>
      </c>
      <c r="AN2">
        <f>ROUND((L2 / (J2 * 0.1))^2, 1)</f>
        <v>1.4</v>
      </c>
      <c r="AO2">
        <f>ROUND((M2 / (J2 * 0.1))^2, 1)</f>
        <v>13.4</v>
      </c>
      <c r="AP2">
        <f>ROUND((N2 / (J2 * 0.1))^2, 1)</f>
        <v>73.5</v>
      </c>
      <c r="AQ2">
        <f>ROUND((O2 / (J2 * 0.1))^2, 1)</f>
        <v>106</v>
      </c>
      <c r="AR2" s="9">
        <f>IF((L2/(J2*0.1))^2&lt;=5,0,IF((L2/(J2*0.1))^2&lt;=15,-1,IF((L2/(J2*0.1))^2&lt;=30,-2,IF((L2/(J2*0.1))^2&lt;=60,-4,IF((L2/(J2*0.1))^2&lt;=100,-8,-12)))))</f>
        <v>0</v>
      </c>
      <c r="AS2" s="9">
        <f>IF((M2/(J2*0.1))^2&lt;=5,0,IF((M2/(J2*0.1))^2&lt;=15,-1,IF((M2/(J2*0.1))^2&lt;=30,-2,IF((M2/(J2*0.1))^2&lt;=60,-4,IF((M2/(J2*0.1))^2&lt;=100,-8,-12)))))</f>
        <v>-1</v>
      </c>
      <c r="AT2" s="9">
        <f>IF((N2/(J2*0.1))^2&lt;=5,0,IF((N2/(J2*0.1))^2&lt;=15,-1,IF((N2/(J2*0.1))^2&lt;=30,-2,IF((N2/(J2*0.1))^2&lt;=60,-4,IF((N2/(J2*0.1))^2&lt;=100,-8,-12)))))</f>
        <v>-8</v>
      </c>
      <c r="AU2" s="9">
        <f>IF((O2/(J2*0.1))^2&lt;=5,0,IF((O2/(J2*0.1))^2&lt;=15,-1,IF((O2/(J2*0.1))^2&lt;=30,-2,IF((O2/(J2*0.1))^2&lt;=60,-4,IF((O2/(J2*0.1))^2&lt;=100,-8,-12)))))</f>
        <v>-12</v>
      </c>
      <c r="AV2" s="16" t="str">
        <f>IF((SQRT($K2)*(7/AG2))&gt;=(SQRT($K2)),"-",IF(INT(SQRT($K2)*(7/AG2)/12)=0, MOD(INT(SQRT($K2)*(7/AG2)/4),3), INT(SQRT($K2)*(7/AG2)/12) &amp; "D6"  &amp; IF(MOD(INT(SQRT($K2)*(7/AG2)/4),3)=0, "", "+" &amp; MOD(INT(SQRT($K2)*(7/AG2)/4),3))))</f>
        <v>1D6+2</v>
      </c>
      <c r="AW2" s="16" t="str">
        <f t="shared" ref="AW2" si="9">IF((SQRT($K2)*(7/AH2))&gt;=(SQRT($K2)),"-",IF(INT(SQRT($K2)*(7/AH2)/12)=0, MOD(INT(SQRT($K2)*(7/AH2)/4),3), INT(SQRT($K2)*(7/AH2)/12) &amp; "D6"  &amp; IF(MOD(INT(SQRT($K2)*(7/AH2)/4),3)=0, "", "+" &amp; MOD(INT(SQRT($K2)*(7/AH2)/4),3))))</f>
        <v>2D6</v>
      </c>
      <c r="AX2" s="16" t="str">
        <f t="shared" ref="AX2" si="10">IF((SQRT($K2)*(7/AI2))&gt;=(SQRT($K2)),"-",IF(INT(SQRT($K2)*(7/AI2)/12)=0, MOD(INT(SQRT($K2)*(7/AI2)/4),3), INT(SQRT($K2)*(7/AI2)/12) &amp; "D6"  &amp; IF(MOD(INT(SQRT($K2)*(7/AI2)/4),3)=0, "", "+" &amp; MOD(INT(SQRT($K2)*(7/AI2)/4),3))))</f>
        <v>-</v>
      </c>
      <c r="AY2" s="16" t="str">
        <f t="shared" ref="AY2" si="11">IF((SQRT($K2)*(7/AJ2))&gt;=(SQRT($K2)),"-",IF(INT(SQRT($K2)*(7/AJ2)/12)=0, MOD(INT(SQRT($K2)*(7/AJ2)/4),3), INT(SQRT($K2)*(7/AJ2)/12) &amp; "D6"  &amp; IF(MOD(INT(SQRT($K2)*(7/AJ2)/4),3)=0, "", "+" &amp; MOD(INT(SQRT($K2)*(7/AJ2)/4),3))))</f>
        <v>-</v>
      </c>
    </row>
    <row r="3" spans="1:52">
      <c r="A3" t="s">
        <v>844</v>
      </c>
      <c r="B3">
        <v>3.4</v>
      </c>
      <c r="C3">
        <v>5.45</v>
      </c>
      <c r="D3">
        <v>0.25</v>
      </c>
      <c r="E3">
        <v>1.2250000000000001</v>
      </c>
      <c r="F3">
        <f>PI()*C3^2/4000000</f>
        <v>2.3328288948312706E-5</v>
      </c>
      <c r="G3" s="1">
        <f>0.5 * D3 * E3 * F3</f>
        <v>3.5721442452103835E-6</v>
      </c>
      <c r="H3" s="1">
        <v>1.5</v>
      </c>
      <c r="I3">
        <v>16</v>
      </c>
      <c r="J3">
        <v>900</v>
      </c>
      <c r="K3" s="2">
        <f t="shared" ref="K3:K35" si="12">0.5 * (B3/1000) * (J3^2)</f>
        <v>1377</v>
      </c>
      <c r="L3" s="2">
        <f>-(B3/1000) / (2 * G3) * LN(0.8)</f>
        <v>106.19505014188329</v>
      </c>
      <c r="M3" s="2">
        <f>-(B3/1000) / (2 * G3) * LN(0.5)</f>
        <v>329.87195534779062</v>
      </c>
      <c r="N3" s="2">
        <f>MAX(M3, IF(J3&gt;400, -(B3/1000)/G3*LN(400/J3), M3))</f>
        <v>771.85089567208479</v>
      </c>
      <c r="O3" s="2">
        <f>MAX(N3, IF(J3&gt;340, -(B3/1000)/G3*LN(340/J3), N3))</f>
        <v>926.53791902880562</v>
      </c>
      <c r="P3" s="2">
        <f>(B3/1000) / (2 * G3) * LN(100)</f>
        <v>2191.6218323705107</v>
      </c>
      <c r="Q3" s="2">
        <f xml:space="preserve"> (0.5 * 9.81 * (L3 / ($J3 - ($G3 * L3 / 2)))^2) * 100</f>
        <v>6.8290882425009487</v>
      </c>
      <c r="R3" s="2">
        <f t="shared" ref="R3:U3" si="13" xml:space="preserve"> (0.5 * 9.81 * (M3 / ($J3 - ($G3 * M3 / 2)))^2) * 100</f>
        <v>65.893921022445895</v>
      </c>
      <c r="S3" s="2">
        <f t="shared" si="13"/>
        <v>360.76313165393526</v>
      </c>
      <c r="T3" s="2">
        <f t="shared" si="13"/>
        <v>519.85471274186864</v>
      </c>
      <c r="U3" s="2">
        <f t="shared" si="13"/>
        <v>2908.6335340185469</v>
      </c>
      <c r="V3" s="2">
        <f>J3 * SQRT(0.02 / 9.81) * (1 - (G3 * SQRT(0.02 / 9.81) / 2))</f>
        <v>40.637124411519224</v>
      </c>
      <c r="W3" s="2">
        <f t="shared" ref="W3:W35" si="14">J3 * SQRT(0.04 / 9.81) * (1 - (G3 * SQRT(0.04 / 9.81) / 2))</f>
        <v>57.469570558875965</v>
      </c>
      <c r="X3" s="2">
        <f>J3 * SQRT(0.16 / 9.81) * (1 - (G3 * SQRT(0.16 / 9.81) / 2))</f>
        <v>114.9391280089657</v>
      </c>
      <c r="Y3" s="2">
        <f t="shared" ref="Y3:Y56" si="15">J3 * SQRT(1 / 9.81) * (1 - (G3 * SQRT(1 / 9.81) / 2))</f>
        <v>287.34772170651769</v>
      </c>
      <c r="Z3">
        <v>8</v>
      </c>
      <c r="AA3" s="2">
        <f t="shared" ref="AA3:AA35" si="16">J3 * POWER(Z3/I3,0.25)</f>
        <v>756.80677372834305</v>
      </c>
      <c r="AB3" s="2">
        <f t="shared" ref="AB3:AB35" si="17">0.5 * (B3/1000) * (AA3^2)</f>
        <v>973.68603769387573</v>
      </c>
      <c r="AC3">
        <v>20</v>
      </c>
      <c r="AD3" s="2">
        <f t="shared" ref="AD3:AD35" si="18">J3 * POWER(AC3/Z3,0.25)</f>
        <v>1131.6900867146419</v>
      </c>
      <c r="AE3" s="2">
        <f t="shared" ref="AE3:AE35" si="19">0.5 * (B3/1000) * (AD3^2)</f>
        <v>2177.2281690259292</v>
      </c>
      <c r="AF3" s="13">
        <f>(B3/1000) / ((PI() * (C3/1000)^2) / 4)</f>
        <v>145.74579419575974</v>
      </c>
      <c r="AG3" s="15">
        <f>0.0000001 * AF3 * (2 * K3 / (B3/1000)) * H3</f>
        <v>17.708113994784807</v>
      </c>
      <c r="AH3" s="14">
        <f>0.0000001 * AF3 * (2 * K3 * EXP(-(2*G3/(B3/1000)) * L3) / (B3/1000))  * H3</f>
        <v>14.166491195827849</v>
      </c>
      <c r="AI3" s="14">
        <f>0.0000001 * AF3 * (2 * K3 * EXP(-(2*G3/(B3/1000)) * M3) / (B3/1000))  * H3</f>
        <v>8.8540569973924033</v>
      </c>
      <c r="AJ3" s="14">
        <f>0.0000001 * AF3 * (2 * K3 * EXP(-(2*G3/(B3/1000)) * N3) / (B3/1000))  * H3</f>
        <v>3.4978990606982325</v>
      </c>
      <c r="AK3" s="14">
        <f>0.0000001 * AF3 * (2 * K3 * EXP(-(2*G3/(B3/1000)) * O3) / (B3/1000))  * H3</f>
        <v>2.527232071354474</v>
      </c>
      <c r="AL3" s="11" t="str">
        <f>IF(INT(SQRT(K3)/12)=0, MOD(INT(SQRT(K3)/4),3), INT(SQRT(K3)/12) &amp; "D6" &amp; IF(MOD(INT(SQRT(K3)/4),3)=0, "", "+" &amp; MOD(INT(SQRT(K3)/4),3)))</f>
        <v>3D6</v>
      </c>
      <c r="AM3" s="11" t="str">
        <f>IF(INT(SQRT(K3*0.5)/12)=0, MOD(INT(SQRT(K3*0.5)/4),3), INT(SQRT(K3*0.5)/12) &amp; "D6" &amp; IF(MOD(INT(SQRT(K3*0.5)/4),3)=0, "", "+" &amp; MOD(INT(SQRT(K3*0.5)/4),3)))</f>
        <v>2D6</v>
      </c>
      <c r="AN3">
        <f>ROUND((L3 / (J3 * 0.1))^2, 1)</f>
        <v>1.4</v>
      </c>
      <c r="AO3">
        <f>ROUND((M3 / (J3 * 0.1))^2, 1)</f>
        <v>13.4</v>
      </c>
      <c r="AP3">
        <f>ROUND((N3 / (J3 * 0.1))^2, 1)</f>
        <v>73.5</v>
      </c>
      <c r="AQ3">
        <f>ROUND((O3 / (J3 * 0.1))^2, 1)</f>
        <v>106</v>
      </c>
      <c r="AR3" s="9">
        <f>IF((L3/(J3*0.1))^2&lt;=5,0,IF((L3/(J3*0.1))^2&lt;=15,-1,IF((L3/(J3*0.1))^2&lt;=30,-2,IF((L3/(J3*0.1))^2&lt;=60,-4,IF((L3/(J3*0.1))^2&lt;=100,-8,-12)))))</f>
        <v>0</v>
      </c>
      <c r="AS3" s="9">
        <f>IF((M3/(J3*0.1))^2&lt;=5,0,IF((M3/(J3*0.1))^2&lt;=15,-1,IF((M3/(J3*0.1))^2&lt;=30,-2,IF((M3/(J3*0.1))^2&lt;=60,-4,IF((M3/(J3*0.1))^2&lt;=100,-8,-12)))))</f>
        <v>-1</v>
      </c>
      <c r="AT3" s="9">
        <f>IF((N3/(J3*0.1))^2&lt;=5,0,IF((N3/(J3*0.1))^2&lt;=15,-1,IF((N3/(J3*0.1))^2&lt;=30,-2,IF((N3/(J3*0.1))^2&lt;=60,-4,IF((N3/(J3*0.1))^2&lt;=100,-8,-12)))))</f>
        <v>-8</v>
      </c>
      <c r="AU3" s="9">
        <f>IF((O3/(J3*0.1))^2&lt;=5,0,IF((O3/(J3*0.1))^2&lt;=15,-1,IF((O3/(J3*0.1))^2&lt;=30,-2,IF((O3/(J3*0.1))^2&lt;=60,-4,IF((O3/(J3*0.1))^2&lt;=100,-8,-12)))))</f>
        <v>-12</v>
      </c>
      <c r="AV3" s="16" t="str">
        <f>IF((SQRT($K3)*(7/AG3))&gt;=(SQRT($K3)),"-",IF(INT(SQRT($K3)*(7/AG3)/12)=0, MOD(INT(SQRT($K3)*(7/AG3)/4),3), INT(SQRT($K3)*(7/AG3)/12) &amp; "D6"  &amp; IF(MOD(INT(SQRT($K3)*(7/AG3)/4),3)=0, "", "+" &amp; MOD(INT(SQRT($K3)*(7/AG3)/4),3))))</f>
        <v>1D6</v>
      </c>
      <c r="AW3" s="16" t="str">
        <f t="shared" ref="AW3:AY18" si="20">IF((SQRT($K3)*(7/AH3))&gt;=(SQRT($K3)),"-",IF(INT(SQRT($K3)*(7/AH3)/12)=0, MOD(INT(SQRT($K3)*(7/AH3)/4),3), INT(SQRT($K3)*(7/AH3)/12) &amp; "D6"  &amp; IF(MOD(INT(SQRT($K3)*(7/AH3)/4),3)=0, "", "+" &amp; MOD(INT(SQRT($K3)*(7/AH3)/4),3))))</f>
        <v>1D6+1</v>
      </c>
      <c r="AX3" s="16" t="str">
        <f t="shared" si="20"/>
        <v>2D6+1</v>
      </c>
      <c r="AY3" s="16" t="str">
        <f t="shared" si="20"/>
        <v>-</v>
      </c>
    </row>
    <row r="4" spans="1:52">
      <c r="A4" t="s">
        <v>11</v>
      </c>
      <c r="B4">
        <v>4</v>
      </c>
      <c r="C4">
        <v>5.56</v>
      </c>
      <c r="D4">
        <v>0.25</v>
      </c>
      <c r="E4">
        <v>1.2250000000000001</v>
      </c>
      <c r="F4">
        <f t="shared" ref="F4:F56" si="21">PI()*C4^2/4000000</f>
        <v>2.4279484664003351E-5</v>
      </c>
      <c r="G4" s="1">
        <f t="shared" ref="G4:G56" si="22">0.5 * D4 * E4 * F4</f>
        <v>3.7177960891755132E-6</v>
      </c>
      <c r="H4" s="1">
        <v>1</v>
      </c>
      <c r="I4">
        <v>20</v>
      </c>
      <c r="J4">
        <v>940</v>
      </c>
      <c r="K4" s="2">
        <f t="shared" si="12"/>
        <v>1767.2</v>
      </c>
      <c r="L4" s="2">
        <f t="shared" ref="L4:L56" si="23">-(B4/1000) / (2 * G4) * LN(0.8)</f>
        <v>120.04076929549717</v>
      </c>
      <c r="M4" s="2">
        <f t="shared" ref="M4:M56" si="24">-(B4/1000) / (2 * G4) * LN(0.5)</f>
        <v>372.88068733950541</v>
      </c>
      <c r="N4" s="2">
        <f t="shared" ref="N4:N56" si="25">MAX(M4, IF(J4&gt;400, -(B4/1000)/G4*LN(400/J4), M4))</f>
        <v>919.27078049678539</v>
      </c>
      <c r="O4" s="2">
        <f t="shared" ref="O4:O56" si="26">MAX(N4, IF(J4&gt;340, -(B4/1000)/G4*LN(340/J4), N4))</f>
        <v>1094.1259103635946</v>
      </c>
      <c r="P4" s="2">
        <f t="shared" ref="P4:P56" si="27">(B4/1000) / (2 * G4) * LN(100)</f>
        <v>2477.3656626280272</v>
      </c>
      <c r="Q4" s="2">
        <f t="shared" ref="Q4:Q56" si="28" xml:space="preserve"> (0.5 * 9.81 * (L4 / ($J4 - ($G4 * L4 / 2)))^2) * 100</f>
        <v>7.9990986107331823</v>
      </c>
      <c r="R4" s="2">
        <f t="shared" ref="R4:R56" si="29" xml:space="preserve"> (0.5 * 9.81 * (M4 / ($J4 - ($G4 * M4 / 2)))^2) * 100</f>
        <v>77.183368048752044</v>
      </c>
      <c r="S4" s="2">
        <f t="shared" ref="S4:S56" si="30" xml:space="preserve"> (0.5 * 9.81 * (N4 / ($J4 - ($G4 * N4 / 2)))^2) * 100</f>
        <v>469.10687267418075</v>
      </c>
      <c r="T4" s="2">
        <f t="shared" ref="T4:T56" si="31" xml:space="preserve"> (0.5 * 9.81 * (O4 / ($J4 - ($G4 * O4 / 2)))^2) * 100</f>
        <v>664.53795327524961</v>
      </c>
      <c r="U4" s="2">
        <f t="shared" ref="U4:U56" si="32" xml:space="preserve"> (0.5 * 9.81 * (P4 / ($J4 - ($G4 * P4 / 2)))^2) * 100</f>
        <v>3406.9659050680534</v>
      </c>
      <c r="V4" s="2">
        <f t="shared" ref="V4:V56" si="33">J4 * SQRT(0.02 / 9.81) * (1 - (G4 * SQRT(0.02 / 9.81) / 2))</f>
        <v>42.443218690244507</v>
      </c>
      <c r="W4" s="2">
        <f t="shared" si="14"/>
        <v>60.023773415697093</v>
      </c>
      <c r="X4" s="2">
        <f t="shared" ref="X4:X56" si="34">J4 * SQRT(0.16 / 9.81) * (1 - (G4 * SQRT(0.16 / 9.81) / 2))</f>
        <v>120.04753258173741</v>
      </c>
      <c r="Y4" s="2">
        <f t="shared" si="15"/>
        <v>300.11872458191777</v>
      </c>
      <c r="Z4">
        <v>10</v>
      </c>
      <c r="AA4" s="2">
        <f t="shared" si="16"/>
        <v>790.44263033849165</v>
      </c>
      <c r="AB4" s="2">
        <f t="shared" si="17"/>
        <v>1249.5991037128667</v>
      </c>
      <c r="AC4">
        <v>24</v>
      </c>
      <c r="AD4" s="2">
        <f t="shared" si="18"/>
        <v>1169.9859973023392</v>
      </c>
      <c r="AE4" s="2">
        <f t="shared" si="19"/>
        <v>2737.7344677670985</v>
      </c>
      <c r="AF4" s="13">
        <f t="shared" ref="AF4:AF56" si="35">(B4/1000) / ((PI() * (C4/1000)^2) / 4)</f>
        <v>164.74814253081658</v>
      </c>
      <c r="AG4" s="15">
        <f t="shared" ref="AG4:AG56" si="36">0.0000001 * AF4 * (2 * K4 / (B4/1000)) * H4</f>
        <v>14.55714587402295</v>
      </c>
      <c r="AH4" s="14">
        <f t="shared" ref="AH4:AH56" si="37">0.0000001 * AF4 * (2 * K4 * EXP(-(2*G4/(B4/1000)) * L4) / (B4/1000))  * H4</f>
        <v>11.645716699218363</v>
      </c>
      <c r="AI4" s="14">
        <f t="shared" ref="AI4:AI56" si="38">0.0000001 * AF4 * (2 * K4 * EXP(-(2*G4/(B4/1000)) * M4) / (B4/1000))  * H4</f>
        <v>7.2785729370114751</v>
      </c>
      <c r="AJ4" s="14">
        <f t="shared" ref="AJ4:AJ56" si="39">0.0000001 * AF4 * (2 * K4 * EXP(-(2*G4/(B4/1000)) * N4) / (B4/1000))  * H4</f>
        <v>2.6359702804930656</v>
      </c>
      <c r="AK4" s="14">
        <f t="shared" ref="AK4:AK56" si="40">0.0000001 * AF4 * (2 * K4 * EXP(-(2*G4/(B4/1000)) * O4) / (B4/1000))  * H4</f>
        <v>1.9044885276562391</v>
      </c>
      <c r="AL4" s="11" t="str">
        <f t="shared" ref="AL4:AL56" si="41">IF(INT(SQRT(K4)/12)=0, MOD(INT(SQRT(K4)/4),3), INT(SQRT(K4)/12) &amp; "D6" &amp; IF(MOD(INT(SQRT(K4)/4),3)=0, "", "+" &amp; MOD(INT(SQRT(K4)/4),3)))</f>
        <v>3D6+1</v>
      </c>
      <c r="AM4" s="11" t="str">
        <f t="shared" ref="AM4:AM56" si="42">IF(INT(SQRT(K4*0.5)/12)=0, MOD(INT(SQRT(K4*0.5)/4),3), INT(SQRT(K4*0.5)/12) &amp; "D6" &amp; IF(MOD(INT(SQRT(K4*0.5)/4),3)=0, "", "+" &amp; MOD(INT(SQRT(K4*0.5)/4),3)))</f>
        <v>2D6+1</v>
      </c>
      <c r="AN4">
        <f t="shared" ref="AN4:AN56" si="43">ROUND((L4 / (J4 * 0.1))^2, 1)</f>
        <v>1.6</v>
      </c>
      <c r="AO4">
        <f t="shared" ref="AO4:AO56" si="44">ROUND((M4 / (J4 * 0.1))^2, 1)</f>
        <v>15.7</v>
      </c>
      <c r="AP4">
        <f t="shared" ref="AP4:AP56" si="45">ROUND((N4 / (J4 * 0.1))^2, 1)</f>
        <v>95.6</v>
      </c>
      <c r="AQ4">
        <f t="shared" ref="AQ4:AQ56" si="46">ROUND((O4 / (J4 * 0.1))^2, 1)</f>
        <v>135.5</v>
      </c>
      <c r="AR4" s="9">
        <f t="shared" ref="AR4:AR56" si="47">IF((L4/(J4*0.1))^2&lt;=5,0,IF((L4/(J4*0.1))^2&lt;=15,-1,IF((L4/(J4*0.1))^2&lt;=30,-2,IF((L4/(J4*0.1))^2&lt;=60,-4,IF((L4/(J4*0.1))^2&lt;=100,-8,-12)))))</f>
        <v>0</v>
      </c>
      <c r="AS4" s="9">
        <f t="shared" ref="AS4:AS56" si="48">IF((M4/(J4*0.1))^2&lt;=5,0,IF((M4/(J4*0.1))^2&lt;=15,-1,IF((M4/(J4*0.1))^2&lt;=30,-2,IF((M4/(J4*0.1))^2&lt;=60,-4,IF((M4/(J4*0.1))^2&lt;=100,-8,-12)))))</f>
        <v>-2</v>
      </c>
      <c r="AT4" s="9">
        <f t="shared" ref="AT4:AT56" si="49">IF((N4/(J4*0.1))^2&lt;=5,0,IF((N4/(J4*0.1))^2&lt;=15,-1,IF((N4/(J4*0.1))^2&lt;=30,-2,IF((N4/(J4*0.1))^2&lt;=60,-4,IF((N4/(J4*0.1))^2&lt;=100,-8,-12)))))</f>
        <v>-8</v>
      </c>
      <c r="AU4" s="9">
        <f t="shared" ref="AU4:AU56" si="50">IF((O4/(J4*0.1))^2&lt;=5,0,IF((O4/(J4*0.1))^2&lt;=15,-1,IF((O4/(J4*0.1))^2&lt;=30,-2,IF((O4/(J4*0.1))^2&lt;=60,-4,IF((O4/(J4*0.1))^2&lt;=100,-8,-12)))))</f>
        <v>-12</v>
      </c>
      <c r="AV4" s="16" t="str">
        <f t="shared" ref="AV4:AV56" si="51">IF((SQRT($K4)*(7/AG4))&gt;=(SQRT($K4)),"-",IF(INT(SQRT($K4)*(7/AG4)/12)=0, MOD(INT(SQRT($K4)*(7/AG4)/4),3), INT(SQRT($K4)*(7/AG4)/12) &amp; "D6"  &amp; IF(MOD(INT(SQRT($K4)*(7/AG4)/4),3)=0, "", "+" &amp; MOD(INT(SQRT($K4)*(7/AG4)/4),3))))</f>
        <v>1D6+2</v>
      </c>
      <c r="AW4" s="16" t="str">
        <f t="shared" si="20"/>
        <v>2D6</v>
      </c>
      <c r="AX4" s="16" t="str">
        <f t="shared" si="20"/>
        <v>3D6+1</v>
      </c>
      <c r="AY4" s="16" t="str">
        <f t="shared" si="20"/>
        <v>-</v>
      </c>
      <c r="AZ4" s="16"/>
    </row>
    <row r="5" spans="1:52">
      <c r="A5" t="s">
        <v>18</v>
      </c>
      <c r="B5">
        <v>2.6</v>
      </c>
      <c r="C5">
        <v>5.56</v>
      </c>
      <c r="D5">
        <v>0.35</v>
      </c>
      <c r="E5">
        <v>1.2250000000000001</v>
      </c>
      <c r="F5">
        <f t="shared" si="21"/>
        <v>2.4279484664003351E-5</v>
      </c>
      <c r="G5" s="1">
        <f t="shared" si="22"/>
        <v>5.2049145248457189E-6</v>
      </c>
      <c r="H5" s="1">
        <v>1</v>
      </c>
      <c r="I5">
        <v>16</v>
      </c>
      <c r="J5">
        <v>330</v>
      </c>
      <c r="K5" s="2">
        <f t="shared" si="12"/>
        <v>141.57</v>
      </c>
      <c r="L5" s="2">
        <f t="shared" si="23"/>
        <v>55.733214315766539</v>
      </c>
      <c r="M5" s="2">
        <f t="shared" si="24"/>
        <v>173.12317626477034</v>
      </c>
      <c r="N5" s="2">
        <f t="shared" si="25"/>
        <v>173.12317626477034</v>
      </c>
      <c r="O5" s="2">
        <f t="shared" si="26"/>
        <v>173.12317626477034</v>
      </c>
      <c r="P5" s="2">
        <f t="shared" si="27"/>
        <v>1150.2054862201553</v>
      </c>
      <c r="Q5" s="2">
        <f t="shared" si="28"/>
        <v>13.990708100121839</v>
      </c>
      <c r="R5" s="2">
        <f t="shared" si="29"/>
        <v>134.99657206660765</v>
      </c>
      <c r="S5" s="2">
        <f t="shared" si="30"/>
        <v>134.99657206660765</v>
      </c>
      <c r="T5" s="2">
        <f t="shared" si="31"/>
        <v>134.99657206660765</v>
      </c>
      <c r="U5" s="2">
        <f t="shared" si="32"/>
        <v>5958.9519058745582</v>
      </c>
      <c r="V5" s="2">
        <f t="shared" si="33"/>
        <v>14.900278401640442</v>
      </c>
      <c r="W5" s="2">
        <f t="shared" si="14"/>
        <v>21.072174773087973</v>
      </c>
      <c r="X5" s="2">
        <f t="shared" si="34"/>
        <v>42.144342542621231</v>
      </c>
      <c r="Y5" s="2">
        <f t="shared" si="15"/>
        <v>105.36080382989275</v>
      </c>
      <c r="Z5">
        <v>4</v>
      </c>
      <c r="AA5" s="2">
        <f t="shared" si="16"/>
        <v>233.34523779156069</v>
      </c>
      <c r="AB5" s="2">
        <f t="shared" si="17"/>
        <v>70.785000000000011</v>
      </c>
      <c r="AC5">
        <v>20</v>
      </c>
      <c r="AD5" s="2">
        <f t="shared" si="18"/>
        <v>493.46509780300278</v>
      </c>
      <c r="AE5" s="2">
        <f t="shared" si="19"/>
        <v>316.56014357464522</v>
      </c>
      <c r="AF5" s="13">
        <f t="shared" si="35"/>
        <v>107.08629264503078</v>
      </c>
      <c r="AG5" s="15">
        <f t="shared" si="36"/>
        <v>1.1661697269043851</v>
      </c>
      <c r="AH5" s="14">
        <f t="shared" si="37"/>
        <v>0.93293578152350809</v>
      </c>
      <c r="AI5" s="14">
        <f t="shared" si="38"/>
        <v>0.58308486345219268</v>
      </c>
      <c r="AJ5" s="14">
        <f t="shared" si="39"/>
        <v>0.58308486345219268</v>
      </c>
      <c r="AK5" s="14">
        <f t="shared" si="40"/>
        <v>0.58308486345219268</v>
      </c>
      <c r="AL5" s="11">
        <f t="shared" si="41"/>
        <v>2</v>
      </c>
      <c r="AM5" s="11">
        <f t="shared" si="42"/>
        <v>2</v>
      </c>
      <c r="AN5">
        <f t="shared" si="43"/>
        <v>2.9</v>
      </c>
      <c r="AO5">
        <f t="shared" si="44"/>
        <v>27.5</v>
      </c>
      <c r="AP5">
        <f t="shared" si="45"/>
        <v>27.5</v>
      </c>
      <c r="AQ5">
        <f t="shared" si="46"/>
        <v>27.5</v>
      </c>
      <c r="AR5" s="9">
        <f t="shared" si="47"/>
        <v>0</v>
      </c>
      <c r="AS5" s="9">
        <f t="shared" si="48"/>
        <v>-2</v>
      </c>
      <c r="AT5" s="9">
        <f t="shared" si="49"/>
        <v>-2</v>
      </c>
      <c r="AU5" s="9">
        <f t="shared" si="50"/>
        <v>-2</v>
      </c>
      <c r="AV5" s="16" t="str">
        <f t="shared" si="51"/>
        <v>-</v>
      </c>
      <c r="AW5" s="16" t="str">
        <f t="shared" si="20"/>
        <v>-</v>
      </c>
      <c r="AX5" s="16" t="str">
        <f t="shared" si="20"/>
        <v>-</v>
      </c>
      <c r="AY5" s="16" t="str">
        <f t="shared" si="20"/>
        <v>-</v>
      </c>
    </row>
    <row r="6" spans="1:52">
      <c r="A6" t="s">
        <v>27</v>
      </c>
      <c r="B6">
        <v>3.2</v>
      </c>
      <c r="C6">
        <v>6.35</v>
      </c>
      <c r="D6">
        <v>0.45</v>
      </c>
      <c r="E6">
        <v>1.2250000000000001</v>
      </c>
      <c r="F6">
        <f t="shared" si="21"/>
        <v>3.1669217443593606E-5</v>
      </c>
      <c r="G6" s="1">
        <f t="shared" si="22"/>
        <v>8.7288280578904872E-6</v>
      </c>
      <c r="H6" s="1">
        <v>1</v>
      </c>
      <c r="I6">
        <v>4</v>
      </c>
      <c r="J6">
        <v>230</v>
      </c>
      <c r="K6" s="2">
        <f>0.5 * (B6/1000) * (J6^2)</f>
        <v>84.64</v>
      </c>
      <c r="L6" s="2">
        <f t="shared" si="23"/>
        <v>40.902361661253714</v>
      </c>
      <c r="M6" s="2">
        <f t="shared" si="24"/>
        <v>127.05434011767386</v>
      </c>
      <c r="N6" s="2">
        <f t="shared" si="25"/>
        <v>127.05434011767386</v>
      </c>
      <c r="O6" s="2">
        <f t="shared" si="26"/>
        <v>127.05434011767386</v>
      </c>
      <c r="P6" s="2">
        <f t="shared" si="27"/>
        <v>844.13076402855074</v>
      </c>
      <c r="Q6" s="2">
        <f t="shared" si="28"/>
        <v>15.51246386139637</v>
      </c>
      <c r="R6" s="2">
        <f t="shared" si="29"/>
        <v>149.68023063752227</v>
      </c>
      <c r="S6" s="2">
        <f t="shared" si="30"/>
        <v>149.68023063752227</v>
      </c>
      <c r="T6" s="2">
        <f t="shared" si="31"/>
        <v>149.68023063752227</v>
      </c>
      <c r="U6" s="2">
        <f t="shared" si="32"/>
        <v>6607.1886847950891</v>
      </c>
      <c r="V6" s="2">
        <f t="shared" si="33"/>
        <v>10.385041696157586</v>
      </c>
      <c r="W6" s="2">
        <f t="shared" si="14"/>
        <v>14.686665613695874</v>
      </c>
      <c r="X6" s="2">
        <f t="shared" si="34"/>
        <v>29.373323041334853</v>
      </c>
      <c r="Y6" s="2">
        <f t="shared" si="15"/>
        <v>73.433246207910429</v>
      </c>
      <c r="Z6">
        <v>2</v>
      </c>
      <c r="AA6" s="2">
        <f t="shared" si="16"/>
        <v>193.40617550835432</v>
      </c>
      <c r="AB6" s="2">
        <f t="shared" si="17"/>
        <v>59.849517959629374</v>
      </c>
      <c r="AC6">
        <v>10</v>
      </c>
      <c r="AD6" s="2">
        <f t="shared" si="18"/>
        <v>343.93021968088073</v>
      </c>
      <c r="AE6" s="2">
        <f t="shared" si="19"/>
        <v>189.2607936155822</v>
      </c>
      <c r="AF6" s="13">
        <f t="shared" si="35"/>
        <v>101.04449235916725</v>
      </c>
      <c r="AG6" s="15">
        <f t="shared" si="36"/>
        <v>0.53452536457999478</v>
      </c>
      <c r="AH6" s="14">
        <f t="shared" si="37"/>
        <v>0.42762029166399579</v>
      </c>
      <c r="AI6" s="14">
        <f t="shared" si="38"/>
        <v>0.26726268228999739</v>
      </c>
      <c r="AJ6" s="14">
        <f t="shared" si="39"/>
        <v>0.26726268228999739</v>
      </c>
      <c r="AK6" s="14">
        <f t="shared" si="40"/>
        <v>0.26726268228999739</v>
      </c>
      <c r="AL6" s="11">
        <f t="shared" si="41"/>
        <v>2</v>
      </c>
      <c r="AM6" s="11">
        <f t="shared" si="42"/>
        <v>1</v>
      </c>
      <c r="AN6">
        <f t="shared" si="43"/>
        <v>3.2</v>
      </c>
      <c r="AO6">
        <f t="shared" si="44"/>
        <v>30.5</v>
      </c>
      <c r="AP6">
        <f t="shared" si="45"/>
        <v>30.5</v>
      </c>
      <c r="AQ6">
        <f t="shared" si="46"/>
        <v>30.5</v>
      </c>
      <c r="AR6" s="9">
        <f t="shared" si="47"/>
        <v>0</v>
      </c>
      <c r="AS6" s="9">
        <f t="shared" si="48"/>
        <v>-4</v>
      </c>
      <c r="AT6" s="9">
        <f t="shared" si="49"/>
        <v>-4</v>
      </c>
      <c r="AU6" s="9">
        <f t="shared" si="50"/>
        <v>-4</v>
      </c>
      <c r="AV6" s="16" t="str">
        <f t="shared" si="51"/>
        <v>-</v>
      </c>
      <c r="AW6" s="16" t="str">
        <f t="shared" si="20"/>
        <v>-</v>
      </c>
      <c r="AX6" s="16" t="str">
        <f t="shared" si="20"/>
        <v>-</v>
      </c>
      <c r="AY6" s="16" t="str">
        <f t="shared" si="20"/>
        <v>-</v>
      </c>
    </row>
    <row r="7" spans="1:52">
      <c r="A7" t="s">
        <v>29</v>
      </c>
      <c r="B7">
        <v>9</v>
      </c>
      <c r="C7">
        <v>7.5</v>
      </c>
      <c r="D7">
        <v>0.26</v>
      </c>
      <c r="E7">
        <v>1.2250000000000001</v>
      </c>
      <c r="F7">
        <f t="shared" si="21"/>
        <v>4.4178646691106464E-5</v>
      </c>
      <c r="G7" s="1">
        <f t="shared" si="22"/>
        <v>7.0354494855587057E-6</v>
      </c>
      <c r="H7" s="1">
        <v>1</v>
      </c>
      <c r="I7">
        <v>24</v>
      </c>
      <c r="J7">
        <v>820</v>
      </c>
      <c r="K7" s="2">
        <f t="shared" si="12"/>
        <v>3025.7999999999997</v>
      </c>
      <c r="L7" s="2">
        <f t="shared" si="23"/>
        <v>142.72662791127999</v>
      </c>
      <c r="M7" s="2">
        <f t="shared" si="24"/>
        <v>443.34940062071269</v>
      </c>
      <c r="N7" s="2">
        <f t="shared" si="25"/>
        <v>918.28647929518877</v>
      </c>
      <c r="O7" s="2">
        <f t="shared" si="26"/>
        <v>1126.1865386279037</v>
      </c>
      <c r="P7" s="2">
        <f t="shared" si="27"/>
        <v>2945.5496595468362</v>
      </c>
      <c r="Q7" s="2">
        <f t="shared" si="28"/>
        <v>14.860104008435751</v>
      </c>
      <c r="R7" s="2">
        <f t="shared" si="29"/>
        <v>143.38549180425633</v>
      </c>
      <c r="S7" s="2">
        <f t="shared" si="30"/>
        <v>615.13594921163599</v>
      </c>
      <c r="T7" s="2">
        <f t="shared" si="31"/>
        <v>925.20115677662193</v>
      </c>
      <c r="U7" s="2">
        <f t="shared" si="32"/>
        <v>6329.2897907400093</v>
      </c>
      <c r="V7" s="2">
        <f t="shared" si="33"/>
        <v>37.024932680026076</v>
      </c>
      <c r="W7" s="2">
        <f t="shared" si="14"/>
        <v>52.361158497148573</v>
      </c>
      <c r="X7" s="2">
        <f t="shared" si="34"/>
        <v>104.72229347108174</v>
      </c>
      <c r="Y7" s="2">
        <f t="shared" si="15"/>
        <v>261.80555725358886</v>
      </c>
      <c r="Z7">
        <v>18</v>
      </c>
      <c r="AA7" s="2">
        <f t="shared" si="16"/>
        <v>763.09598446372161</v>
      </c>
      <c r="AB7" s="2">
        <f t="shared" si="17"/>
        <v>2620.4196667709539</v>
      </c>
      <c r="AC7">
        <v>28</v>
      </c>
      <c r="AD7" s="2">
        <f t="shared" si="18"/>
        <v>915.76751541476551</v>
      </c>
      <c r="AE7" s="2">
        <f t="shared" si="19"/>
        <v>3773.8356403001972</v>
      </c>
      <c r="AF7" s="13">
        <f t="shared" si="35"/>
        <v>203.71832715762602</v>
      </c>
      <c r="AG7" s="15">
        <f t="shared" si="36"/>
        <v>13.698020318078774</v>
      </c>
      <c r="AH7" s="14">
        <f t="shared" si="37"/>
        <v>10.958416254463019</v>
      </c>
      <c r="AI7" s="14">
        <f t="shared" si="38"/>
        <v>6.8490101590393868</v>
      </c>
      <c r="AJ7" s="14">
        <f t="shared" si="39"/>
        <v>3.259493234522016</v>
      </c>
      <c r="AK7" s="14">
        <f t="shared" si="40"/>
        <v>2.3549838619421566</v>
      </c>
      <c r="AL7" s="11" t="str">
        <f t="shared" si="41"/>
        <v>4D6+1</v>
      </c>
      <c r="AM7" s="11" t="str">
        <f t="shared" si="42"/>
        <v>3D6</v>
      </c>
      <c r="AN7">
        <f t="shared" si="43"/>
        <v>3</v>
      </c>
      <c r="AO7">
        <f t="shared" si="44"/>
        <v>29.2</v>
      </c>
      <c r="AP7">
        <f t="shared" si="45"/>
        <v>125.4</v>
      </c>
      <c r="AQ7">
        <f t="shared" si="46"/>
        <v>188.6</v>
      </c>
      <c r="AR7" s="9">
        <f t="shared" si="47"/>
        <v>0</v>
      </c>
      <c r="AS7" s="9">
        <f t="shared" si="48"/>
        <v>-2</v>
      </c>
      <c r="AT7" s="9">
        <f t="shared" si="49"/>
        <v>-12</v>
      </c>
      <c r="AU7" s="9">
        <f t="shared" si="50"/>
        <v>-12</v>
      </c>
      <c r="AV7" s="16" t="str">
        <f t="shared" si="51"/>
        <v>2D6+1</v>
      </c>
      <c r="AW7" s="16" t="str">
        <f t="shared" si="20"/>
        <v>2D6+2</v>
      </c>
      <c r="AX7" s="16" t="str">
        <f t="shared" si="20"/>
        <v>-</v>
      </c>
      <c r="AY7" s="16" t="str">
        <f t="shared" si="20"/>
        <v>-</v>
      </c>
    </row>
    <row r="8" spans="1:52">
      <c r="A8" t="s">
        <v>33</v>
      </c>
      <c r="B8">
        <v>5.5</v>
      </c>
      <c r="C8">
        <v>7.62</v>
      </c>
      <c r="D8">
        <v>0.35</v>
      </c>
      <c r="E8">
        <v>1.2250000000000001</v>
      </c>
      <c r="F8">
        <f t="shared" si="21"/>
        <v>4.5603673118774793E-5</v>
      </c>
      <c r="G8" s="1">
        <f t="shared" si="22"/>
        <v>9.7762874248373463E-6</v>
      </c>
      <c r="H8" s="1">
        <v>1</v>
      </c>
      <c r="I8">
        <v>5</v>
      </c>
      <c r="J8">
        <v>480</v>
      </c>
      <c r="K8" s="2">
        <f t="shared" si="12"/>
        <v>633.59999999999991</v>
      </c>
      <c r="L8" s="2">
        <f t="shared" si="23"/>
        <v>62.768691165428393</v>
      </c>
      <c r="M8" s="2">
        <f t="shared" si="24"/>
        <v>194.97736346183203</v>
      </c>
      <c r="N8" s="2">
        <f t="shared" si="25"/>
        <v>194.97736346183203</v>
      </c>
      <c r="O8" s="2">
        <f t="shared" si="26"/>
        <v>194.97736346183203</v>
      </c>
      <c r="P8" s="2">
        <f t="shared" si="27"/>
        <v>1295.4015631018492</v>
      </c>
      <c r="Q8" s="2">
        <f t="shared" si="28"/>
        <v>8.3877067460655415</v>
      </c>
      <c r="R8" s="2">
        <f t="shared" si="29"/>
        <v>80.933188128745172</v>
      </c>
      <c r="S8" s="2">
        <f t="shared" si="30"/>
        <v>80.933188128745172</v>
      </c>
      <c r="T8" s="2">
        <f t="shared" si="31"/>
        <v>80.933188128745172</v>
      </c>
      <c r="U8" s="2">
        <f t="shared" si="32"/>
        <v>3572.5377692653169</v>
      </c>
      <c r="V8" s="2">
        <f t="shared" si="33"/>
        <v>21.673129983810533</v>
      </c>
      <c r="W8" s="2">
        <f t="shared" si="14"/>
        <v>30.650431560067741</v>
      </c>
      <c r="X8" s="2">
        <f t="shared" si="34"/>
        <v>61.300843986117279</v>
      </c>
      <c r="Y8" s="2">
        <f t="shared" si="15"/>
        <v>153.25196646015672</v>
      </c>
      <c r="Z8">
        <v>4</v>
      </c>
      <c r="AA8" s="2">
        <f t="shared" si="16"/>
        <v>453.95597232152443</v>
      </c>
      <c r="AB8" s="2">
        <f t="shared" si="17"/>
        <v>566.7090682175467</v>
      </c>
      <c r="AC8">
        <v>10</v>
      </c>
      <c r="AD8" s="2">
        <f t="shared" si="18"/>
        <v>603.56804624780898</v>
      </c>
      <c r="AE8" s="2">
        <f t="shared" si="19"/>
        <v>1001.8095627413425</v>
      </c>
      <c r="AF8" s="13">
        <f t="shared" si="35"/>
        <v>120.60432030716575</v>
      </c>
      <c r="AG8" s="15">
        <f t="shared" si="36"/>
        <v>2.7787235398770984</v>
      </c>
      <c r="AH8" s="14">
        <f t="shared" si="37"/>
        <v>2.222978831901679</v>
      </c>
      <c r="AI8" s="14">
        <f t="shared" si="38"/>
        <v>1.3893617699385494</v>
      </c>
      <c r="AJ8" s="14">
        <f t="shared" si="39"/>
        <v>1.3893617699385494</v>
      </c>
      <c r="AK8" s="14">
        <f t="shared" si="40"/>
        <v>1.3893617699385494</v>
      </c>
      <c r="AL8" s="11" t="str">
        <f t="shared" si="41"/>
        <v>2D6</v>
      </c>
      <c r="AM8" s="11" t="str">
        <f t="shared" si="42"/>
        <v>1D6+1</v>
      </c>
      <c r="AN8">
        <f t="shared" si="43"/>
        <v>1.7</v>
      </c>
      <c r="AO8">
        <f t="shared" si="44"/>
        <v>16.5</v>
      </c>
      <c r="AP8">
        <f t="shared" si="45"/>
        <v>16.5</v>
      </c>
      <c r="AQ8">
        <f t="shared" si="46"/>
        <v>16.5</v>
      </c>
      <c r="AR8" s="9">
        <f t="shared" si="47"/>
        <v>0</v>
      </c>
      <c r="AS8" s="9">
        <f t="shared" si="48"/>
        <v>-2</v>
      </c>
      <c r="AT8" s="9">
        <f t="shared" si="49"/>
        <v>-2</v>
      </c>
      <c r="AU8" s="9">
        <f t="shared" si="50"/>
        <v>-2</v>
      </c>
      <c r="AV8" s="16" t="str">
        <f t="shared" si="51"/>
        <v>-</v>
      </c>
      <c r="AW8" s="16" t="str">
        <f t="shared" si="20"/>
        <v>-</v>
      </c>
      <c r="AX8" s="16" t="str">
        <f t="shared" si="20"/>
        <v>-</v>
      </c>
      <c r="AY8" s="16" t="str">
        <f t="shared" si="20"/>
        <v>-</v>
      </c>
    </row>
    <row r="9" spans="1:52">
      <c r="A9" t="s">
        <v>38</v>
      </c>
      <c r="B9">
        <v>8</v>
      </c>
      <c r="C9">
        <v>7.62</v>
      </c>
      <c r="D9">
        <v>0.28000000000000003</v>
      </c>
      <c r="E9">
        <v>1.2250000000000001</v>
      </c>
      <c r="F9">
        <f t="shared" si="21"/>
        <v>4.5603673118774793E-5</v>
      </c>
      <c r="G9" s="1">
        <f t="shared" si="22"/>
        <v>7.8210299398698787E-6</v>
      </c>
      <c r="H9" s="1">
        <v>1</v>
      </c>
      <c r="I9">
        <v>16</v>
      </c>
      <c r="J9">
        <v>715</v>
      </c>
      <c r="K9" s="2">
        <f t="shared" si="12"/>
        <v>2044.9</v>
      </c>
      <c r="L9" s="2">
        <f t="shared" si="23"/>
        <v>114.12489302805162</v>
      </c>
      <c r="M9" s="2">
        <f t="shared" si="24"/>
        <v>354.50429720333096</v>
      </c>
      <c r="N9" s="2">
        <f t="shared" si="25"/>
        <v>594.10896012571868</v>
      </c>
      <c r="O9" s="2">
        <f t="shared" si="26"/>
        <v>760.34684004410576</v>
      </c>
      <c r="P9" s="2">
        <f t="shared" si="27"/>
        <v>2355.2755692760893</v>
      </c>
      <c r="Q9" s="2">
        <f t="shared" si="28"/>
        <v>12.496495501966324</v>
      </c>
      <c r="R9" s="2">
        <f t="shared" si="29"/>
        <v>120.5789839786481</v>
      </c>
      <c r="S9" s="2">
        <f t="shared" si="30"/>
        <v>338.65848018029732</v>
      </c>
      <c r="T9" s="2">
        <f t="shared" si="31"/>
        <v>554.69471869321194</v>
      </c>
      <c r="U9" s="2">
        <f t="shared" si="32"/>
        <v>5322.5723254128352</v>
      </c>
      <c r="V9" s="2">
        <f t="shared" si="33"/>
        <v>32.283934630136834</v>
      </c>
      <c r="W9" s="2">
        <f t="shared" si="14"/>
        <v>45.656374861522373</v>
      </c>
      <c r="X9" s="2">
        <f t="shared" si="34"/>
        <v>91.312726921673061</v>
      </c>
      <c r="Y9" s="2">
        <f t="shared" si="15"/>
        <v>228.28164629389497</v>
      </c>
      <c r="Z9">
        <v>12</v>
      </c>
      <c r="AA9" s="2">
        <f t="shared" si="16"/>
        <v>665.38247425800114</v>
      </c>
      <c r="AB9" s="2">
        <f t="shared" si="17"/>
        <v>1770.9353481987982</v>
      </c>
      <c r="AC9">
        <v>20</v>
      </c>
      <c r="AD9" s="2">
        <f t="shared" si="18"/>
        <v>812.396847024262</v>
      </c>
      <c r="AE9" s="2">
        <f t="shared" si="19"/>
        <v>2639.9545482198487</v>
      </c>
      <c r="AF9" s="13">
        <f t="shared" si="35"/>
        <v>175.42446590133201</v>
      </c>
      <c r="AG9" s="15">
        <f t="shared" si="36"/>
        <v>8.9681372580408443</v>
      </c>
      <c r="AH9" s="14">
        <f t="shared" si="37"/>
        <v>7.1745098064326758</v>
      </c>
      <c r="AI9" s="14">
        <f t="shared" si="38"/>
        <v>4.4840686290204221</v>
      </c>
      <c r="AJ9" s="14">
        <f t="shared" si="39"/>
        <v>2.8067914544213122</v>
      </c>
      <c r="AK9" s="14">
        <f t="shared" si="40"/>
        <v>2.027906825819398</v>
      </c>
      <c r="AL9" s="11" t="str">
        <f t="shared" si="41"/>
        <v>3D6+2</v>
      </c>
      <c r="AM9" s="11" t="str">
        <f t="shared" si="42"/>
        <v>2D6+1</v>
      </c>
      <c r="AN9">
        <f t="shared" si="43"/>
        <v>2.5</v>
      </c>
      <c r="AO9">
        <f t="shared" si="44"/>
        <v>24.6</v>
      </c>
      <c r="AP9">
        <f t="shared" si="45"/>
        <v>69</v>
      </c>
      <c r="AQ9">
        <f t="shared" si="46"/>
        <v>113.1</v>
      </c>
      <c r="AR9" s="9">
        <f t="shared" si="47"/>
        <v>0</v>
      </c>
      <c r="AS9" s="9">
        <f t="shared" si="48"/>
        <v>-2</v>
      </c>
      <c r="AT9" s="9">
        <f t="shared" si="49"/>
        <v>-8</v>
      </c>
      <c r="AU9" s="9">
        <f t="shared" si="50"/>
        <v>-12</v>
      </c>
      <c r="AV9" s="16" t="str">
        <f t="shared" si="51"/>
        <v>2D6+2</v>
      </c>
      <c r="AW9" s="16" t="str">
        <f t="shared" si="20"/>
        <v>3D6+2</v>
      </c>
      <c r="AX9" s="16" t="str">
        <f t="shared" si="20"/>
        <v>-</v>
      </c>
      <c r="AY9" s="16" t="str">
        <f t="shared" si="20"/>
        <v>-</v>
      </c>
    </row>
    <row r="10" spans="1:52">
      <c r="A10" t="s">
        <v>41</v>
      </c>
      <c r="B10">
        <v>7.1</v>
      </c>
      <c r="C10">
        <v>7.62</v>
      </c>
      <c r="D10">
        <v>0.35</v>
      </c>
      <c r="E10">
        <v>1.2250000000000001</v>
      </c>
      <c r="F10">
        <f t="shared" si="21"/>
        <v>4.5603673118774793E-5</v>
      </c>
      <c r="G10" s="1">
        <f t="shared" si="22"/>
        <v>9.7762874248373463E-6</v>
      </c>
      <c r="H10" s="1">
        <v>1</v>
      </c>
      <c r="I10">
        <v>18</v>
      </c>
      <c r="J10">
        <v>600</v>
      </c>
      <c r="K10" s="2">
        <f t="shared" si="12"/>
        <v>1278</v>
      </c>
      <c r="L10" s="2">
        <f t="shared" si="23"/>
        <v>81.02867404991666</v>
      </c>
      <c r="M10" s="2">
        <f t="shared" si="24"/>
        <v>251.69805101436503</v>
      </c>
      <c r="N10" s="2">
        <f t="shared" si="25"/>
        <v>294.46784269600829</v>
      </c>
      <c r="O10" s="2">
        <f t="shared" si="26"/>
        <v>412.49673743806312</v>
      </c>
      <c r="P10" s="2">
        <f t="shared" si="27"/>
        <v>1672.2456541860238</v>
      </c>
      <c r="Q10" s="2">
        <f t="shared" si="28"/>
        <v>8.9457045106226278</v>
      </c>
      <c r="R10" s="2">
        <f t="shared" si="29"/>
        <v>86.317329852471246</v>
      </c>
      <c r="S10" s="2">
        <f t="shared" si="30"/>
        <v>118.14472725369889</v>
      </c>
      <c r="T10" s="2">
        <f t="shared" si="31"/>
        <v>231.83578151513254</v>
      </c>
      <c r="U10" s="2">
        <f t="shared" si="32"/>
        <v>3810.2063487879286</v>
      </c>
      <c r="V10" s="2">
        <f t="shared" si="33"/>
        <v>27.091412479763168</v>
      </c>
      <c r="W10" s="2">
        <f t="shared" si="14"/>
        <v>38.313039450084673</v>
      </c>
      <c r="X10" s="2">
        <f t="shared" si="34"/>
        <v>76.626054982646593</v>
      </c>
      <c r="Y10" s="2">
        <f t="shared" si="15"/>
        <v>191.5649580751959</v>
      </c>
      <c r="Z10">
        <v>10</v>
      </c>
      <c r="AA10" s="2">
        <f t="shared" si="16"/>
        <v>518.00401282227028</v>
      </c>
      <c r="AB10" s="2">
        <f t="shared" si="17"/>
        <v>952.56495841491028</v>
      </c>
      <c r="AC10">
        <v>22</v>
      </c>
      <c r="AD10" s="2">
        <f t="shared" si="18"/>
        <v>730.72997137854406</v>
      </c>
      <c r="AE10" s="2">
        <f t="shared" si="19"/>
        <v>1895.5803333016515</v>
      </c>
      <c r="AF10" s="13">
        <f t="shared" si="35"/>
        <v>155.68921348743214</v>
      </c>
      <c r="AG10" s="15">
        <f t="shared" si="36"/>
        <v>5.6048116855475572</v>
      </c>
      <c r="AH10" s="14">
        <f t="shared" si="37"/>
        <v>4.4838493484380466</v>
      </c>
      <c r="AI10" s="14">
        <f t="shared" si="38"/>
        <v>2.8024058427737786</v>
      </c>
      <c r="AJ10" s="14">
        <f t="shared" si="39"/>
        <v>2.4910274157989138</v>
      </c>
      <c r="AK10" s="14">
        <f t="shared" si="40"/>
        <v>1.7997673079147156</v>
      </c>
      <c r="AL10" s="11" t="str">
        <f t="shared" si="41"/>
        <v>2D6+2</v>
      </c>
      <c r="AM10" s="11" t="str">
        <f t="shared" si="42"/>
        <v>2D6</v>
      </c>
      <c r="AN10">
        <f t="shared" si="43"/>
        <v>1.8</v>
      </c>
      <c r="AO10">
        <f t="shared" si="44"/>
        <v>17.600000000000001</v>
      </c>
      <c r="AP10">
        <f t="shared" si="45"/>
        <v>24.1</v>
      </c>
      <c r="AQ10">
        <f t="shared" si="46"/>
        <v>47.3</v>
      </c>
      <c r="AR10" s="9">
        <f t="shared" si="47"/>
        <v>0</v>
      </c>
      <c r="AS10" s="9">
        <f t="shared" si="48"/>
        <v>-2</v>
      </c>
      <c r="AT10" s="9">
        <f t="shared" si="49"/>
        <v>-2</v>
      </c>
      <c r="AU10" s="9">
        <f t="shared" si="50"/>
        <v>-4</v>
      </c>
      <c r="AV10" s="16" t="str">
        <f t="shared" si="51"/>
        <v>-</v>
      </c>
      <c r="AW10" s="16" t="str">
        <f t="shared" si="20"/>
        <v>-</v>
      </c>
      <c r="AX10" s="16" t="str">
        <f t="shared" si="20"/>
        <v>-</v>
      </c>
      <c r="AY10" s="16" t="str">
        <f t="shared" si="20"/>
        <v>-</v>
      </c>
    </row>
    <row r="11" spans="1:52">
      <c r="A11" t="s">
        <v>43</v>
      </c>
      <c r="B11">
        <v>11</v>
      </c>
      <c r="C11">
        <v>7.8</v>
      </c>
      <c r="D11">
        <v>0.26</v>
      </c>
      <c r="E11">
        <v>1.2250000000000001</v>
      </c>
      <c r="F11">
        <f t="shared" si="21"/>
        <v>4.7783624261100745E-5</v>
      </c>
      <c r="G11" s="1">
        <f t="shared" si="22"/>
        <v>7.609542163580295E-6</v>
      </c>
      <c r="H11" s="1">
        <v>1</v>
      </c>
      <c r="I11">
        <v>24</v>
      </c>
      <c r="J11">
        <v>750</v>
      </c>
      <c r="K11" s="2">
        <f t="shared" si="12"/>
        <v>3093.75</v>
      </c>
      <c r="L11" s="2">
        <f t="shared" si="23"/>
        <v>161.28296628699047</v>
      </c>
      <c r="M11" s="2">
        <f t="shared" si="24"/>
        <v>500.99065241081524</v>
      </c>
      <c r="N11" s="2">
        <f t="shared" si="25"/>
        <v>908.68742231828924</v>
      </c>
      <c r="O11" s="2">
        <f t="shared" si="26"/>
        <v>1143.617223092848</v>
      </c>
      <c r="P11" s="2">
        <f t="shared" si="27"/>
        <v>3328.509847038873</v>
      </c>
      <c r="Q11" s="2">
        <f t="shared" si="28"/>
        <v>22.682671344487819</v>
      </c>
      <c r="R11" s="2">
        <f t="shared" si="29"/>
        <v>218.8658171871248</v>
      </c>
      <c r="S11" s="2">
        <f t="shared" si="30"/>
        <v>720.0282274024745</v>
      </c>
      <c r="T11" s="2">
        <f t="shared" si="31"/>
        <v>1140.4674608153521</v>
      </c>
      <c r="U11" s="2">
        <f t="shared" si="32"/>
        <v>9661.1949110548667</v>
      </c>
      <c r="V11" s="2">
        <f t="shared" si="33"/>
        <v>33.864267256237035</v>
      </c>
      <c r="W11" s="2">
        <f t="shared" si="14"/>
        <v>47.891302625671997</v>
      </c>
      <c r="X11" s="2">
        <f t="shared" si="34"/>
        <v>95.782581980572843</v>
      </c>
      <c r="Y11" s="2">
        <f t="shared" si="15"/>
        <v>239.4562804206486</v>
      </c>
      <c r="Z11">
        <v>18</v>
      </c>
      <c r="AA11" s="2">
        <f t="shared" si="16"/>
        <v>697.9536443265747</v>
      </c>
      <c r="AB11" s="2">
        <f t="shared" si="17"/>
        <v>2679.266092958107</v>
      </c>
      <c r="AC11">
        <v>28</v>
      </c>
      <c r="AD11" s="2">
        <f t="shared" si="18"/>
        <v>837.59223970862706</v>
      </c>
      <c r="AE11" s="2">
        <f t="shared" si="19"/>
        <v>3858.5841801106276</v>
      </c>
      <c r="AF11" s="13">
        <f t="shared" si="35"/>
        <v>230.20438843009191</v>
      </c>
      <c r="AG11" s="15">
        <f t="shared" si="36"/>
        <v>12.948996849192669</v>
      </c>
      <c r="AH11" s="14">
        <f t="shared" si="37"/>
        <v>10.359197479354135</v>
      </c>
      <c r="AI11" s="14">
        <f t="shared" si="38"/>
        <v>6.4744984245963373</v>
      </c>
      <c r="AJ11" s="14">
        <f t="shared" si="39"/>
        <v>3.6832702148814698</v>
      </c>
      <c r="AK11" s="14">
        <f t="shared" si="40"/>
        <v>2.6611627302518621</v>
      </c>
      <c r="AL11" s="11" t="str">
        <f t="shared" si="41"/>
        <v>4D6+1</v>
      </c>
      <c r="AM11" s="11" t="str">
        <f t="shared" si="42"/>
        <v>3D6</v>
      </c>
      <c r="AN11">
        <f t="shared" si="43"/>
        <v>4.5999999999999996</v>
      </c>
      <c r="AO11">
        <f t="shared" si="44"/>
        <v>44.6</v>
      </c>
      <c r="AP11">
        <f t="shared" si="45"/>
        <v>146.80000000000001</v>
      </c>
      <c r="AQ11">
        <f t="shared" si="46"/>
        <v>232.5</v>
      </c>
      <c r="AR11" s="9">
        <f t="shared" si="47"/>
        <v>0</v>
      </c>
      <c r="AS11" s="9">
        <f t="shared" si="48"/>
        <v>-4</v>
      </c>
      <c r="AT11" s="9">
        <f t="shared" si="49"/>
        <v>-12</v>
      </c>
      <c r="AU11" s="9">
        <f t="shared" si="50"/>
        <v>-12</v>
      </c>
      <c r="AV11" s="16" t="str">
        <f t="shared" si="51"/>
        <v>2D6+1</v>
      </c>
      <c r="AW11" s="16" t="str">
        <f t="shared" si="20"/>
        <v>3D6</v>
      </c>
      <c r="AX11" s="16" t="str">
        <f t="shared" si="20"/>
        <v>-</v>
      </c>
      <c r="AY11" s="16" t="str">
        <f t="shared" si="20"/>
        <v>-</v>
      </c>
    </row>
    <row r="12" spans="1:52">
      <c r="A12" t="s">
        <v>45</v>
      </c>
      <c r="B12">
        <v>8.5</v>
      </c>
      <c r="C12">
        <v>7.8</v>
      </c>
      <c r="D12">
        <v>0.28000000000000003</v>
      </c>
      <c r="E12">
        <v>1.2250000000000001</v>
      </c>
      <c r="F12">
        <f t="shared" si="21"/>
        <v>4.7783624261100745E-5</v>
      </c>
      <c r="G12" s="1">
        <f t="shared" si="22"/>
        <v>8.1948915607787798E-6</v>
      </c>
      <c r="H12" s="1">
        <v>1</v>
      </c>
      <c r="I12">
        <v>18</v>
      </c>
      <c r="J12">
        <v>650</v>
      </c>
      <c r="K12" s="2">
        <f t="shared" si="12"/>
        <v>1795.6250000000002</v>
      </c>
      <c r="L12" s="2">
        <f t="shared" si="23"/>
        <v>115.72576477086007</v>
      </c>
      <c r="M12" s="2">
        <f t="shared" si="24"/>
        <v>359.47705903503305</v>
      </c>
      <c r="N12" s="2">
        <f t="shared" si="25"/>
        <v>503.58401981737461</v>
      </c>
      <c r="O12" s="2">
        <f t="shared" si="26"/>
        <v>672.15377946405476</v>
      </c>
      <c r="P12" s="2">
        <f t="shared" si="27"/>
        <v>2388.3138837519191</v>
      </c>
      <c r="Q12" s="2">
        <f t="shared" si="28"/>
        <v>15.547946982671501</v>
      </c>
      <c r="R12" s="2">
        <f t="shared" si="29"/>
        <v>150.02257886454842</v>
      </c>
      <c r="S12" s="2">
        <f t="shared" si="30"/>
        <v>294.41432434279244</v>
      </c>
      <c r="T12" s="2">
        <f t="shared" si="31"/>
        <v>524.50939139669231</v>
      </c>
      <c r="U12" s="2">
        <f t="shared" si="32"/>
        <v>6622.2897985532027</v>
      </c>
      <c r="V12" s="2">
        <f t="shared" si="33"/>
        <v>29.349031234225908</v>
      </c>
      <c r="W12" s="2">
        <f t="shared" si="14"/>
        <v>41.505794833223355</v>
      </c>
      <c r="X12" s="2">
        <f t="shared" si="34"/>
        <v>83.0115679470603</v>
      </c>
      <c r="Y12" s="2">
        <f t="shared" si="15"/>
        <v>207.52875697225281</v>
      </c>
      <c r="Z12">
        <v>12</v>
      </c>
      <c r="AA12" s="2">
        <f t="shared" si="16"/>
        <v>587.34130234639906</v>
      </c>
      <c r="AB12" s="2">
        <f t="shared" si="17"/>
        <v>1466.1216731283475</v>
      </c>
      <c r="AC12">
        <v>22</v>
      </c>
      <c r="AD12" s="2">
        <f t="shared" si="18"/>
        <v>756.35157455144417</v>
      </c>
      <c r="AE12" s="2">
        <f t="shared" si="19"/>
        <v>2431.2877433874078</v>
      </c>
      <c r="AF12" s="13">
        <f t="shared" si="35"/>
        <v>177.88520924143467</v>
      </c>
      <c r="AG12" s="15">
        <f t="shared" si="36"/>
        <v>7.5156500904506141</v>
      </c>
      <c r="AH12" s="14">
        <f t="shared" si="37"/>
        <v>6.0125200723604921</v>
      </c>
      <c r="AI12" s="14">
        <f t="shared" si="38"/>
        <v>3.757825045225307</v>
      </c>
      <c r="AJ12" s="14">
        <f t="shared" si="39"/>
        <v>2.8461633478629547</v>
      </c>
      <c r="AK12" s="14">
        <f t="shared" si="40"/>
        <v>2.0563530188309849</v>
      </c>
      <c r="AL12" s="11" t="str">
        <f t="shared" si="41"/>
        <v>3D6+1</v>
      </c>
      <c r="AM12" s="11" t="str">
        <f t="shared" si="42"/>
        <v>2D6+1</v>
      </c>
      <c r="AN12">
        <f t="shared" si="43"/>
        <v>3.2</v>
      </c>
      <c r="AO12">
        <f t="shared" si="44"/>
        <v>30.6</v>
      </c>
      <c r="AP12">
        <f t="shared" si="45"/>
        <v>60</v>
      </c>
      <c r="AQ12">
        <f t="shared" si="46"/>
        <v>106.9</v>
      </c>
      <c r="AR12" s="9">
        <f t="shared" si="47"/>
        <v>0</v>
      </c>
      <c r="AS12" s="9">
        <f t="shared" si="48"/>
        <v>-4</v>
      </c>
      <c r="AT12" s="9">
        <f t="shared" si="49"/>
        <v>-8</v>
      </c>
      <c r="AU12" s="9">
        <f t="shared" si="50"/>
        <v>-12</v>
      </c>
      <c r="AV12" s="16" t="str">
        <f t="shared" si="51"/>
        <v>3D6</v>
      </c>
      <c r="AW12" s="16" t="str">
        <f t="shared" si="20"/>
        <v>-</v>
      </c>
      <c r="AX12" s="16" t="str">
        <f t="shared" si="20"/>
        <v>-</v>
      </c>
      <c r="AY12" s="16" t="str">
        <f t="shared" si="20"/>
        <v>-</v>
      </c>
    </row>
    <row r="13" spans="1:52">
      <c r="A13" t="s">
        <v>50</v>
      </c>
      <c r="B13">
        <v>11.3</v>
      </c>
      <c r="C13">
        <v>7.7</v>
      </c>
      <c r="D13">
        <v>0.26</v>
      </c>
      <c r="E13">
        <v>1.2250000000000001</v>
      </c>
      <c r="F13">
        <f t="shared" si="21"/>
        <v>4.6566257107834718E-5</v>
      </c>
      <c r="G13" s="1">
        <f t="shared" si="22"/>
        <v>7.4156764444226801E-6</v>
      </c>
      <c r="H13" s="1">
        <v>1</v>
      </c>
      <c r="I13">
        <v>25</v>
      </c>
      <c r="J13">
        <v>745</v>
      </c>
      <c r="K13" s="2">
        <f t="shared" si="12"/>
        <v>3135.8912500000001</v>
      </c>
      <c r="L13" s="2">
        <f t="shared" si="23"/>
        <v>170.01295490359502</v>
      </c>
      <c r="M13" s="2">
        <f t="shared" si="24"/>
        <v>528.1084739220413</v>
      </c>
      <c r="N13" s="2">
        <f t="shared" si="25"/>
        <v>947.68054378294028</v>
      </c>
      <c r="O13" s="2">
        <f t="shared" si="26"/>
        <v>1195.3267183549253</v>
      </c>
      <c r="P13" s="2">
        <f t="shared" si="27"/>
        <v>3508.6767533394386</v>
      </c>
      <c r="Q13" s="2">
        <f t="shared" si="28"/>
        <v>25.544136866532874</v>
      </c>
      <c r="R13" s="2">
        <f t="shared" si="29"/>
        <v>246.47621803949625</v>
      </c>
      <c r="S13" s="2">
        <f t="shared" si="30"/>
        <v>793.69654898519877</v>
      </c>
      <c r="T13" s="2">
        <f t="shared" si="31"/>
        <v>1262.7136864672686</v>
      </c>
      <c r="U13" s="2">
        <f t="shared" si="32"/>
        <v>10879.986414331104</v>
      </c>
      <c r="V13" s="2">
        <f t="shared" si="33"/>
        <v>33.638505621756067</v>
      </c>
      <c r="W13" s="2">
        <f t="shared" si="14"/>
        <v>47.572027569288736</v>
      </c>
      <c r="X13" s="2">
        <f t="shared" si="34"/>
        <v>95.14403261185393</v>
      </c>
      <c r="Y13" s="2">
        <f t="shared" si="15"/>
        <v>237.85991257920821</v>
      </c>
      <c r="Z13">
        <v>18</v>
      </c>
      <c r="AA13" s="2">
        <f t="shared" si="16"/>
        <v>686.26112338793916</v>
      </c>
      <c r="AB13" s="2">
        <f t="shared" si="17"/>
        <v>2660.8919615262712</v>
      </c>
      <c r="AC13">
        <v>30</v>
      </c>
      <c r="AD13" s="2">
        <f t="shared" si="18"/>
        <v>846.48342801828699</v>
      </c>
      <c r="AE13" s="2">
        <f t="shared" si="19"/>
        <v>4048.4181955891868</v>
      </c>
      <c r="AF13" s="13">
        <f t="shared" si="35"/>
        <v>242.66498322663753</v>
      </c>
      <c r="AG13" s="15">
        <f t="shared" si="36"/>
        <v>13.468513231536448</v>
      </c>
      <c r="AH13" s="14">
        <f t="shared" si="37"/>
        <v>10.774810585229158</v>
      </c>
      <c r="AI13" s="14">
        <f t="shared" si="38"/>
        <v>6.7342566157682242</v>
      </c>
      <c r="AJ13" s="14">
        <f t="shared" si="39"/>
        <v>3.8826397316261994</v>
      </c>
      <c r="AK13" s="14">
        <f t="shared" si="40"/>
        <v>2.8052072060999294</v>
      </c>
      <c r="AL13" s="11" t="str">
        <f t="shared" si="41"/>
        <v>4D6+1</v>
      </c>
      <c r="AM13" s="11" t="str">
        <f t="shared" si="42"/>
        <v>3D6</v>
      </c>
      <c r="AN13">
        <f t="shared" si="43"/>
        <v>5.2</v>
      </c>
      <c r="AO13">
        <f t="shared" si="44"/>
        <v>50.2</v>
      </c>
      <c r="AP13">
        <f t="shared" si="45"/>
        <v>161.80000000000001</v>
      </c>
      <c r="AQ13">
        <f t="shared" si="46"/>
        <v>257.39999999999998</v>
      </c>
      <c r="AR13" s="9">
        <f t="shared" si="47"/>
        <v>-1</v>
      </c>
      <c r="AS13" s="9">
        <f t="shared" si="48"/>
        <v>-4</v>
      </c>
      <c r="AT13" s="9">
        <f t="shared" si="49"/>
        <v>-12</v>
      </c>
      <c r="AU13" s="9">
        <f t="shared" si="50"/>
        <v>-12</v>
      </c>
      <c r="AV13" s="16" t="str">
        <f t="shared" si="51"/>
        <v>2D6+1</v>
      </c>
      <c r="AW13" s="16" t="str">
        <f t="shared" si="20"/>
        <v>3D6</v>
      </c>
      <c r="AX13" s="16" t="str">
        <f t="shared" si="20"/>
        <v>-</v>
      </c>
      <c r="AY13" s="16" t="str">
        <f t="shared" si="20"/>
        <v>-</v>
      </c>
    </row>
    <row r="14" spans="1:52">
      <c r="A14" t="s">
        <v>841</v>
      </c>
      <c r="B14">
        <v>10</v>
      </c>
      <c r="C14">
        <v>7.62</v>
      </c>
      <c r="D14">
        <v>0.25</v>
      </c>
      <c r="E14">
        <v>1.2250000000000001</v>
      </c>
      <c r="F14">
        <f t="shared" si="21"/>
        <v>4.5603673118774793E-5</v>
      </c>
      <c r="G14" s="1">
        <f t="shared" si="22"/>
        <v>6.9830624463123905E-6</v>
      </c>
      <c r="H14" s="1">
        <v>1.5</v>
      </c>
      <c r="I14">
        <v>22</v>
      </c>
      <c r="J14">
        <v>950</v>
      </c>
      <c r="K14" s="2">
        <f t="shared" si="12"/>
        <v>4512.5</v>
      </c>
      <c r="L14" s="2">
        <f t="shared" si="23"/>
        <v>159.7748502392723</v>
      </c>
      <c r="M14" s="2">
        <f t="shared" si="24"/>
        <v>496.30601608466344</v>
      </c>
      <c r="N14" s="2">
        <f t="shared" si="25"/>
        <v>1238.7078651192526</v>
      </c>
      <c r="O14" s="2">
        <f t="shared" si="26"/>
        <v>1471.4408970049944</v>
      </c>
      <c r="P14" s="2">
        <f t="shared" ref="P14" si="52">(B14/1000) / (2 * G14) * LN(100)</f>
        <v>3297.3857969865257</v>
      </c>
      <c r="Q14" s="2">
        <f t="shared" si="28"/>
        <v>13.874238297981861</v>
      </c>
      <c r="R14" s="2">
        <f t="shared" si="29"/>
        <v>133.87283632664403</v>
      </c>
      <c r="S14" s="2">
        <f t="shared" si="30"/>
        <v>833.937581425811</v>
      </c>
      <c r="T14" s="2">
        <f t="shared" si="31"/>
        <v>1176.7444092638279</v>
      </c>
      <c r="U14" s="2">
        <f t="shared" si="32"/>
        <v>5909.3791212908127</v>
      </c>
      <c r="V14" s="2">
        <f t="shared" si="33"/>
        <v>42.894739131249608</v>
      </c>
      <c r="W14" s="2">
        <f t="shared" si="14"/>
        <v>60.662317872549934</v>
      </c>
      <c r="X14" s="2">
        <f t="shared" si="34"/>
        <v>121.32460869552057</v>
      </c>
      <c r="Y14" s="2">
        <f t="shared" si="15"/>
        <v>303.31131886695664</v>
      </c>
      <c r="Z14">
        <v>15</v>
      </c>
      <c r="AA14" s="2">
        <f t="shared" si="16"/>
        <v>863.2582745157473</v>
      </c>
      <c r="AB14" s="2">
        <f t="shared" si="17"/>
        <v>3726.0742425995268</v>
      </c>
      <c r="AC14">
        <v>25</v>
      </c>
      <c r="AD14" s="2">
        <f t="shared" si="18"/>
        <v>1079.4083981441242</v>
      </c>
      <c r="AE14" s="2">
        <f t="shared" si="19"/>
        <v>5825.6124499203215</v>
      </c>
      <c r="AF14" s="13">
        <f t="shared" si="35"/>
        <v>219.28058237666502</v>
      </c>
      <c r="AG14" s="15">
        <f t="shared" si="36"/>
        <v>29.685108839241025</v>
      </c>
      <c r="AH14" s="14">
        <f t="shared" si="37"/>
        <v>23.74808707139282</v>
      </c>
      <c r="AI14" s="14">
        <f t="shared" si="38"/>
        <v>14.842554419620516</v>
      </c>
      <c r="AJ14" s="14">
        <f t="shared" si="39"/>
        <v>5.2627339770399599</v>
      </c>
      <c r="AK14" s="14">
        <f t="shared" si="40"/>
        <v>3.8023252984113713</v>
      </c>
      <c r="AL14" s="11" t="str">
        <f t="shared" si="41"/>
        <v>5D6+1</v>
      </c>
      <c r="AM14" s="11" t="str">
        <f t="shared" si="42"/>
        <v>3D6+2</v>
      </c>
      <c r="AN14">
        <f t="shared" si="43"/>
        <v>2.8</v>
      </c>
      <c r="AO14">
        <f t="shared" si="44"/>
        <v>27.3</v>
      </c>
      <c r="AP14">
        <f t="shared" si="45"/>
        <v>170</v>
      </c>
      <c r="AQ14">
        <f t="shared" si="46"/>
        <v>239.9</v>
      </c>
      <c r="AR14" s="9">
        <f t="shared" si="47"/>
        <v>0</v>
      </c>
      <c r="AS14" s="9">
        <f t="shared" si="48"/>
        <v>-2</v>
      </c>
      <c r="AT14" s="9">
        <f t="shared" si="49"/>
        <v>-12</v>
      </c>
      <c r="AU14" s="9">
        <f t="shared" si="50"/>
        <v>-12</v>
      </c>
      <c r="AV14" s="16" t="str">
        <f t="shared" si="51"/>
        <v>1D6</v>
      </c>
      <c r="AW14" s="16" t="str">
        <f t="shared" si="20"/>
        <v>1D6+1</v>
      </c>
      <c r="AX14" s="16" t="str">
        <f t="shared" si="20"/>
        <v>2D6+1</v>
      </c>
      <c r="AY14" s="16" t="str">
        <f t="shared" si="20"/>
        <v>-</v>
      </c>
    </row>
    <row r="15" spans="1:52">
      <c r="A15" t="s">
        <v>52</v>
      </c>
      <c r="B15">
        <v>9.5</v>
      </c>
      <c r="C15">
        <v>7.62</v>
      </c>
      <c r="D15">
        <v>0.25</v>
      </c>
      <c r="E15">
        <v>1.2250000000000001</v>
      </c>
      <c r="F15">
        <f t="shared" si="21"/>
        <v>4.5603673118774793E-5</v>
      </c>
      <c r="G15" s="1">
        <f t="shared" si="22"/>
        <v>6.9830624463123905E-6</v>
      </c>
      <c r="H15" s="1">
        <v>1</v>
      </c>
      <c r="I15">
        <v>22</v>
      </c>
      <c r="J15">
        <v>830</v>
      </c>
      <c r="K15" s="2">
        <f t="shared" si="12"/>
        <v>3272.2750000000001</v>
      </c>
      <c r="L15" s="2">
        <f t="shared" si="23"/>
        <v>151.78610772730866</v>
      </c>
      <c r="M15" s="2">
        <f t="shared" si="24"/>
        <v>471.49071528043027</v>
      </c>
      <c r="N15" s="2">
        <f t="shared" si="25"/>
        <v>993.06443459449792</v>
      </c>
      <c r="O15" s="2">
        <f t="shared" si="26"/>
        <v>1214.160814885953</v>
      </c>
      <c r="P15" s="2">
        <f t="shared" si="27"/>
        <v>3132.5165071371994</v>
      </c>
      <c r="Q15" s="2">
        <f t="shared" si="28"/>
        <v>16.403911985762882</v>
      </c>
      <c r="R15" s="2">
        <f t="shared" si="29"/>
        <v>158.28174864342859</v>
      </c>
      <c r="S15" s="2">
        <f t="shared" si="30"/>
        <v>702.1684510008746</v>
      </c>
      <c r="T15" s="2">
        <f t="shared" si="31"/>
        <v>1049.6383467880025</v>
      </c>
      <c r="U15" s="2">
        <f t="shared" si="32"/>
        <v>6986.843400175806</v>
      </c>
      <c r="V15" s="2">
        <f t="shared" si="33"/>
        <v>37.476456293618078</v>
      </c>
      <c r="W15" s="2">
        <f t="shared" si="14"/>
        <v>52.999709299175208</v>
      </c>
      <c r="X15" s="2">
        <f t="shared" si="34"/>
        <v>105.99939496556007</v>
      </c>
      <c r="Y15" s="2">
        <f t="shared" si="15"/>
        <v>264.99831016797265</v>
      </c>
      <c r="Z15">
        <v>16</v>
      </c>
      <c r="AA15" s="2">
        <f t="shared" si="16"/>
        <v>766.48280736721028</v>
      </c>
      <c r="AB15" s="2">
        <f t="shared" si="17"/>
        <v>2790.60549645022</v>
      </c>
      <c r="AC15">
        <v>26</v>
      </c>
      <c r="AD15" s="2">
        <f t="shared" si="18"/>
        <v>937.11185870658869</v>
      </c>
      <c r="AE15" s="2">
        <f t="shared" si="19"/>
        <v>4171.3485197104574</v>
      </c>
      <c r="AF15" s="13">
        <f t="shared" si="35"/>
        <v>208.31655325783177</v>
      </c>
      <c r="AG15" s="15">
        <f t="shared" si="36"/>
        <v>14.350927353932029</v>
      </c>
      <c r="AH15" s="14">
        <f t="shared" si="37"/>
        <v>11.480741883145624</v>
      </c>
      <c r="AI15" s="14">
        <f t="shared" si="38"/>
        <v>7.1754636769660136</v>
      </c>
      <c r="AJ15" s="14">
        <f t="shared" si="39"/>
        <v>3.3330648521253075</v>
      </c>
      <c r="AK15" s="14">
        <f t="shared" si="40"/>
        <v>2.4081393556605342</v>
      </c>
      <c r="AL15" s="11" t="str">
        <f t="shared" si="41"/>
        <v>4D6+2</v>
      </c>
      <c r="AM15" s="11" t="str">
        <f t="shared" si="42"/>
        <v>3D6+1</v>
      </c>
      <c r="AN15">
        <f t="shared" si="43"/>
        <v>3.3</v>
      </c>
      <c r="AO15">
        <f t="shared" si="44"/>
        <v>32.299999999999997</v>
      </c>
      <c r="AP15">
        <f t="shared" si="45"/>
        <v>143.19999999999999</v>
      </c>
      <c r="AQ15">
        <f t="shared" si="46"/>
        <v>214</v>
      </c>
      <c r="AR15" s="9">
        <f t="shared" si="47"/>
        <v>0</v>
      </c>
      <c r="AS15" s="9">
        <f t="shared" si="48"/>
        <v>-4</v>
      </c>
      <c r="AT15" s="9">
        <f t="shared" si="49"/>
        <v>-12</v>
      </c>
      <c r="AU15" s="9">
        <f t="shared" si="50"/>
        <v>-12</v>
      </c>
      <c r="AV15" s="16" t="str">
        <f t="shared" si="51"/>
        <v>2D6</v>
      </c>
      <c r="AW15" s="16" t="str">
        <f t="shared" si="20"/>
        <v>2D6+2</v>
      </c>
      <c r="AX15" s="16" t="str">
        <f t="shared" si="20"/>
        <v>4D6+1</v>
      </c>
      <c r="AY15" s="16" t="str">
        <f t="shared" si="20"/>
        <v>-</v>
      </c>
    </row>
    <row r="16" spans="1:52">
      <c r="A16" t="s">
        <v>58</v>
      </c>
      <c r="B16">
        <v>9.6999999999999993</v>
      </c>
      <c r="C16">
        <v>7.62</v>
      </c>
      <c r="D16">
        <v>0.25</v>
      </c>
      <c r="E16">
        <v>1.2250000000000001</v>
      </c>
      <c r="F16">
        <f t="shared" si="21"/>
        <v>4.5603673118774793E-5</v>
      </c>
      <c r="G16" s="1">
        <f t="shared" si="22"/>
        <v>6.9830624463123905E-6</v>
      </c>
      <c r="H16" s="1">
        <v>1</v>
      </c>
      <c r="I16">
        <v>24</v>
      </c>
      <c r="J16">
        <v>850</v>
      </c>
      <c r="K16" s="2">
        <f t="shared" si="12"/>
        <v>3504.1249999999995</v>
      </c>
      <c r="L16" s="2">
        <f t="shared" si="23"/>
        <v>154.9816047320941</v>
      </c>
      <c r="M16" s="2">
        <f t="shared" si="24"/>
        <v>481.41683560212346</v>
      </c>
      <c r="N16" s="2">
        <f t="shared" si="25"/>
        <v>1047.0458397392656</v>
      </c>
      <c r="O16" s="2">
        <f t="shared" si="26"/>
        <v>1272.7968806684351</v>
      </c>
      <c r="P16" s="2">
        <f t="shared" si="27"/>
        <v>3198.4642230769291</v>
      </c>
      <c r="Q16" s="2">
        <f t="shared" si="28"/>
        <v>16.306547507344792</v>
      </c>
      <c r="R16" s="2">
        <f t="shared" si="29"/>
        <v>157.3422751479016</v>
      </c>
      <c r="S16" s="2">
        <f t="shared" si="30"/>
        <v>744.2798940132875</v>
      </c>
      <c r="T16" s="2">
        <f t="shared" si="31"/>
        <v>1099.8258071087234</v>
      </c>
      <c r="U16" s="2">
        <f t="shared" si="32"/>
        <v>6945.372874364436</v>
      </c>
      <c r="V16" s="2">
        <f t="shared" si="33"/>
        <v>38.379503433223334</v>
      </c>
      <c r="W16" s="2">
        <f t="shared" si="14"/>
        <v>54.276810728070991</v>
      </c>
      <c r="X16" s="2">
        <f t="shared" si="34"/>
        <v>108.55359725388682</v>
      </c>
      <c r="Y16" s="2">
        <f t="shared" si="15"/>
        <v>271.3838116178033</v>
      </c>
      <c r="Z16">
        <v>18</v>
      </c>
      <c r="AA16" s="2">
        <f t="shared" si="16"/>
        <v>791.01413023678458</v>
      </c>
      <c r="AB16" s="2">
        <f t="shared" si="17"/>
        <v>3034.661268036145</v>
      </c>
      <c r="AC16">
        <v>28</v>
      </c>
      <c r="AD16" s="2">
        <f t="shared" si="18"/>
        <v>949.27120500311059</v>
      </c>
      <c r="AE16" s="2">
        <f t="shared" si="19"/>
        <v>4370.4117301430788</v>
      </c>
      <c r="AF16" s="13">
        <f t="shared" si="35"/>
        <v>212.70216490536504</v>
      </c>
      <c r="AG16" s="15">
        <f t="shared" si="36"/>
        <v>15.367731414412624</v>
      </c>
      <c r="AH16" s="14">
        <f t="shared" si="37"/>
        <v>12.294185131530099</v>
      </c>
      <c r="AI16" s="14">
        <f t="shared" si="38"/>
        <v>7.6838657072063121</v>
      </c>
      <c r="AJ16" s="14">
        <f t="shared" si="39"/>
        <v>3.4032346384858401</v>
      </c>
      <c r="AK16" s="14">
        <f t="shared" si="40"/>
        <v>2.4588370263060204</v>
      </c>
      <c r="AL16" s="11" t="str">
        <f t="shared" si="41"/>
        <v>4D6+2</v>
      </c>
      <c r="AM16" s="11" t="str">
        <f t="shared" si="42"/>
        <v>3D6+1</v>
      </c>
      <c r="AN16">
        <f t="shared" si="43"/>
        <v>3.3</v>
      </c>
      <c r="AO16">
        <f t="shared" si="44"/>
        <v>32.1</v>
      </c>
      <c r="AP16">
        <f t="shared" si="45"/>
        <v>151.69999999999999</v>
      </c>
      <c r="AQ16">
        <f t="shared" si="46"/>
        <v>224.2</v>
      </c>
      <c r="AR16" s="9">
        <f t="shared" si="47"/>
        <v>0</v>
      </c>
      <c r="AS16" s="9">
        <f t="shared" si="48"/>
        <v>-4</v>
      </c>
      <c r="AT16" s="9">
        <f t="shared" si="49"/>
        <v>-12</v>
      </c>
      <c r="AU16" s="9">
        <f t="shared" si="50"/>
        <v>-12</v>
      </c>
      <c r="AV16" s="16" t="str">
        <f t="shared" si="51"/>
        <v>2D6</v>
      </c>
      <c r="AW16" s="16" t="str">
        <f t="shared" si="20"/>
        <v>2D6+2</v>
      </c>
      <c r="AX16" s="16" t="str">
        <f t="shared" si="20"/>
        <v>4D6+1</v>
      </c>
      <c r="AY16" s="16" t="str">
        <f t="shared" si="20"/>
        <v>-</v>
      </c>
    </row>
    <row r="17" spans="1:51">
      <c r="A17" t="s">
        <v>61</v>
      </c>
      <c r="B17">
        <v>9.6</v>
      </c>
      <c r="C17">
        <v>7.62</v>
      </c>
      <c r="D17">
        <v>0.25</v>
      </c>
      <c r="E17">
        <v>1.2250000000000001</v>
      </c>
      <c r="F17">
        <f t="shared" si="21"/>
        <v>4.5603673118774793E-5</v>
      </c>
      <c r="G17" s="1">
        <f t="shared" si="22"/>
        <v>6.9830624463123905E-6</v>
      </c>
      <c r="H17" s="1">
        <v>1</v>
      </c>
      <c r="I17">
        <v>24</v>
      </c>
      <c r="J17">
        <v>830</v>
      </c>
      <c r="K17" s="2">
        <f t="shared" si="12"/>
        <v>3306.72</v>
      </c>
      <c r="L17" s="2">
        <f t="shared" si="23"/>
        <v>153.38385622970137</v>
      </c>
      <c r="M17" s="2">
        <f t="shared" si="24"/>
        <v>476.45377544127683</v>
      </c>
      <c r="N17" s="2">
        <f t="shared" si="25"/>
        <v>1003.5177444323347</v>
      </c>
      <c r="O17" s="2">
        <f t="shared" si="26"/>
        <v>1226.941455042647</v>
      </c>
      <c r="P17" s="2">
        <f t="shared" si="27"/>
        <v>3165.4903651070645</v>
      </c>
      <c r="Q17" s="2">
        <f t="shared" si="28"/>
        <v>16.751075334403399</v>
      </c>
      <c r="R17" s="2">
        <f t="shared" si="29"/>
        <v>161.6315408762606</v>
      </c>
      <c r="S17" s="2">
        <f t="shared" si="30"/>
        <v>717.02881036549081</v>
      </c>
      <c r="T17" s="2">
        <f t="shared" si="31"/>
        <v>1071.8524148664249</v>
      </c>
      <c r="U17" s="2">
        <f t="shared" si="32"/>
        <v>7134.7109849898989</v>
      </c>
      <c r="V17" s="2">
        <f t="shared" si="33"/>
        <v>37.476456293618078</v>
      </c>
      <c r="W17" s="2">
        <f t="shared" si="14"/>
        <v>52.999709299175208</v>
      </c>
      <c r="X17" s="2">
        <f t="shared" si="34"/>
        <v>105.99939496556007</v>
      </c>
      <c r="Y17" s="2">
        <f t="shared" si="15"/>
        <v>264.99831016797265</v>
      </c>
      <c r="Z17">
        <v>18</v>
      </c>
      <c r="AA17" s="2">
        <f t="shared" si="16"/>
        <v>772.40203305474267</v>
      </c>
      <c r="AB17" s="2">
        <f t="shared" si="17"/>
        <v>2863.7035232020785</v>
      </c>
      <c r="AC17">
        <v>29</v>
      </c>
      <c r="AD17" s="2">
        <f t="shared" si="18"/>
        <v>935.1030328819071</v>
      </c>
      <c r="AE17" s="2">
        <f t="shared" si="19"/>
        <v>4197.2048741037161</v>
      </c>
      <c r="AF17" s="13">
        <f t="shared" si="35"/>
        <v>210.5093590815984</v>
      </c>
      <c r="AG17" s="15">
        <f t="shared" si="36"/>
        <v>14.501989747131313</v>
      </c>
      <c r="AH17" s="14">
        <f t="shared" si="37"/>
        <v>11.601591797705053</v>
      </c>
      <c r="AI17" s="14">
        <f t="shared" si="38"/>
        <v>7.2509948735656566</v>
      </c>
      <c r="AJ17" s="14">
        <f t="shared" si="39"/>
        <v>3.3681497453055744</v>
      </c>
      <c r="AK17" s="14">
        <f t="shared" si="40"/>
        <v>2.4334881909832773</v>
      </c>
      <c r="AL17" s="11" t="str">
        <f t="shared" si="41"/>
        <v>4D6+2</v>
      </c>
      <c r="AM17" s="11" t="str">
        <f t="shared" si="42"/>
        <v>3D6+1</v>
      </c>
      <c r="AN17">
        <f t="shared" si="43"/>
        <v>3.4</v>
      </c>
      <c r="AO17">
        <f t="shared" si="44"/>
        <v>33</v>
      </c>
      <c r="AP17">
        <f t="shared" si="45"/>
        <v>146.19999999999999</v>
      </c>
      <c r="AQ17">
        <f t="shared" si="46"/>
        <v>218.5</v>
      </c>
      <c r="AR17" s="9">
        <f t="shared" si="47"/>
        <v>0</v>
      </c>
      <c r="AS17" s="9">
        <f t="shared" si="48"/>
        <v>-4</v>
      </c>
      <c r="AT17" s="9">
        <f t="shared" si="49"/>
        <v>-12</v>
      </c>
      <c r="AU17" s="9">
        <f t="shared" si="50"/>
        <v>-12</v>
      </c>
      <c r="AV17" s="16" t="str">
        <f t="shared" si="51"/>
        <v>2D6</v>
      </c>
      <c r="AW17" s="16" t="str">
        <f t="shared" si="20"/>
        <v>2D6+2</v>
      </c>
      <c r="AX17" s="16" t="str">
        <f t="shared" si="20"/>
        <v>4D6+1</v>
      </c>
      <c r="AY17" s="16" t="str">
        <f t="shared" si="20"/>
        <v>-</v>
      </c>
    </row>
    <row r="18" spans="1:51">
      <c r="A18" t="s">
        <v>65</v>
      </c>
      <c r="B18">
        <v>4.5999999999999996</v>
      </c>
      <c r="C18">
        <v>7.65</v>
      </c>
      <c r="D18">
        <v>0.4</v>
      </c>
      <c r="E18">
        <v>1.2250000000000001</v>
      </c>
      <c r="F18">
        <f t="shared" si="21"/>
        <v>4.596346401742717E-5</v>
      </c>
      <c r="G18" s="1">
        <f t="shared" si="22"/>
        <v>1.1261048684269658E-5</v>
      </c>
      <c r="H18" s="1">
        <v>1</v>
      </c>
      <c r="I18">
        <v>4</v>
      </c>
      <c r="J18">
        <v>280</v>
      </c>
      <c r="K18" s="2">
        <f t="shared" si="12"/>
        <v>180.32</v>
      </c>
      <c r="L18" s="2">
        <f t="shared" si="23"/>
        <v>45.575699245453372</v>
      </c>
      <c r="M18" s="2">
        <f t="shared" si="24"/>
        <v>141.57105257122592</v>
      </c>
      <c r="N18" s="2">
        <f t="shared" si="25"/>
        <v>141.57105257122592</v>
      </c>
      <c r="O18" s="2">
        <f t="shared" si="26"/>
        <v>141.57105257122592</v>
      </c>
      <c r="P18" s="2">
        <f t="shared" si="27"/>
        <v>940.57771391826236</v>
      </c>
      <c r="Q18" s="2">
        <f t="shared" si="28"/>
        <v>12.995423174987131</v>
      </c>
      <c r="R18" s="2">
        <f t="shared" si="29"/>
        <v>125.39330343237289</v>
      </c>
      <c r="S18" s="2">
        <f t="shared" si="30"/>
        <v>125.39330343237289</v>
      </c>
      <c r="T18" s="2">
        <f t="shared" si="31"/>
        <v>125.39330343237289</v>
      </c>
      <c r="U18" s="2">
        <f t="shared" si="32"/>
        <v>5535.1417397585119</v>
      </c>
      <c r="V18" s="2">
        <f t="shared" si="33"/>
        <v>12.64265873343774</v>
      </c>
      <c r="W18" s="2">
        <f t="shared" si="14"/>
        <v>17.879417562469374</v>
      </c>
      <c r="X18" s="2">
        <f t="shared" si="34"/>
        <v>35.758822268287858</v>
      </c>
      <c r="Y18" s="2">
        <f t="shared" si="15"/>
        <v>89.396959245837976</v>
      </c>
      <c r="Z18">
        <v>2.5</v>
      </c>
      <c r="AA18" s="2">
        <f t="shared" si="16"/>
        <v>248.95911740544918</v>
      </c>
      <c r="AB18" s="2">
        <f t="shared" si="17"/>
        <v>142.55547692039053</v>
      </c>
      <c r="AC18">
        <v>10</v>
      </c>
      <c r="AD18" s="2">
        <f t="shared" si="18"/>
        <v>395.97979746446657</v>
      </c>
      <c r="AE18" s="2">
        <f t="shared" si="19"/>
        <v>360.63999999999993</v>
      </c>
      <c r="AF18" s="13">
        <f t="shared" si="35"/>
        <v>100.07948918418981</v>
      </c>
      <c r="AG18" s="15">
        <f t="shared" si="36"/>
        <v>0.78462319520404811</v>
      </c>
      <c r="AH18" s="14">
        <f t="shared" si="37"/>
        <v>0.62769855616323844</v>
      </c>
      <c r="AI18" s="14">
        <f t="shared" si="38"/>
        <v>0.39231159760202405</v>
      </c>
      <c r="AJ18" s="14">
        <f t="shared" si="39"/>
        <v>0.39231159760202405</v>
      </c>
      <c r="AK18" s="14">
        <f t="shared" si="40"/>
        <v>0.39231159760202405</v>
      </c>
      <c r="AL18" s="11" t="str">
        <f t="shared" si="41"/>
        <v>1D6</v>
      </c>
      <c r="AM18" s="11">
        <f t="shared" si="42"/>
        <v>2</v>
      </c>
      <c r="AN18">
        <f t="shared" si="43"/>
        <v>2.6</v>
      </c>
      <c r="AO18">
        <f t="shared" si="44"/>
        <v>25.6</v>
      </c>
      <c r="AP18">
        <f t="shared" si="45"/>
        <v>25.6</v>
      </c>
      <c r="AQ18">
        <f t="shared" si="46"/>
        <v>25.6</v>
      </c>
      <c r="AR18" s="9">
        <f t="shared" si="47"/>
        <v>0</v>
      </c>
      <c r="AS18" s="9">
        <f t="shared" si="48"/>
        <v>-2</v>
      </c>
      <c r="AT18" s="9">
        <f t="shared" si="49"/>
        <v>-2</v>
      </c>
      <c r="AU18" s="9">
        <f t="shared" si="50"/>
        <v>-2</v>
      </c>
      <c r="AV18" s="16" t="str">
        <f t="shared" si="51"/>
        <v>-</v>
      </c>
      <c r="AW18" s="16" t="str">
        <f t="shared" si="20"/>
        <v>-</v>
      </c>
      <c r="AX18" s="16" t="str">
        <f t="shared" si="20"/>
        <v>-</v>
      </c>
      <c r="AY18" s="16" t="str">
        <f t="shared" si="20"/>
        <v>-</v>
      </c>
    </row>
    <row r="19" spans="1:51">
      <c r="A19" t="s">
        <v>66</v>
      </c>
      <c r="B19">
        <v>8.1</v>
      </c>
      <c r="C19">
        <v>7.92</v>
      </c>
      <c r="D19">
        <v>0.28000000000000003</v>
      </c>
      <c r="E19">
        <v>1.2250000000000001</v>
      </c>
      <c r="F19">
        <f t="shared" si="21"/>
        <v>4.9265199356533699E-5</v>
      </c>
      <c r="G19" s="1">
        <f t="shared" si="22"/>
        <v>8.4489816896455313E-6</v>
      </c>
      <c r="H19" s="1">
        <v>1</v>
      </c>
      <c r="I19">
        <v>16</v>
      </c>
      <c r="J19">
        <v>685</v>
      </c>
      <c r="K19" s="2">
        <f t="shared" si="12"/>
        <v>1900.3612499999999</v>
      </c>
      <c r="L19" s="2">
        <f t="shared" si="23"/>
        <v>106.96334966971202</v>
      </c>
      <c r="M19" s="2">
        <f t="shared" si="24"/>
        <v>332.25851166278875</v>
      </c>
      <c r="N19" s="2">
        <f t="shared" si="25"/>
        <v>515.7343119454888</v>
      </c>
      <c r="O19" s="2">
        <f t="shared" si="26"/>
        <v>671.54046436563965</v>
      </c>
      <c r="P19" s="2">
        <f t="shared" si="27"/>
        <v>2207.4777693161568</v>
      </c>
      <c r="Q19" s="2">
        <f t="shared" si="28"/>
        <v>11.959924316700102</v>
      </c>
      <c r="R19" s="2">
        <f t="shared" si="29"/>
        <v>115.40161302705133</v>
      </c>
      <c r="S19" s="2">
        <f t="shared" si="30"/>
        <v>278.04345955090264</v>
      </c>
      <c r="T19" s="2">
        <f t="shared" si="31"/>
        <v>471.41765076801312</v>
      </c>
      <c r="U19" s="2">
        <f t="shared" si="32"/>
        <v>5094.0402355271899</v>
      </c>
      <c r="V19" s="2">
        <f t="shared" si="33"/>
        <v>30.92936350787684</v>
      </c>
      <c r="W19" s="2">
        <f t="shared" si="14"/>
        <v>43.740721892474461</v>
      </c>
      <c r="X19" s="2">
        <f t="shared" si="34"/>
        <v>87.481420186366009</v>
      </c>
      <c r="Y19" s="2">
        <f t="shared" si="15"/>
        <v>218.70337347654328</v>
      </c>
      <c r="Z19">
        <v>11</v>
      </c>
      <c r="AA19" s="2">
        <f t="shared" si="16"/>
        <v>623.74739824197104</v>
      </c>
      <c r="AB19" s="2">
        <f t="shared" si="17"/>
        <v>1575.6963080951934</v>
      </c>
      <c r="AC19">
        <v>20</v>
      </c>
      <c r="AD19" s="2">
        <f t="shared" si="18"/>
        <v>795.42621337785283</v>
      </c>
      <c r="AE19" s="2">
        <f t="shared" si="19"/>
        <v>2562.4465867609488</v>
      </c>
      <c r="AF19" s="13">
        <f t="shared" si="35"/>
        <v>164.41626352468526</v>
      </c>
      <c r="AG19" s="15">
        <f t="shared" si="36"/>
        <v>7.7148221252370437</v>
      </c>
      <c r="AH19" s="14">
        <f t="shared" si="37"/>
        <v>6.1718577001896353</v>
      </c>
      <c r="AI19" s="14">
        <f t="shared" si="38"/>
        <v>3.8574110626185218</v>
      </c>
      <c r="AJ19" s="14">
        <f t="shared" si="39"/>
        <v>2.6306602163949631</v>
      </c>
      <c r="AK19" s="14">
        <f t="shared" si="40"/>
        <v>1.900652006345362</v>
      </c>
      <c r="AL19" s="11" t="str">
        <f t="shared" si="41"/>
        <v>3D6+1</v>
      </c>
      <c r="AM19" s="11" t="str">
        <f t="shared" si="42"/>
        <v>2D6+1</v>
      </c>
      <c r="AN19">
        <f t="shared" si="43"/>
        <v>2.4</v>
      </c>
      <c r="AO19">
        <f t="shared" si="44"/>
        <v>23.5</v>
      </c>
      <c r="AP19">
        <f t="shared" si="45"/>
        <v>56.7</v>
      </c>
      <c r="AQ19">
        <f t="shared" si="46"/>
        <v>96.1</v>
      </c>
      <c r="AR19" s="9">
        <f t="shared" si="47"/>
        <v>0</v>
      </c>
      <c r="AS19" s="9">
        <f t="shared" si="48"/>
        <v>-2</v>
      </c>
      <c r="AT19" s="9">
        <f t="shared" si="49"/>
        <v>-4</v>
      </c>
      <c r="AU19" s="9">
        <f t="shared" si="50"/>
        <v>-8</v>
      </c>
      <c r="AV19" s="16" t="str">
        <f t="shared" si="51"/>
        <v>3D6</v>
      </c>
      <c r="AW19" s="16" t="str">
        <f t="shared" ref="AW19:AW56" si="53">IF((SQRT($K19)*(7/AH19))&gt;=(SQRT($K19)),"-",IF(INT(SQRT($K19)*(7/AH19)/12)=0, MOD(INT(SQRT($K19)*(7/AH19)/4),3), INT(SQRT($K19)*(7/AH19)/12) &amp; "D6"  &amp; IF(MOD(INT(SQRT($K19)*(7/AH19)/4),3)=0, "", "+" &amp; MOD(INT(SQRT($K19)*(7/AH19)/4),3))))</f>
        <v>-</v>
      </c>
      <c r="AX19" s="16" t="str">
        <f t="shared" ref="AX19:AX56" si="54">IF((SQRT($K19)*(7/AI19))&gt;=(SQRT($K19)),"-",IF(INT(SQRT($K19)*(7/AI19)/12)=0, MOD(INT(SQRT($K19)*(7/AI19)/4),3), INT(SQRT($K19)*(7/AI19)/12) &amp; "D6"  &amp; IF(MOD(INT(SQRT($K19)*(7/AI19)/4),3)=0, "", "+" &amp; MOD(INT(SQRT($K19)*(7/AI19)/4),3))))</f>
        <v>-</v>
      </c>
      <c r="AY19" s="16" t="str">
        <f t="shared" ref="AY19:AY56" si="55">IF((SQRT($K19)*(7/AJ19))&gt;=(SQRT($K19)),"-",IF(INT(SQRT($K19)*(7/AJ19)/12)=0, MOD(INT(SQRT($K19)*(7/AJ19)/4),3), INT(SQRT($K19)*(7/AJ19)/12) &amp; "D6"  &amp; IF(MOD(INT(SQRT($K19)*(7/AJ19)/4),3)=0, "", "+" &amp; MOD(INT(SQRT($K19)*(7/AJ19)/4),3))))</f>
        <v>-</v>
      </c>
    </row>
    <row r="20" spans="1:51">
      <c r="A20" t="s">
        <v>68</v>
      </c>
      <c r="B20">
        <v>12.8</v>
      </c>
      <c r="C20">
        <v>7.92</v>
      </c>
      <c r="D20">
        <v>0.26</v>
      </c>
      <c r="E20">
        <v>1.2250000000000001</v>
      </c>
      <c r="F20">
        <f t="shared" si="21"/>
        <v>4.9265199356533699E-5</v>
      </c>
      <c r="G20" s="1">
        <f t="shared" si="22"/>
        <v>7.8454829975279935E-6</v>
      </c>
      <c r="H20" s="1">
        <v>1</v>
      </c>
      <c r="I20">
        <v>24</v>
      </c>
      <c r="J20">
        <v>760</v>
      </c>
      <c r="K20" s="2">
        <f t="shared" si="12"/>
        <v>3696.6400000000003</v>
      </c>
      <c r="L20" s="2">
        <f t="shared" si="23"/>
        <v>182.03069573421081</v>
      </c>
      <c r="M20" s="2">
        <f t="shared" si="24"/>
        <v>565.43898660941829</v>
      </c>
      <c r="N20" s="2">
        <f t="shared" si="25"/>
        <v>1047.1923456586828</v>
      </c>
      <c r="O20" s="2">
        <f t="shared" si="26"/>
        <v>1312.3439364819599</v>
      </c>
      <c r="P20" s="2">
        <f t="shared" si="27"/>
        <v>3756.6953111249322</v>
      </c>
      <c r="Q20" s="2">
        <f t="shared" si="28"/>
        <v>28.13856212029734</v>
      </c>
      <c r="R20" s="2">
        <f t="shared" si="29"/>
        <v>271.51001960340921</v>
      </c>
      <c r="S20" s="2">
        <f t="shared" si="30"/>
        <v>931.2567640731553</v>
      </c>
      <c r="T20" s="2">
        <f t="shared" si="31"/>
        <v>1462.5578348767331</v>
      </c>
      <c r="U20" s="2">
        <f t="shared" si="32"/>
        <v>11985.071106489379</v>
      </c>
      <c r="V20" s="2">
        <f t="shared" si="33"/>
        <v>34.315790636865522</v>
      </c>
      <c r="W20" s="2">
        <f t="shared" si="14"/>
        <v>48.52985296177161</v>
      </c>
      <c r="X20" s="2">
        <f t="shared" si="34"/>
        <v>97.059681611343095</v>
      </c>
      <c r="Y20" s="2">
        <f t="shared" si="15"/>
        <v>242.64902168685694</v>
      </c>
      <c r="Z20">
        <v>18</v>
      </c>
      <c r="AA20" s="2">
        <f t="shared" si="16"/>
        <v>707.25969291759566</v>
      </c>
      <c r="AB20" s="2">
        <f t="shared" si="17"/>
        <v>3201.3841486457072</v>
      </c>
      <c r="AC20">
        <v>29</v>
      </c>
      <c r="AD20" s="2">
        <f t="shared" si="18"/>
        <v>856.23892167499923</v>
      </c>
      <c r="AE20" s="2">
        <f t="shared" si="19"/>
        <v>4692.1285823434591</v>
      </c>
      <c r="AF20" s="13">
        <f t="shared" si="35"/>
        <v>259.81829297728046</v>
      </c>
      <c r="AG20" s="15">
        <f t="shared" si="36"/>
        <v>15.007104602367718</v>
      </c>
      <c r="AH20" s="14">
        <f t="shared" si="37"/>
        <v>12.005683681894176</v>
      </c>
      <c r="AI20" s="14">
        <f t="shared" si="38"/>
        <v>7.5035523011838592</v>
      </c>
      <c r="AJ20" s="14">
        <f t="shared" si="39"/>
        <v>4.1570926876364869</v>
      </c>
      <c r="AK20" s="14">
        <f t="shared" si="40"/>
        <v>3.0034994668173618</v>
      </c>
      <c r="AL20" s="11" t="str">
        <f t="shared" si="41"/>
        <v>5D6</v>
      </c>
      <c r="AM20" s="11" t="str">
        <f t="shared" si="42"/>
        <v>3D6+1</v>
      </c>
      <c r="AN20">
        <f t="shared" si="43"/>
        <v>5.7</v>
      </c>
      <c r="AO20">
        <f t="shared" si="44"/>
        <v>55.4</v>
      </c>
      <c r="AP20">
        <f t="shared" si="45"/>
        <v>189.9</v>
      </c>
      <c r="AQ20">
        <f t="shared" si="46"/>
        <v>298.2</v>
      </c>
      <c r="AR20" s="9">
        <f t="shared" si="47"/>
        <v>-1</v>
      </c>
      <c r="AS20" s="9">
        <f t="shared" si="48"/>
        <v>-4</v>
      </c>
      <c r="AT20" s="9">
        <f t="shared" si="49"/>
        <v>-12</v>
      </c>
      <c r="AU20" s="9">
        <f t="shared" si="50"/>
        <v>-12</v>
      </c>
      <c r="AV20" s="16" t="str">
        <f t="shared" si="51"/>
        <v>2D6+1</v>
      </c>
      <c r="AW20" s="16" t="str">
        <f t="shared" si="53"/>
        <v>2D6+2</v>
      </c>
      <c r="AX20" s="16" t="str">
        <f t="shared" si="54"/>
        <v>4D6+2</v>
      </c>
      <c r="AY20" s="16" t="str">
        <f t="shared" si="55"/>
        <v>-</v>
      </c>
    </row>
    <row r="21" spans="1:51">
      <c r="A21" t="s">
        <v>70</v>
      </c>
      <c r="B21">
        <v>12.8</v>
      </c>
      <c r="C21">
        <v>8</v>
      </c>
      <c r="D21">
        <v>0.3</v>
      </c>
      <c r="E21">
        <v>1.2250000000000001</v>
      </c>
      <c r="F21">
        <f t="shared" si="21"/>
        <v>5.0265482457436693E-5</v>
      </c>
      <c r="G21" s="1">
        <f t="shared" si="22"/>
        <v>9.2362824015539926E-6</v>
      </c>
      <c r="H21" s="1">
        <v>1</v>
      </c>
      <c r="I21">
        <v>24</v>
      </c>
      <c r="J21">
        <v>700</v>
      </c>
      <c r="K21" s="2">
        <f t="shared" si="12"/>
        <v>3136</v>
      </c>
      <c r="L21" s="2">
        <f t="shared" si="23"/>
        <v>154.62051357055336</v>
      </c>
      <c r="M21" s="2">
        <f t="shared" si="24"/>
        <v>480.29518400577217</v>
      </c>
      <c r="N21" s="2">
        <f t="shared" si="25"/>
        <v>775.53736169524575</v>
      </c>
      <c r="O21" s="2">
        <f t="shared" si="26"/>
        <v>1000.7624259723535</v>
      </c>
      <c r="P21" s="2">
        <f t="shared" si="27"/>
        <v>3191.0121311757403</v>
      </c>
      <c r="Q21" s="2">
        <f t="shared" si="28"/>
        <v>23.931947453474464</v>
      </c>
      <c r="R21" s="2">
        <f t="shared" si="29"/>
        <v>230.92031848826667</v>
      </c>
      <c r="S21" s="2">
        <f t="shared" si="30"/>
        <v>602.07809327569669</v>
      </c>
      <c r="T21" s="2">
        <f t="shared" si="31"/>
        <v>1002.5606364838425</v>
      </c>
      <c r="U21" s="2">
        <f t="shared" si="32"/>
        <v>10193.377968726289</v>
      </c>
      <c r="V21" s="2">
        <f t="shared" si="33"/>
        <v>31.606648278381712</v>
      </c>
      <c r="W21" s="2">
        <f t="shared" si="14"/>
        <v>44.698546795748157</v>
      </c>
      <c r="X21" s="2">
        <f t="shared" si="34"/>
        <v>89.397067229018518</v>
      </c>
      <c r="Y21" s="2">
        <f t="shared" si="15"/>
        <v>223.4924703539628</v>
      </c>
      <c r="Z21">
        <v>18</v>
      </c>
      <c r="AA21" s="2">
        <f t="shared" si="16"/>
        <v>651.42340137146971</v>
      </c>
      <c r="AB21" s="2">
        <f t="shared" si="17"/>
        <v>2715.8556662679998</v>
      </c>
      <c r="AC21">
        <v>31</v>
      </c>
      <c r="AD21" s="2">
        <f t="shared" si="18"/>
        <v>801.90022844343378</v>
      </c>
      <c r="AE21" s="2">
        <f t="shared" si="19"/>
        <v>4115.4814488168404</v>
      </c>
      <c r="AF21" s="13">
        <f t="shared" si="35"/>
        <v>254.64790894703259</v>
      </c>
      <c r="AG21" s="15">
        <f t="shared" si="36"/>
        <v>12.477747538404596</v>
      </c>
      <c r="AH21" s="14">
        <f t="shared" si="37"/>
        <v>9.9821980307236764</v>
      </c>
      <c r="AI21" s="14">
        <f t="shared" si="38"/>
        <v>6.2388737692022964</v>
      </c>
      <c r="AJ21" s="14">
        <f t="shared" si="39"/>
        <v>4.0743665431525207</v>
      </c>
      <c r="AK21" s="14">
        <f t="shared" si="40"/>
        <v>2.9437298274276964</v>
      </c>
      <c r="AL21" s="11" t="str">
        <f t="shared" si="41"/>
        <v>4D6+2</v>
      </c>
      <c r="AM21" s="11" t="str">
        <f t="shared" si="42"/>
        <v>3D6</v>
      </c>
      <c r="AN21">
        <f t="shared" si="43"/>
        <v>4.9000000000000004</v>
      </c>
      <c r="AO21">
        <f t="shared" si="44"/>
        <v>47.1</v>
      </c>
      <c r="AP21">
        <f t="shared" si="45"/>
        <v>122.7</v>
      </c>
      <c r="AQ21">
        <f t="shared" si="46"/>
        <v>204.4</v>
      </c>
      <c r="AR21" s="9">
        <f t="shared" si="47"/>
        <v>0</v>
      </c>
      <c r="AS21" s="9">
        <f t="shared" si="48"/>
        <v>-4</v>
      </c>
      <c r="AT21" s="9">
        <f t="shared" si="49"/>
        <v>-12</v>
      </c>
      <c r="AU21" s="9">
        <f t="shared" si="50"/>
        <v>-12</v>
      </c>
      <c r="AV21" s="16" t="str">
        <f t="shared" si="51"/>
        <v>2D6+1</v>
      </c>
      <c r="AW21" s="16" t="str">
        <f t="shared" si="53"/>
        <v>3D6</v>
      </c>
      <c r="AX21" s="16" t="str">
        <f t="shared" si="54"/>
        <v>-</v>
      </c>
      <c r="AY21" s="16" t="str">
        <f t="shared" si="55"/>
        <v>-</v>
      </c>
    </row>
    <row r="22" spans="1:51">
      <c r="A22" t="s">
        <v>72</v>
      </c>
      <c r="B22">
        <v>6.6</v>
      </c>
      <c r="C22">
        <v>8</v>
      </c>
      <c r="D22">
        <v>0.4</v>
      </c>
      <c r="E22">
        <v>1.2250000000000001</v>
      </c>
      <c r="F22">
        <f t="shared" si="21"/>
        <v>5.0265482457436693E-5</v>
      </c>
      <c r="G22" s="1">
        <f t="shared" si="22"/>
        <v>1.2315043202071991E-5</v>
      </c>
      <c r="H22" s="1">
        <v>1</v>
      </c>
      <c r="I22">
        <v>4.7</v>
      </c>
      <c r="J22">
        <v>290</v>
      </c>
      <c r="K22" s="2">
        <f t="shared" si="12"/>
        <v>277.52999999999997</v>
      </c>
      <c r="L22" s="2">
        <f t="shared" si="23"/>
        <v>59.794651732362425</v>
      </c>
      <c r="M22" s="2">
        <f t="shared" si="24"/>
        <v>185.73915318973218</v>
      </c>
      <c r="N22" s="2">
        <f t="shared" si="25"/>
        <v>185.73915318973218</v>
      </c>
      <c r="O22" s="2">
        <f t="shared" si="26"/>
        <v>185.73915318973218</v>
      </c>
      <c r="P22" s="2">
        <f t="shared" si="27"/>
        <v>1234.024222603118</v>
      </c>
      <c r="Q22" s="2">
        <f t="shared" si="28"/>
        <v>20.85301233592574</v>
      </c>
      <c r="R22" s="2">
        <f t="shared" si="29"/>
        <v>201.21176185465336</v>
      </c>
      <c r="S22" s="2">
        <f t="shared" si="30"/>
        <v>201.21176185465336</v>
      </c>
      <c r="T22" s="2">
        <f t="shared" si="31"/>
        <v>201.21176185465336</v>
      </c>
      <c r="U22" s="2">
        <f t="shared" si="32"/>
        <v>8882.048573668184</v>
      </c>
      <c r="V22" s="2">
        <f t="shared" si="33"/>
        <v>13.094181948053548</v>
      </c>
      <c r="W22" s="2">
        <f t="shared" si="14"/>
        <v>18.517967566543629</v>
      </c>
      <c r="X22" s="2">
        <f t="shared" si="34"/>
        <v>37.035920570956662</v>
      </c>
      <c r="Y22" s="2">
        <f t="shared" si="15"/>
        <v>92.589692211412199</v>
      </c>
      <c r="Z22">
        <v>3</v>
      </c>
      <c r="AA22" s="2">
        <f t="shared" si="16"/>
        <v>259.21125042887013</v>
      </c>
      <c r="AB22" s="2">
        <f t="shared" si="17"/>
        <v>221.72855875136483</v>
      </c>
      <c r="AC22">
        <v>10</v>
      </c>
      <c r="AD22" s="2">
        <f t="shared" si="18"/>
        <v>391.84804489404002</v>
      </c>
      <c r="AE22" s="2">
        <f t="shared" si="19"/>
        <v>506.69813794802928</v>
      </c>
      <c r="AF22" s="13">
        <f t="shared" si="35"/>
        <v>131.30282805081367</v>
      </c>
      <c r="AG22" s="15">
        <f t="shared" si="36"/>
        <v>1.1042567839073427</v>
      </c>
      <c r="AH22" s="14">
        <f t="shared" si="37"/>
        <v>0.88340542712587433</v>
      </c>
      <c r="AI22" s="14">
        <f t="shared" si="38"/>
        <v>0.55212839195367136</v>
      </c>
      <c r="AJ22" s="14">
        <f t="shared" si="39"/>
        <v>0.55212839195367136</v>
      </c>
      <c r="AK22" s="14">
        <f t="shared" si="40"/>
        <v>0.55212839195367136</v>
      </c>
      <c r="AL22" s="11" t="str">
        <f t="shared" si="41"/>
        <v>1D6+1</v>
      </c>
      <c r="AM22" s="11">
        <f t="shared" si="42"/>
        <v>2</v>
      </c>
      <c r="AN22">
        <f t="shared" si="43"/>
        <v>4.3</v>
      </c>
      <c r="AO22">
        <f t="shared" si="44"/>
        <v>41</v>
      </c>
      <c r="AP22">
        <f t="shared" si="45"/>
        <v>41</v>
      </c>
      <c r="AQ22">
        <f t="shared" si="46"/>
        <v>41</v>
      </c>
      <c r="AR22" s="9">
        <f t="shared" si="47"/>
        <v>0</v>
      </c>
      <c r="AS22" s="9">
        <f t="shared" si="48"/>
        <v>-4</v>
      </c>
      <c r="AT22" s="9">
        <f t="shared" si="49"/>
        <v>-4</v>
      </c>
      <c r="AU22" s="9">
        <f t="shared" si="50"/>
        <v>-4</v>
      </c>
      <c r="AV22" s="16" t="str">
        <f t="shared" si="51"/>
        <v>-</v>
      </c>
      <c r="AW22" s="16" t="str">
        <f t="shared" si="53"/>
        <v>-</v>
      </c>
      <c r="AX22" s="16" t="str">
        <f t="shared" si="54"/>
        <v>-</v>
      </c>
      <c r="AY22" s="16" t="str">
        <f t="shared" si="55"/>
        <v>-</v>
      </c>
    </row>
    <row r="23" spans="1:51">
      <c r="A23" t="s">
        <v>74</v>
      </c>
      <c r="B23">
        <v>6.2</v>
      </c>
      <c r="C23">
        <v>9</v>
      </c>
      <c r="D23">
        <v>0.4</v>
      </c>
      <c r="E23">
        <v>1.2250000000000001</v>
      </c>
      <c r="F23">
        <f t="shared" si="21"/>
        <v>6.3617251235193305E-5</v>
      </c>
      <c r="G23" s="1">
        <f t="shared" si="22"/>
        <v>1.5586226552622361E-5</v>
      </c>
      <c r="H23" s="1">
        <v>1</v>
      </c>
      <c r="I23">
        <v>3.7</v>
      </c>
      <c r="J23">
        <v>300</v>
      </c>
      <c r="K23" s="2">
        <f t="shared" si="12"/>
        <v>279</v>
      </c>
      <c r="L23" s="2">
        <f t="shared" si="23"/>
        <v>44.381814080436612</v>
      </c>
      <c r="M23" s="2">
        <f t="shared" si="24"/>
        <v>137.86250652017534</v>
      </c>
      <c r="N23" s="2">
        <f t="shared" si="25"/>
        <v>137.86250652017534</v>
      </c>
      <c r="O23" s="2">
        <f t="shared" si="26"/>
        <v>137.86250652017534</v>
      </c>
      <c r="P23" s="2">
        <f t="shared" si="27"/>
        <v>915.9386672819254</v>
      </c>
      <c r="Q23" s="2">
        <f t="shared" si="28"/>
        <v>10.735137298078463</v>
      </c>
      <c r="R23" s="2">
        <f t="shared" si="29"/>
        <v>103.58382725693399</v>
      </c>
      <c r="S23" s="2">
        <f t="shared" si="30"/>
        <v>103.58382725693399</v>
      </c>
      <c r="T23" s="2">
        <f t="shared" si="31"/>
        <v>103.58382725693399</v>
      </c>
      <c r="U23" s="2">
        <f t="shared" si="32"/>
        <v>4572.4604360932781</v>
      </c>
      <c r="V23" s="2">
        <f t="shared" si="33"/>
        <v>13.545704463141787</v>
      </c>
      <c r="W23" s="2">
        <f t="shared" si="14"/>
        <v>19.15651617156275</v>
      </c>
      <c r="X23" s="2">
        <f t="shared" si="34"/>
        <v>38.313013277404941</v>
      </c>
      <c r="Y23" s="2">
        <f t="shared" si="15"/>
        <v>95.782390200608219</v>
      </c>
      <c r="Z23">
        <v>2.5</v>
      </c>
      <c r="AA23" s="2">
        <f t="shared" si="16"/>
        <v>271.99180922853316</v>
      </c>
      <c r="AB23" s="2">
        <f t="shared" si="17"/>
        <v>229.33658729097337</v>
      </c>
      <c r="AC23">
        <v>10</v>
      </c>
      <c r="AD23" s="2">
        <f t="shared" si="18"/>
        <v>424.26406871192847</v>
      </c>
      <c r="AE23" s="2">
        <f t="shared" si="19"/>
        <v>557.99999999999989</v>
      </c>
      <c r="AF23" s="13">
        <f t="shared" si="35"/>
        <v>97.457841695777887</v>
      </c>
      <c r="AG23" s="15">
        <f t="shared" si="36"/>
        <v>0.87712057526200093</v>
      </c>
      <c r="AH23" s="14">
        <f t="shared" si="37"/>
        <v>0.70169646020960097</v>
      </c>
      <c r="AI23" s="14">
        <f t="shared" si="38"/>
        <v>0.43856028763100041</v>
      </c>
      <c r="AJ23" s="14">
        <f t="shared" si="39"/>
        <v>0.43856028763100041</v>
      </c>
      <c r="AK23" s="14">
        <f t="shared" si="40"/>
        <v>0.43856028763100041</v>
      </c>
      <c r="AL23" s="11" t="str">
        <f t="shared" si="41"/>
        <v>1D6+1</v>
      </c>
      <c r="AM23" s="11">
        <f t="shared" si="42"/>
        <v>2</v>
      </c>
      <c r="AN23">
        <f t="shared" si="43"/>
        <v>2.2000000000000002</v>
      </c>
      <c r="AO23">
        <f t="shared" si="44"/>
        <v>21.1</v>
      </c>
      <c r="AP23">
        <f t="shared" si="45"/>
        <v>21.1</v>
      </c>
      <c r="AQ23">
        <f t="shared" si="46"/>
        <v>21.1</v>
      </c>
      <c r="AR23" s="9">
        <f t="shared" si="47"/>
        <v>0</v>
      </c>
      <c r="AS23" s="9">
        <f t="shared" si="48"/>
        <v>-2</v>
      </c>
      <c r="AT23" s="9">
        <f t="shared" si="49"/>
        <v>-2</v>
      </c>
      <c r="AU23" s="9">
        <f t="shared" si="50"/>
        <v>-2</v>
      </c>
      <c r="AV23" s="16" t="str">
        <f t="shared" si="51"/>
        <v>-</v>
      </c>
      <c r="AW23" s="16" t="str">
        <f t="shared" si="53"/>
        <v>-</v>
      </c>
      <c r="AX23" s="16" t="str">
        <f t="shared" si="54"/>
        <v>-</v>
      </c>
      <c r="AY23" s="16" t="str">
        <f t="shared" si="55"/>
        <v>-</v>
      </c>
    </row>
    <row r="24" spans="1:51">
      <c r="A24" t="s">
        <v>76</v>
      </c>
      <c r="B24">
        <v>6.1</v>
      </c>
      <c r="C24">
        <v>9.1999999999999993</v>
      </c>
      <c r="D24">
        <v>0.4</v>
      </c>
      <c r="E24">
        <v>1.2250000000000001</v>
      </c>
      <c r="F24">
        <f t="shared" si="21"/>
        <v>6.6476100549960006E-5</v>
      </c>
      <c r="G24" s="1">
        <f t="shared" si="22"/>
        <v>1.6286644634740203E-5</v>
      </c>
      <c r="H24" s="1">
        <v>1</v>
      </c>
      <c r="I24">
        <v>3.8</v>
      </c>
      <c r="J24">
        <v>315</v>
      </c>
      <c r="K24" s="2">
        <f t="shared" si="12"/>
        <v>302.63624999999996</v>
      </c>
      <c r="L24" s="2">
        <f t="shared" si="23"/>
        <v>41.788093666427315</v>
      </c>
      <c r="M24" s="2">
        <f t="shared" si="24"/>
        <v>129.80567502518949</v>
      </c>
      <c r="N24" s="2">
        <f t="shared" si="25"/>
        <v>129.80567502518949</v>
      </c>
      <c r="O24" s="2">
        <f t="shared" si="26"/>
        <v>129.80567502518949</v>
      </c>
      <c r="P24" s="2">
        <f t="shared" si="27"/>
        <v>862.41023748399175</v>
      </c>
      <c r="Q24" s="2">
        <f t="shared" si="28"/>
        <v>8.6322490443497095</v>
      </c>
      <c r="R24" s="2">
        <f t="shared" si="29"/>
        <v>83.292937530071271</v>
      </c>
      <c r="S24" s="2">
        <f t="shared" si="30"/>
        <v>83.292937530071271</v>
      </c>
      <c r="T24" s="2">
        <f t="shared" si="31"/>
        <v>83.292937530071271</v>
      </c>
      <c r="U24" s="2">
        <f t="shared" si="32"/>
        <v>3676.7582536821124</v>
      </c>
      <c r="V24" s="2">
        <f t="shared" si="33"/>
        <v>14.22298946139399</v>
      </c>
      <c r="W24" s="2">
        <f t="shared" si="14"/>
        <v>20.114341530331107</v>
      </c>
      <c r="X24" s="2">
        <f t="shared" si="34"/>
        <v>40.228662142036086</v>
      </c>
      <c r="Y24" s="2">
        <f t="shared" si="15"/>
        <v>100.5714984653942</v>
      </c>
      <c r="Z24">
        <v>3</v>
      </c>
      <c r="AA24" s="2">
        <f t="shared" si="16"/>
        <v>296.92377151967622</v>
      </c>
      <c r="AB24" s="2">
        <f t="shared" si="17"/>
        <v>268.89936458508009</v>
      </c>
      <c r="AC24">
        <v>10</v>
      </c>
      <c r="AD24" s="2">
        <f t="shared" si="18"/>
        <v>425.62804876421586</v>
      </c>
      <c r="AE24" s="2">
        <f t="shared" si="19"/>
        <v>552.53566947924276</v>
      </c>
      <c r="AF24" s="13">
        <f t="shared" si="35"/>
        <v>91.76230178266178</v>
      </c>
      <c r="AG24" s="15">
        <f t="shared" si="36"/>
        <v>0.91051143943846147</v>
      </c>
      <c r="AH24" s="14">
        <f t="shared" si="37"/>
        <v>0.72840915155076913</v>
      </c>
      <c r="AI24" s="14">
        <f t="shared" si="38"/>
        <v>0.45525571971923073</v>
      </c>
      <c r="AJ24" s="14">
        <f t="shared" si="39"/>
        <v>0.45525571971923073</v>
      </c>
      <c r="AK24" s="14">
        <f t="shared" si="40"/>
        <v>0.45525571971923073</v>
      </c>
      <c r="AL24" s="11" t="str">
        <f t="shared" si="41"/>
        <v>1D6+1</v>
      </c>
      <c r="AM24" s="11" t="str">
        <f t="shared" si="42"/>
        <v>1D6</v>
      </c>
      <c r="AN24">
        <f t="shared" si="43"/>
        <v>1.8</v>
      </c>
      <c r="AO24">
        <f t="shared" si="44"/>
        <v>17</v>
      </c>
      <c r="AP24">
        <f t="shared" si="45"/>
        <v>17</v>
      </c>
      <c r="AQ24">
        <f t="shared" si="46"/>
        <v>17</v>
      </c>
      <c r="AR24" s="9">
        <f t="shared" si="47"/>
        <v>0</v>
      </c>
      <c r="AS24" s="9">
        <f t="shared" si="48"/>
        <v>-2</v>
      </c>
      <c r="AT24" s="9">
        <f t="shared" si="49"/>
        <v>-2</v>
      </c>
      <c r="AU24" s="9">
        <f t="shared" si="50"/>
        <v>-2</v>
      </c>
      <c r="AV24" s="16" t="str">
        <f t="shared" si="51"/>
        <v>-</v>
      </c>
      <c r="AW24" s="16" t="str">
        <f t="shared" si="53"/>
        <v>-</v>
      </c>
      <c r="AX24" s="16" t="str">
        <f t="shared" si="54"/>
        <v>-</v>
      </c>
      <c r="AY24" s="16" t="str">
        <f t="shared" si="55"/>
        <v>-</v>
      </c>
    </row>
    <row r="25" spans="1:51">
      <c r="A25" t="s">
        <v>79</v>
      </c>
      <c r="B25">
        <v>8</v>
      </c>
      <c r="C25">
        <v>9</v>
      </c>
      <c r="D25">
        <v>0.4</v>
      </c>
      <c r="E25">
        <v>1.2250000000000001</v>
      </c>
      <c r="F25">
        <f t="shared" si="21"/>
        <v>6.3617251235193305E-5</v>
      </c>
      <c r="G25" s="1">
        <f t="shared" si="22"/>
        <v>1.5586226552622361E-5</v>
      </c>
      <c r="H25" s="1">
        <v>1</v>
      </c>
      <c r="I25">
        <v>4.5</v>
      </c>
      <c r="J25">
        <v>350</v>
      </c>
      <c r="K25" s="2">
        <f t="shared" si="12"/>
        <v>490</v>
      </c>
      <c r="L25" s="2">
        <f t="shared" si="23"/>
        <v>57.266856877982725</v>
      </c>
      <c r="M25" s="2">
        <f t="shared" si="24"/>
        <v>177.88710518732302</v>
      </c>
      <c r="N25" s="2">
        <f t="shared" si="25"/>
        <v>177.88710518732302</v>
      </c>
      <c r="O25" s="2">
        <f t="shared" si="26"/>
        <v>177.88710518732302</v>
      </c>
      <c r="P25" s="2">
        <f t="shared" si="27"/>
        <v>1181.8563448799036</v>
      </c>
      <c r="Q25" s="2">
        <f t="shared" si="28"/>
        <v>13.131390759835154</v>
      </c>
      <c r="R25" s="2">
        <f t="shared" si="29"/>
        <v>126.70545094393941</v>
      </c>
      <c r="S25" s="2">
        <f t="shared" si="30"/>
        <v>126.70545094393941</v>
      </c>
      <c r="T25" s="2">
        <f t="shared" si="31"/>
        <v>126.70545094393941</v>
      </c>
      <c r="U25" s="2">
        <f t="shared" si="32"/>
        <v>5593.1332062450256</v>
      </c>
      <c r="V25" s="2">
        <f t="shared" si="33"/>
        <v>15.80332187366542</v>
      </c>
      <c r="W25" s="2">
        <f t="shared" si="14"/>
        <v>22.349268866823209</v>
      </c>
      <c r="X25" s="2">
        <f t="shared" si="34"/>
        <v>44.698515490305773</v>
      </c>
      <c r="Y25" s="2">
        <f t="shared" si="15"/>
        <v>111.74612190070958</v>
      </c>
      <c r="Z25">
        <v>3</v>
      </c>
      <c r="AA25" s="2">
        <f t="shared" si="16"/>
        <v>316.2607012634457</v>
      </c>
      <c r="AB25" s="2">
        <f t="shared" si="17"/>
        <v>400.08332465458579</v>
      </c>
      <c r="AC25">
        <v>16</v>
      </c>
      <c r="AD25" s="2">
        <f t="shared" si="18"/>
        <v>531.88497995611476</v>
      </c>
      <c r="AE25" s="2">
        <f t="shared" si="19"/>
        <v>1131.6065276116665</v>
      </c>
      <c r="AF25" s="13">
        <f t="shared" si="35"/>
        <v>125.75205380100374</v>
      </c>
      <c r="AG25" s="15">
        <f t="shared" si="36"/>
        <v>1.5404626590622956</v>
      </c>
      <c r="AH25" s="14">
        <f t="shared" si="37"/>
        <v>1.2323701272498366</v>
      </c>
      <c r="AI25" s="14">
        <f t="shared" si="38"/>
        <v>0.77023132953114803</v>
      </c>
      <c r="AJ25" s="14">
        <f t="shared" si="39"/>
        <v>0.77023132953114803</v>
      </c>
      <c r="AK25" s="14">
        <f t="shared" si="40"/>
        <v>0.77023132953114803</v>
      </c>
      <c r="AL25" s="11" t="str">
        <f t="shared" si="41"/>
        <v>1D6+2</v>
      </c>
      <c r="AM25" s="11" t="str">
        <f t="shared" si="42"/>
        <v>1D6</v>
      </c>
      <c r="AN25">
        <f t="shared" si="43"/>
        <v>2.7</v>
      </c>
      <c r="AO25">
        <f t="shared" si="44"/>
        <v>25.8</v>
      </c>
      <c r="AP25">
        <f t="shared" si="45"/>
        <v>25.8</v>
      </c>
      <c r="AQ25">
        <f t="shared" si="46"/>
        <v>25.8</v>
      </c>
      <c r="AR25" s="9">
        <f t="shared" si="47"/>
        <v>0</v>
      </c>
      <c r="AS25" s="9">
        <f t="shared" si="48"/>
        <v>-2</v>
      </c>
      <c r="AT25" s="9">
        <f t="shared" si="49"/>
        <v>-2</v>
      </c>
      <c r="AU25" s="9">
        <f t="shared" si="50"/>
        <v>-2</v>
      </c>
      <c r="AV25" s="16" t="str">
        <f t="shared" si="51"/>
        <v>-</v>
      </c>
      <c r="AW25" s="16" t="str">
        <f t="shared" si="53"/>
        <v>-</v>
      </c>
      <c r="AX25" s="16" t="str">
        <f t="shared" si="54"/>
        <v>-</v>
      </c>
      <c r="AY25" s="16" t="str">
        <f t="shared" si="55"/>
        <v>-</v>
      </c>
    </row>
    <row r="26" spans="1:51">
      <c r="A26" t="s">
        <v>84</v>
      </c>
      <c r="B26">
        <v>10.199999999999999</v>
      </c>
      <c r="C26">
        <v>9</v>
      </c>
      <c r="D26">
        <v>0.45</v>
      </c>
      <c r="E26">
        <v>1.2250000000000001</v>
      </c>
      <c r="F26">
        <f t="shared" si="21"/>
        <v>6.3617251235193305E-5</v>
      </c>
      <c r="G26" s="1">
        <f t="shared" si="22"/>
        <v>1.7534504871700157E-5</v>
      </c>
      <c r="H26" s="1">
        <v>1</v>
      </c>
      <c r="I26">
        <v>4</v>
      </c>
      <c r="J26">
        <v>290</v>
      </c>
      <c r="K26" s="2">
        <f t="shared" si="12"/>
        <v>428.90999999999997</v>
      </c>
      <c r="L26" s="2">
        <f t="shared" si="23"/>
        <v>64.902437795047078</v>
      </c>
      <c r="M26" s="2">
        <f t="shared" si="24"/>
        <v>201.60538587896608</v>
      </c>
      <c r="N26" s="2">
        <f t="shared" si="25"/>
        <v>201.60538587896608</v>
      </c>
      <c r="O26" s="2">
        <f t="shared" si="26"/>
        <v>201.60538587896608</v>
      </c>
      <c r="P26" s="2">
        <f t="shared" si="27"/>
        <v>1339.4371908638909</v>
      </c>
      <c r="Q26" s="2">
        <f t="shared" si="28"/>
        <v>24.567826669006376</v>
      </c>
      <c r="R26" s="2">
        <f t="shared" si="29"/>
        <v>237.05688322188206</v>
      </c>
      <c r="S26" s="2">
        <f t="shared" si="30"/>
        <v>237.05688322188206</v>
      </c>
      <c r="T26" s="2">
        <f t="shared" si="31"/>
        <v>237.05688322188206</v>
      </c>
      <c r="U26" s="2">
        <f t="shared" si="32"/>
        <v>10464.606346321023</v>
      </c>
      <c r="V26" s="2">
        <f t="shared" si="33"/>
        <v>13.09418040509342</v>
      </c>
      <c r="W26" s="2">
        <f t="shared" si="14"/>
        <v>18.517964480623377</v>
      </c>
      <c r="X26" s="2">
        <f t="shared" si="34"/>
        <v>37.035908227275648</v>
      </c>
      <c r="Y26" s="2">
        <f t="shared" si="15"/>
        <v>92.589615063405873</v>
      </c>
      <c r="Z26">
        <v>2</v>
      </c>
      <c r="AA26" s="2">
        <f t="shared" si="16"/>
        <v>243.85996042357721</v>
      </c>
      <c r="AB26" s="2">
        <f t="shared" si="17"/>
        <v>303.28516951872206</v>
      </c>
      <c r="AC26">
        <v>18</v>
      </c>
      <c r="AD26" s="2">
        <f t="shared" si="18"/>
        <v>502.29473419497447</v>
      </c>
      <c r="AE26" s="2">
        <f t="shared" si="19"/>
        <v>1286.7300000000002</v>
      </c>
      <c r="AF26" s="13">
        <f t="shared" si="35"/>
        <v>160.33386859627976</v>
      </c>
      <c r="AG26" s="15">
        <f t="shared" si="36"/>
        <v>1.3484078348947126</v>
      </c>
      <c r="AH26" s="14">
        <f t="shared" si="37"/>
        <v>1.0787262679157701</v>
      </c>
      <c r="AI26" s="14">
        <f t="shared" si="38"/>
        <v>0.6742039174473563</v>
      </c>
      <c r="AJ26" s="14">
        <f t="shared" si="39"/>
        <v>0.6742039174473563</v>
      </c>
      <c r="AK26" s="14">
        <f t="shared" si="40"/>
        <v>0.6742039174473563</v>
      </c>
      <c r="AL26" s="11" t="str">
        <f t="shared" si="41"/>
        <v>1D6+2</v>
      </c>
      <c r="AM26" s="11" t="str">
        <f t="shared" si="42"/>
        <v>1D6</v>
      </c>
      <c r="AN26">
        <f t="shared" si="43"/>
        <v>5</v>
      </c>
      <c r="AO26">
        <f t="shared" si="44"/>
        <v>48.3</v>
      </c>
      <c r="AP26">
        <f t="shared" si="45"/>
        <v>48.3</v>
      </c>
      <c r="AQ26">
        <f t="shared" si="46"/>
        <v>48.3</v>
      </c>
      <c r="AR26" s="9">
        <f t="shared" si="47"/>
        <v>-1</v>
      </c>
      <c r="AS26" s="9">
        <f t="shared" si="48"/>
        <v>-4</v>
      </c>
      <c r="AT26" s="9">
        <f t="shared" si="49"/>
        <v>-4</v>
      </c>
      <c r="AU26" s="9">
        <f t="shared" si="50"/>
        <v>-4</v>
      </c>
      <c r="AV26" s="16" t="str">
        <f t="shared" si="51"/>
        <v>-</v>
      </c>
      <c r="AW26" s="16" t="str">
        <f t="shared" si="53"/>
        <v>-</v>
      </c>
      <c r="AX26" s="16" t="str">
        <f t="shared" si="54"/>
        <v>-</v>
      </c>
      <c r="AY26" s="16" t="str">
        <f t="shared" si="55"/>
        <v>-</v>
      </c>
    </row>
    <row r="27" spans="1:51">
      <c r="A27" t="s">
        <v>95</v>
      </c>
      <c r="B27">
        <v>10.199999999999999</v>
      </c>
      <c r="C27">
        <v>9</v>
      </c>
      <c r="D27">
        <v>0.45</v>
      </c>
      <c r="E27">
        <v>1.2250000000000001</v>
      </c>
      <c r="F27">
        <f t="shared" si="21"/>
        <v>6.3617251235193305E-5</v>
      </c>
      <c r="G27" s="1">
        <f t="shared" si="22"/>
        <v>1.7534504871700157E-5</v>
      </c>
      <c r="H27" s="1">
        <v>1</v>
      </c>
      <c r="I27">
        <v>6</v>
      </c>
      <c r="J27">
        <v>440</v>
      </c>
      <c r="K27" s="2">
        <f t="shared" si="12"/>
        <v>987.3599999999999</v>
      </c>
      <c r="L27" s="2">
        <f t="shared" si="23"/>
        <v>64.902437795047078</v>
      </c>
      <c r="M27" s="2">
        <f t="shared" si="24"/>
        <v>201.60538587896608</v>
      </c>
      <c r="N27" s="2">
        <f t="shared" si="25"/>
        <v>201.60538587896608</v>
      </c>
      <c r="O27" s="2">
        <f t="shared" si="26"/>
        <v>201.60538587896608</v>
      </c>
      <c r="P27" s="2">
        <f t="shared" si="27"/>
        <v>1339.4371908638909</v>
      </c>
      <c r="Q27" s="2">
        <f t="shared" si="28"/>
        <v>10.672269931481319</v>
      </c>
      <c r="R27" s="2">
        <f t="shared" si="29"/>
        <v>102.97727804848779</v>
      </c>
      <c r="S27" s="2">
        <f t="shared" si="30"/>
        <v>102.97727804848779</v>
      </c>
      <c r="T27" s="2">
        <f t="shared" si="31"/>
        <v>102.97727804848779</v>
      </c>
      <c r="U27" s="2">
        <f t="shared" si="32"/>
        <v>4545.7081352053037</v>
      </c>
      <c r="V27" s="2">
        <f t="shared" si="33"/>
        <v>19.867032338762431</v>
      </c>
      <c r="W27" s="2">
        <f t="shared" si="14"/>
        <v>28.096221970600983</v>
      </c>
      <c r="X27" s="2">
        <f t="shared" si="34"/>
        <v>56.192412482763046</v>
      </c>
      <c r="Y27" s="2">
        <f t="shared" si="15"/>
        <v>140.48079526861579</v>
      </c>
      <c r="Z27">
        <v>3</v>
      </c>
      <c r="AA27" s="2">
        <f t="shared" si="16"/>
        <v>369.9944227116344</v>
      </c>
      <c r="AB27" s="2">
        <f t="shared" si="17"/>
        <v>698.16895147234948</v>
      </c>
      <c r="AC27">
        <v>18</v>
      </c>
      <c r="AD27" s="2">
        <f t="shared" si="18"/>
        <v>688.63721523224638</v>
      </c>
      <c r="AE27" s="2">
        <f t="shared" si="19"/>
        <v>2418.5281924343981</v>
      </c>
      <c r="AF27" s="13">
        <f t="shared" si="35"/>
        <v>160.33386859627976</v>
      </c>
      <c r="AG27" s="15">
        <f t="shared" si="36"/>
        <v>3.1040636960239758</v>
      </c>
      <c r="AH27" s="14">
        <f t="shared" si="37"/>
        <v>2.4832509568191807</v>
      </c>
      <c r="AI27" s="14">
        <f t="shared" si="38"/>
        <v>1.5520318480119879</v>
      </c>
      <c r="AJ27" s="14">
        <f t="shared" si="39"/>
        <v>1.5520318480119879</v>
      </c>
      <c r="AK27" s="14">
        <f t="shared" si="40"/>
        <v>1.5520318480119879</v>
      </c>
      <c r="AL27" s="11" t="str">
        <f t="shared" si="41"/>
        <v>2D6+1</v>
      </c>
      <c r="AM27" s="11" t="str">
        <f t="shared" si="42"/>
        <v>1D6+2</v>
      </c>
      <c r="AN27">
        <f t="shared" si="43"/>
        <v>2.2000000000000002</v>
      </c>
      <c r="AO27">
        <f t="shared" si="44"/>
        <v>21</v>
      </c>
      <c r="AP27">
        <f t="shared" si="45"/>
        <v>21</v>
      </c>
      <c r="AQ27">
        <f t="shared" si="46"/>
        <v>21</v>
      </c>
      <c r="AR27" s="9">
        <f t="shared" si="47"/>
        <v>0</v>
      </c>
      <c r="AS27" s="9">
        <f t="shared" si="48"/>
        <v>-2</v>
      </c>
      <c r="AT27" s="9">
        <f t="shared" si="49"/>
        <v>-2</v>
      </c>
      <c r="AU27" s="9">
        <f t="shared" si="50"/>
        <v>-2</v>
      </c>
      <c r="AV27" s="16" t="str">
        <f t="shared" si="51"/>
        <v>-</v>
      </c>
      <c r="AW27" s="16" t="str">
        <f t="shared" si="53"/>
        <v>-</v>
      </c>
      <c r="AX27" s="16" t="str">
        <f t="shared" si="54"/>
        <v>-</v>
      </c>
      <c r="AY27" s="16" t="str">
        <f t="shared" si="55"/>
        <v>-</v>
      </c>
    </row>
    <row r="28" spans="1:51">
      <c r="A28" t="s">
        <v>103</v>
      </c>
      <c r="B28">
        <v>14.9</v>
      </c>
      <c r="C28">
        <v>11.43</v>
      </c>
      <c r="D28">
        <v>0.45</v>
      </c>
      <c r="E28">
        <v>1.2250000000000001</v>
      </c>
      <c r="F28">
        <f t="shared" si="21"/>
        <v>1.026082645172433E-4</v>
      </c>
      <c r="G28" s="1">
        <f t="shared" si="22"/>
        <v>2.8281402907565187E-5</v>
      </c>
      <c r="H28" s="1">
        <v>1</v>
      </c>
      <c r="I28">
        <v>5</v>
      </c>
      <c r="J28">
        <v>250</v>
      </c>
      <c r="K28" s="2">
        <f t="shared" si="12"/>
        <v>465.625</v>
      </c>
      <c r="L28" s="2">
        <f t="shared" si="23"/>
        <v>58.781364655929792</v>
      </c>
      <c r="M28" s="2">
        <f t="shared" si="24"/>
        <v>182.59159604102427</v>
      </c>
      <c r="N28" s="2">
        <f t="shared" si="25"/>
        <v>182.59159604102427</v>
      </c>
      <c r="O28" s="2">
        <f t="shared" si="26"/>
        <v>182.59159604102427</v>
      </c>
      <c r="P28" s="2">
        <f t="shared" si="27"/>
        <v>1213.1123055580053</v>
      </c>
      <c r="Q28" s="2">
        <f t="shared" si="28"/>
        <v>27.116973143058843</v>
      </c>
      <c r="R28" s="2">
        <f t="shared" si="29"/>
        <v>261.65529920280932</v>
      </c>
      <c r="S28" s="2">
        <f t="shared" si="30"/>
        <v>261.65529920280932</v>
      </c>
      <c r="T28" s="2">
        <f t="shared" si="31"/>
        <v>261.65529920280932</v>
      </c>
      <c r="U28" s="2">
        <f t="shared" si="32"/>
        <v>11551.027364483898</v>
      </c>
      <c r="V28" s="2">
        <f t="shared" si="33"/>
        <v>11.28808381735405</v>
      </c>
      <c r="W28" s="2">
        <f t="shared" si="14"/>
        <v>15.963757005774079</v>
      </c>
      <c r="X28" s="2">
        <f t="shared" si="34"/>
        <v>31.927485182391266</v>
      </c>
      <c r="Y28" s="2">
        <f t="shared" si="15"/>
        <v>79.818496737301516</v>
      </c>
      <c r="Z28">
        <v>3.5</v>
      </c>
      <c r="AA28" s="2">
        <f t="shared" si="16"/>
        <v>228.67280480717361</v>
      </c>
      <c r="AB28" s="2">
        <f t="shared" si="17"/>
        <v>389.56982485492892</v>
      </c>
      <c r="AC28">
        <v>10</v>
      </c>
      <c r="AD28" s="2">
        <f t="shared" si="18"/>
        <v>325.02966301718459</v>
      </c>
      <c r="AE28" s="2">
        <f t="shared" si="19"/>
        <v>787.04989971593102</v>
      </c>
      <c r="AF28" s="13">
        <f t="shared" si="35"/>
        <v>145.2124745516582</v>
      </c>
      <c r="AG28" s="15">
        <f t="shared" si="36"/>
        <v>0.90757796594786377</v>
      </c>
      <c r="AH28" s="14">
        <f t="shared" si="37"/>
        <v>0.726062372758291</v>
      </c>
      <c r="AI28" s="14">
        <f t="shared" si="38"/>
        <v>0.453788982973932</v>
      </c>
      <c r="AJ28" s="14">
        <f t="shared" si="39"/>
        <v>0.453788982973932</v>
      </c>
      <c r="AK28" s="14">
        <f t="shared" si="40"/>
        <v>0.453788982973932</v>
      </c>
      <c r="AL28" s="11" t="str">
        <f t="shared" si="41"/>
        <v>1D6+2</v>
      </c>
      <c r="AM28" s="11" t="str">
        <f t="shared" si="42"/>
        <v>1D6</v>
      </c>
      <c r="AN28">
        <f t="shared" si="43"/>
        <v>5.5</v>
      </c>
      <c r="AO28">
        <f t="shared" si="44"/>
        <v>53.3</v>
      </c>
      <c r="AP28">
        <f t="shared" si="45"/>
        <v>53.3</v>
      </c>
      <c r="AQ28">
        <f t="shared" si="46"/>
        <v>53.3</v>
      </c>
      <c r="AR28" s="9">
        <f t="shared" si="47"/>
        <v>-1</v>
      </c>
      <c r="AS28" s="9">
        <f t="shared" si="48"/>
        <v>-4</v>
      </c>
      <c r="AT28" s="9">
        <f t="shared" si="49"/>
        <v>-4</v>
      </c>
      <c r="AU28" s="9">
        <f t="shared" si="50"/>
        <v>-4</v>
      </c>
      <c r="AV28" s="16" t="str">
        <f t="shared" si="51"/>
        <v>-</v>
      </c>
      <c r="AW28" s="16" t="str">
        <f t="shared" si="53"/>
        <v>-</v>
      </c>
      <c r="AX28" s="16" t="str">
        <f t="shared" si="54"/>
        <v>-</v>
      </c>
      <c r="AY28" s="16" t="str">
        <f t="shared" si="55"/>
        <v>-</v>
      </c>
    </row>
    <row r="29" spans="1:51">
      <c r="A29" t="s">
        <v>105</v>
      </c>
      <c r="B29">
        <v>13</v>
      </c>
      <c r="C29">
        <v>10.74</v>
      </c>
      <c r="D29">
        <v>0.4</v>
      </c>
      <c r="E29">
        <v>1.2250000000000001</v>
      </c>
      <c r="F29">
        <f t="shared" si="21"/>
        <v>9.059379319230351E-5</v>
      </c>
      <c r="G29" s="1">
        <f t="shared" si="22"/>
        <v>2.2195479332114362E-5</v>
      </c>
      <c r="H29" s="1">
        <v>1</v>
      </c>
      <c r="I29">
        <v>6</v>
      </c>
      <c r="J29">
        <v>380</v>
      </c>
      <c r="K29" s="2">
        <f t="shared" si="12"/>
        <v>938.59999999999991</v>
      </c>
      <c r="L29" s="2">
        <f t="shared" si="23"/>
        <v>65.34813066387575</v>
      </c>
      <c r="M29" s="2">
        <f t="shared" si="24"/>
        <v>202.98983438130824</v>
      </c>
      <c r="N29" s="2">
        <f t="shared" si="25"/>
        <v>202.98983438130824</v>
      </c>
      <c r="O29" s="2">
        <f t="shared" si="26"/>
        <v>202.98983438130824</v>
      </c>
      <c r="P29" s="2">
        <f t="shared" si="27"/>
        <v>1348.6352676156012</v>
      </c>
      <c r="Q29" s="2">
        <f t="shared" si="28"/>
        <v>14.505737485806447</v>
      </c>
      <c r="R29" s="2">
        <f t="shared" si="29"/>
        <v>139.96696517944414</v>
      </c>
      <c r="S29" s="2">
        <f t="shared" si="30"/>
        <v>139.96696517944414</v>
      </c>
      <c r="T29" s="2">
        <f t="shared" si="31"/>
        <v>139.96696517944414</v>
      </c>
      <c r="U29" s="2">
        <f t="shared" si="32"/>
        <v>6178.6707742201743</v>
      </c>
      <c r="V29" s="2">
        <f t="shared" si="33"/>
        <v>17.15788975982052</v>
      </c>
      <c r="W29" s="2">
        <f t="shared" si="14"/>
        <v>24.264915363661327</v>
      </c>
      <c r="X29" s="2">
        <f t="shared" si="34"/>
        <v>48.529796336773629</v>
      </c>
      <c r="Y29" s="2">
        <f t="shared" si="15"/>
        <v>121.32423291281648</v>
      </c>
      <c r="Z29">
        <v>4</v>
      </c>
      <c r="AA29" s="2">
        <f t="shared" si="16"/>
        <v>343.36876137174102</v>
      </c>
      <c r="AB29" s="2">
        <f t="shared" si="17"/>
        <v>766.36369085876356</v>
      </c>
      <c r="AC29">
        <v>18</v>
      </c>
      <c r="AD29" s="2">
        <f t="shared" si="18"/>
        <v>553.4606197463487</v>
      </c>
      <c r="AE29" s="2">
        <f t="shared" si="19"/>
        <v>1991.0712744650805</v>
      </c>
      <c r="AF29" s="13">
        <f t="shared" si="35"/>
        <v>143.49768943226488</v>
      </c>
      <c r="AG29" s="15">
        <f t="shared" si="36"/>
        <v>2.0721066354019047</v>
      </c>
      <c r="AH29" s="14">
        <f t="shared" si="37"/>
        <v>1.6576853083215237</v>
      </c>
      <c r="AI29" s="14">
        <f t="shared" si="38"/>
        <v>1.0360533177009523</v>
      </c>
      <c r="AJ29" s="14">
        <f t="shared" si="39"/>
        <v>1.0360533177009523</v>
      </c>
      <c r="AK29" s="14">
        <f t="shared" si="40"/>
        <v>1.0360533177009523</v>
      </c>
      <c r="AL29" s="11" t="str">
        <f t="shared" si="41"/>
        <v>2D6+1</v>
      </c>
      <c r="AM29" s="11" t="str">
        <f t="shared" si="42"/>
        <v>1D6+2</v>
      </c>
      <c r="AN29">
        <f t="shared" si="43"/>
        <v>3</v>
      </c>
      <c r="AO29">
        <f t="shared" si="44"/>
        <v>28.5</v>
      </c>
      <c r="AP29">
        <f t="shared" si="45"/>
        <v>28.5</v>
      </c>
      <c r="AQ29">
        <f t="shared" si="46"/>
        <v>28.5</v>
      </c>
      <c r="AR29" s="9">
        <f t="shared" si="47"/>
        <v>0</v>
      </c>
      <c r="AS29" s="9">
        <f t="shared" si="48"/>
        <v>-2</v>
      </c>
      <c r="AT29" s="9">
        <f t="shared" si="49"/>
        <v>-2</v>
      </c>
      <c r="AU29" s="9">
        <f t="shared" si="50"/>
        <v>-2</v>
      </c>
      <c r="AV29" s="16" t="str">
        <f t="shared" si="51"/>
        <v>-</v>
      </c>
      <c r="AW29" s="16" t="str">
        <f t="shared" si="53"/>
        <v>-</v>
      </c>
      <c r="AX29" s="16" t="str">
        <f t="shared" si="54"/>
        <v>-</v>
      </c>
      <c r="AY29" s="16" t="str">
        <f t="shared" si="55"/>
        <v>-</v>
      </c>
    </row>
    <row r="30" spans="1:51">
      <c r="A30" t="s">
        <v>107</v>
      </c>
      <c r="B30">
        <v>11.7</v>
      </c>
      <c r="C30">
        <v>10</v>
      </c>
      <c r="D30">
        <v>0.4</v>
      </c>
      <c r="E30">
        <v>1.2250000000000001</v>
      </c>
      <c r="F30">
        <f t="shared" si="21"/>
        <v>7.8539816339744827E-5</v>
      </c>
      <c r="G30" s="1">
        <f t="shared" si="22"/>
        <v>1.9242255003237486E-5</v>
      </c>
      <c r="H30" s="1">
        <v>1</v>
      </c>
      <c r="I30">
        <v>4.2</v>
      </c>
      <c r="J30">
        <v>330</v>
      </c>
      <c r="K30" s="2">
        <f t="shared" si="12"/>
        <v>637.06499999999994</v>
      </c>
      <c r="L30" s="2">
        <f t="shared" si="23"/>
        <v>67.83975032908026</v>
      </c>
      <c r="M30" s="2">
        <f t="shared" si="24"/>
        <v>210.72951198253247</v>
      </c>
      <c r="N30" s="2">
        <f t="shared" si="25"/>
        <v>210.72951198253247</v>
      </c>
      <c r="O30" s="2">
        <f t="shared" si="26"/>
        <v>210.72951198253247</v>
      </c>
      <c r="P30" s="2">
        <f t="shared" si="27"/>
        <v>1400.0565725533554</v>
      </c>
      <c r="Q30" s="2">
        <f t="shared" si="28"/>
        <v>20.729142246407619</v>
      </c>
      <c r="R30" s="2">
        <f t="shared" si="29"/>
        <v>200.01712991579893</v>
      </c>
      <c r="S30" s="2">
        <f t="shared" si="30"/>
        <v>200.01712991579893</v>
      </c>
      <c r="T30" s="2">
        <f t="shared" si="31"/>
        <v>200.01712991579893</v>
      </c>
      <c r="U30" s="2">
        <f t="shared" si="32"/>
        <v>8829.5334595636014</v>
      </c>
      <c r="V30" s="2">
        <f t="shared" si="33"/>
        <v>14.900273679599302</v>
      </c>
      <c r="W30" s="2">
        <f t="shared" si="14"/>
        <v>21.072165329005696</v>
      </c>
      <c r="X30" s="2">
        <f t="shared" si="34"/>
        <v>42.144304766292116</v>
      </c>
      <c r="Y30" s="2">
        <f t="shared" si="15"/>
        <v>105.36056772783579</v>
      </c>
      <c r="Z30">
        <v>3.5</v>
      </c>
      <c r="AA30" s="2">
        <f t="shared" si="16"/>
        <v>315.29612142744105</v>
      </c>
      <c r="AB30" s="2">
        <f t="shared" si="17"/>
        <v>581.55811849504767</v>
      </c>
      <c r="AC30">
        <v>16</v>
      </c>
      <c r="AD30" s="2">
        <f t="shared" si="18"/>
        <v>482.53289416795633</v>
      </c>
      <c r="AE30" s="2">
        <f t="shared" si="19"/>
        <v>1362.1022646315091</v>
      </c>
      <c r="AF30" s="13">
        <f t="shared" si="35"/>
        <v>148.96902673401402</v>
      </c>
      <c r="AG30" s="15">
        <f t="shared" si="36"/>
        <v>1.6222727011334126</v>
      </c>
      <c r="AH30" s="14">
        <f t="shared" si="37"/>
        <v>1.2978181609067303</v>
      </c>
      <c r="AI30" s="14">
        <f t="shared" si="38"/>
        <v>0.81113635056670652</v>
      </c>
      <c r="AJ30" s="14">
        <f t="shared" si="39"/>
        <v>0.81113635056670652</v>
      </c>
      <c r="AK30" s="14">
        <f t="shared" si="40"/>
        <v>0.81113635056670652</v>
      </c>
      <c r="AL30" s="11" t="str">
        <f t="shared" si="41"/>
        <v>2D6</v>
      </c>
      <c r="AM30" s="11" t="str">
        <f t="shared" si="42"/>
        <v>1D6+1</v>
      </c>
      <c r="AN30">
        <f t="shared" si="43"/>
        <v>4.2</v>
      </c>
      <c r="AO30">
        <f t="shared" si="44"/>
        <v>40.799999999999997</v>
      </c>
      <c r="AP30">
        <f t="shared" si="45"/>
        <v>40.799999999999997</v>
      </c>
      <c r="AQ30">
        <f t="shared" si="46"/>
        <v>40.799999999999997</v>
      </c>
      <c r="AR30" s="9">
        <f t="shared" si="47"/>
        <v>0</v>
      </c>
      <c r="AS30" s="9">
        <f t="shared" si="48"/>
        <v>-4</v>
      </c>
      <c r="AT30" s="9">
        <f t="shared" si="49"/>
        <v>-4</v>
      </c>
      <c r="AU30" s="9">
        <f t="shared" si="50"/>
        <v>-4</v>
      </c>
      <c r="AV30" s="16" t="str">
        <f t="shared" si="51"/>
        <v>-</v>
      </c>
      <c r="AW30" s="16" t="str">
        <f t="shared" si="53"/>
        <v>-</v>
      </c>
      <c r="AX30" s="16" t="str">
        <f t="shared" si="54"/>
        <v>-</v>
      </c>
      <c r="AY30" s="16" t="str">
        <f t="shared" si="55"/>
        <v>-</v>
      </c>
    </row>
    <row r="31" spans="1:51">
      <c r="A31" t="s">
        <v>112</v>
      </c>
      <c r="B31">
        <v>16</v>
      </c>
      <c r="C31">
        <v>9.3000000000000007</v>
      </c>
      <c r="D31">
        <v>0.35</v>
      </c>
      <c r="E31">
        <v>1.2250000000000001</v>
      </c>
      <c r="F31">
        <f t="shared" ref="F31" si="56">PI()*C31^2/4000000</f>
        <v>6.7929087152245307E-5</v>
      </c>
      <c r="G31" s="1">
        <f t="shared" ref="G31" si="57">0.5 * D31 * E31 * F31</f>
        <v>1.4562298058262588E-5</v>
      </c>
      <c r="H31" s="1">
        <v>1</v>
      </c>
      <c r="I31">
        <v>12</v>
      </c>
      <c r="J31">
        <v>290</v>
      </c>
      <c r="K31" s="2">
        <f t="shared" ref="K31" si="58">0.5 * (B31/1000) * (J31^2)</f>
        <v>672.80000000000007</v>
      </c>
      <c r="L31" s="2">
        <f t="shared" ref="L31" si="59">-(B31/1000) / (2 * G31) * LN(0.8)</f>
        <v>122.58699851983813</v>
      </c>
      <c r="M31" s="2">
        <f t="shared" ref="M31" si="60">-(B31/1000) / (2 * G31) * LN(0.5)</f>
        <v>380.78999772520456</v>
      </c>
      <c r="N31" s="2">
        <f t="shared" ref="N31" si="61">MAX(M31, IF(J31&gt;400, -(B31/1000)/G31*LN(400/J31), M31))</f>
        <v>380.78999772520456</v>
      </c>
      <c r="O31" s="2">
        <f t="shared" ref="O31" si="62">MAX(N31, IF(J31&gt;340, -(B31/1000)/G31*LN(340/J31), N31))</f>
        <v>380.78999772520456</v>
      </c>
      <c r="P31" s="2">
        <f t="shared" ref="P31" si="63">(B31/1000) / (2 * G31) * LN(100)</f>
        <v>2529.9139833909039</v>
      </c>
      <c r="Q31" s="2">
        <f t="shared" ref="Q31" si="64" xml:space="preserve"> (0.5 * 9.81 * (L31 / ($J31 - ($G31 * L31 / 2)))^2) * 100</f>
        <v>87.646486813314112</v>
      </c>
      <c r="R31" s="2">
        <f t="shared" ref="R31" si="65" xml:space="preserve"> (0.5 * 9.81 * (M31 / ($J31 - ($G31 * M31 / 2)))^2) * 100</f>
        <v>845.71178900296445</v>
      </c>
      <c r="S31" s="2">
        <f t="shared" ref="S31" si="66" xml:space="preserve"> (0.5 * 9.81 * (N31 / ($J31 - ($G31 * N31 / 2)))^2) * 100</f>
        <v>845.71178900296445</v>
      </c>
      <c r="T31" s="2">
        <f t="shared" ref="T31" si="67" xml:space="preserve"> (0.5 * 9.81 * (O31 / ($J31 - ($G31 * O31 / 2)))^2) * 100</f>
        <v>845.71178900296445</v>
      </c>
      <c r="U31" s="2">
        <f t="shared" ref="U31" si="68" xml:space="preserve"> (0.5 * 9.81 * (P31 / ($J31 - ($G31 * P31 / 2)))^2) * 100</f>
        <v>37334.445122198187</v>
      </c>
      <c r="V31" s="2">
        <f t="shared" ref="V31" si="69">J31 * SQRT(0.02 / 9.81) * (1 - (G31 * SQRT(0.02 / 9.81) / 2))</f>
        <v>13.094181283727442</v>
      </c>
      <c r="W31" s="2">
        <f t="shared" ref="W31" si="70">J31 * SQRT(0.04 / 9.81) * (1 - (G31 * SQRT(0.04 / 9.81) / 2))</f>
        <v>18.517966237891418</v>
      </c>
      <c r="X31" s="2">
        <f t="shared" ref="X31" si="71">J31 * SQRT(0.16 / 9.81) * (1 - (G31 * SQRT(0.16 / 9.81) / 2))</f>
        <v>37.035915256347828</v>
      </c>
      <c r="Y31" s="2">
        <f t="shared" si="15"/>
        <v>92.589658995106987</v>
      </c>
      <c r="Z31">
        <v>8</v>
      </c>
      <c r="AA31" s="2">
        <f t="shared" ref="AA31" si="72">J31 * POWER(Z31/I31,0.25)</f>
        <v>262.044581046855</v>
      </c>
      <c r="AB31" s="2">
        <f t="shared" ref="AB31" si="73">0.5 * (B31/1000) * (AA31^2)</f>
        <v>549.33889964817411</v>
      </c>
      <c r="AC31">
        <v>16</v>
      </c>
      <c r="AD31" s="2">
        <f t="shared" ref="AD31" si="74">J31 * POWER(AC31/Z31,0.25)</f>
        <v>344.87006335078911</v>
      </c>
      <c r="AE31" s="2">
        <f t="shared" ref="AE31" si="75">0.5 * (B31/1000) * (AD31^2)</f>
        <v>951.48288476461835</v>
      </c>
      <c r="AF31" s="13">
        <f t="shared" ref="AF31" si="76">(B31/1000) / ((PI() * (C31/1000)^2) / 4)</f>
        <v>235.53974697378425</v>
      </c>
      <c r="AG31" s="15">
        <f t="shared" ref="AG31" si="77">0.0000001 * AF31 * (2 * K31 / (B31/1000)) * H31</f>
        <v>1.9808892720495255</v>
      </c>
      <c r="AH31" s="14">
        <f t="shared" ref="AH31" si="78">0.0000001 * AF31 * (2 * K31 * EXP(-(2*G31/(B31/1000)) * L31) / (B31/1000))  * H31</f>
        <v>1.5847114176396209</v>
      </c>
      <c r="AI31" s="14">
        <f t="shared" ref="AI31" si="79">0.0000001 * AF31 * (2 * K31 * EXP(-(2*G31/(B31/1000)) * M31) / (B31/1000))  * H31</f>
        <v>0.99044463602476296</v>
      </c>
      <c r="AJ31" s="14">
        <f t="shared" ref="AJ31" si="80">0.0000001 * AF31 * (2 * K31 * EXP(-(2*G31/(B31/1000)) * N31) / (B31/1000))  * H31</f>
        <v>0.99044463602476296</v>
      </c>
      <c r="AK31" s="14">
        <f t="shared" ref="AK31" si="81">0.0000001 * AF31 * (2 * K31 * EXP(-(2*G31/(B31/1000)) * O31) / (B31/1000))  * H31</f>
        <v>0.99044463602476296</v>
      </c>
      <c r="AL31" s="11" t="str">
        <f t="shared" ref="AL31" si="82">IF(INT(SQRT(K31)/12)=0, MOD(INT(SQRT(K31)/4),3), INT(SQRT(K31)/12) &amp; "D6" &amp; IF(MOD(INT(SQRT(K31)/4),3)=0, "", "+" &amp; MOD(INT(SQRT(K31)/4),3)))</f>
        <v>2D6</v>
      </c>
      <c r="AM31" s="11" t="str">
        <f t="shared" ref="AM31" si="83">IF(INT(SQRT(K31*0.5)/12)=0, MOD(INT(SQRT(K31*0.5)/4),3), INT(SQRT(K31*0.5)/12) &amp; "D6" &amp; IF(MOD(INT(SQRT(K31*0.5)/4),3)=0, "", "+" &amp; MOD(INT(SQRT(K31*0.5)/4),3)))</f>
        <v>1D6+1</v>
      </c>
      <c r="AN31">
        <f t="shared" ref="AN31" si="84">ROUND((L31 / (J31 * 0.1))^2, 1)</f>
        <v>17.899999999999999</v>
      </c>
      <c r="AO31">
        <f t="shared" ref="AO31" si="85">ROUND((M31 / (J31 * 0.1))^2, 1)</f>
        <v>172.4</v>
      </c>
      <c r="AP31">
        <f t="shared" ref="AP31" si="86">ROUND((N31 / (J31 * 0.1))^2, 1)</f>
        <v>172.4</v>
      </c>
      <c r="AQ31">
        <f t="shared" ref="AQ31" si="87">ROUND((O31 / (J31 * 0.1))^2, 1)</f>
        <v>172.4</v>
      </c>
      <c r="AR31" s="9">
        <f t="shared" ref="AR31" si="88">IF((L31/(J31*0.1))^2&lt;=5,0,IF((L31/(J31*0.1))^2&lt;=15,-1,IF((L31/(J31*0.1))^2&lt;=30,-2,IF((L31/(J31*0.1))^2&lt;=60,-4,IF((L31/(J31*0.1))^2&lt;=100,-8,-12)))))</f>
        <v>-2</v>
      </c>
      <c r="AS31" s="9">
        <f t="shared" ref="AS31" si="89">IF((M31/(J31*0.1))^2&lt;=5,0,IF((M31/(J31*0.1))^2&lt;=15,-1,IF((M31/(J31*0.1))^2&lt;=30,-2,IF((M31/(J31*0.1))^2&lt;=60,-4,IF((M31/(J31*0.1))^2&lt;=100,-8,-12)))))</f>
        <v>-12</v>
      </c>
      <c r="AT31" s="9">
        <f t="shared" ref="AT31" si="90">IF((N31/(J31*0.1))^2&lt;=5,0,IF((N31/(J31*0.1))^2&lt;=15,-1,IF((N31/(J31*0.1))^2&lt;=30,-2,IF((N31/(J31*0.1))^2&lt;=60,-4,IF((N31/(J31*0.1))^2&lt;=100,-8,-12)))))</f>
        <v>-12</v>
      </c>
      <c r="AU31" s="9">
        <f t="shared" ref="AU31" si="91">IF((O31/(J31*0.1))^2&lt;=5,0,IF((O31/(J31*0.1))^2&lt;=15,-1,IF((O31/(J31*0.1))^2&lt;=30,-2,IF((O31/(J31*0.1))^2&lt;=60,-4,IF((O31/(J31*0.1))^2&lt;=100,-8,-12)))))</f>
        <v>-12</v>
      </c>
      <c r="AV31" s="16" t="str">
        <f t="shared" ref="AV31" si="92">IF((SQRT($K31)*(7/AG31))&gt;=(SQRT($K31)),"-",IF(INT(SQRT($K31)*(7/AG31)/12)=0, MOD(INT(SQRT($K31)*(7/AG31)/4),3), INT(SQRT($K31)*(7/AG31)/12) &amp; "D6"  &amp; IF(MOD(INT(SQRT($K31)*(7/AG31)/4),3)=0, "", "+" &amp; MOD(INT(SQRT($K31)*(7/AG31)/4),3))))</f>
        <v>-</v>
      </c>
      <c r="AW31" s="16" t="str">
        <f t="shared" ref="AW31" si="93">IF((SQRT($K31)*(7/AH31))&gt;=(SQRT($K31)),"-",IF(INT(SQRT($K31)*(7/AH31)/12)=0, MOD(INT(SQRT($K31)*(7/AH31)/4),3), INT(SQRT($K31)*(7/AH31)/12) &amp; "D6"  &amp; IF(MOD(INT(SQRT($K31)*(7/AH31)/4),3)=0, "", "+" &amp; MOD(INT(SQRT($K31)*(7/AH31)/4),3))))</f>
        <v>-</v>
      </c>
      <c r="AX31" s="16" t="str">
        <f t="shared" ref="AX31" si="94">IF((SQRT($K31)*(7/AI31))&gt;=(SQRT($K31)),"-",IF(INT(SQRT($K31)*(7/AI31)/12)=0, MOD(INT(SQRT($K31)*(7/AI31)/4),3), INT(SQRT($K31)*(7/AI31)/12) &amp; "D6"  &amp; IF(MOD(INT(SQRT($K31)*(7/AI31)/4),3)=0, "", "+" &amp; MOD(INT(SQRT($K31)*(7/AI31)/4),3))))</f>
        <v>-</v>
      </c>
      <c r="AY31" s="16" t="str">
        <f t="shared" ref="AY31" si="95">IF((SQRT($K31)*(7/AJ31))&gt;=(SQRT($K31)),"-",IF(INT(SQRT($K31)*(7/AJ31)/12)=0, MOD(INT(SQRT($K31)*(7/AJ31)/4),3), INT(SQRT($K31)*(7/AJ31)/12) &amp; "D6"  &amp; IF(MOD(INT(SQRT($K31)*(7/AJ31)/4),3)=0, "", "+" &amp; MOD(INT(SQRT($K31)*(7/AJ31)/4),3))))</f>
        <v>-</v>
      </c>
    </row>
    <row r="32" spans="1:51">
      <c r="A32" t="s">
        <v>842</v>
      </c>
      <c r="B32">
        <v>23</v>
      </c>
      <c r="C32">
        <v>9.3000000000000007</v>
      </c>
      <c r="D32">
        <v>0.35</v>
      </c>
      <c r="E32">
        <v>1.2250000000000001</v>
      </c>
      <c r="F32">
        <f t="shared" si="21"/>
        <v>6.7929087152245307E-5</v>
      </c>
      <c r="G32" s="1">
        <f t="shared" si="22"/>
        <v>1.4562298058262588E-5</v>
      </c>
      <c r="H32" s="1">
        <v>1.5</v>
      </c>
      <c r="I32">
        <v>12</v>
      </c>
      <c r="J32">
        <v>303</v>
      </c>
      <c r="K32" s="2">
        <f t="shared" si="12"/>
        <v>1055.8035</v>
      </c>
      <c r="L32" s="2">
        <f t="shared" si="23"/>
        <v>176.21881037226731</v>
      </c>
      <c r="M32" s="2">
        <f t="shared" si="24"/>
        <v>547.38562172998161</v>
      </c>
      <c r="N32" s="2">
        <f t="shared" si="25"/>
        <v>547.38562172998161</v>
      </c>
      <c r="O32" s="2">
        <f t="shared" si="26"/>
        <v>547.38562172998161</v>
      </c>
      <c r="P32" s="2">
        <f t="shared" si="27"/>
        <v>3636.7513511244247</v>
      </c>
      <c r="Q32" s="2">
        <f t="shared" si="28"/>
        <v>165.90595046931242</v>
      </c>
      <c r="R32" s="2">
        <f t="shared" si="29"/>
        <v>1600.8548315787359</v>
      </c>
      <c r="S32" s="2">
        <f t="shared" si="30"/>
        <v>1600.8548315787359</v>
      </c>
      <c r="T32" s="2">
        <f t="shared" si="31"/>
        <v>1600.8548315787359</v>
      </c>
      <c r="U32" s="2">
        <f t="shared" si="32"/>
        <v>70673.546166319196</v>
      </c>
      <c r="V32" s="2">
        <f t="shared" si="33"/>
        <v>13.681161824032465</v>
      </c>
      <c r="W32" s="2">
        <f t="shared" si="14"/>
        <v>19.348081965796897</v>
      </c>
      <c r="X32" s="2">
        <f t="shared" si="34"/>
        <v>38.696145940253075</v>
      </c>
      <c r="Y32" s="2">
        <f t="shared" si="15"/>
        <v>96.740229915577288</v>
      </c>
      <c r="Z32">
        <v>8</v>
      </c>
      <c r="AA32" s="2">
        <f t="shared" si="16"/>
        <v>273.79140709378299</v>
      </c>
      <c r="AB32" s="2">
        <f t="shared" si="17"/>
        <v>862.05994788152645</v>
      </c>
      <c r="AC32">
        <v>16</v>
      </c>
      <c r="AD32" s="2">
        <f t="shared" si="18"/>
        <v>360.32975584582448</v>
      </c>
      <c r="AE32" s="2">
        <f t="shared" si="19"/>
        <v>1493.1316289009819</v>
      </c>
      <c r="AF32" s="13">
        <f t="shared" si="35"/>
        <v>338.58838627481481</v>
      </c>
      <c r="AG32" s="15">
        <f t="shared" si="36"/>
        <v>4.662819173325671</v>
      </c>
      <c r="AH32" s="14">
        <f t="shared" si="37"/>
        <v>3.7302553386605366</v>
      </c>
      <c r="AI32" s="14">
        <f t="shared" si="38"/>
        <v>2.3314095866628355</v>
      </c>
      <c r="AJ32" s="14">
        <f t="shared" si="39"/>
        <v>2.3314095866628355</v>
      </c>
      <c r="AK32" s="14">
        <f t="shared" si="40"/>
        <v>2.3314095866628355</v>
      </c>
      <c r="AL32" s="11" t="str">
        <f t="shared" si="41"/>
        <v>2D6+2</v>
      </c>
      <c r="AM32" s="11" t="str">
        <f t="shared" si="42"/>
        <v>1D6+2</v>
      </c>
      <c r="AN32">
        <f t="shared" si="43"/>
        <v>33.799999999999997</v>
      </c>
      <c r="AO32">
        <f t="shared" si="44"/>
        <v>326.39999999999998</v>
      </c>
      <c r="AP32">
        <f t="shared" si="45"/>
        <v>326.39999999999998</v>
      </c>
      <c r="AQ32">
        <f t="shared" si="46"/>
        <v>326.39999999999998</v>
      </c>
      <c r="AR32" s="9">
        <f t="shared" si="47"/>
        <v>-4</v>
      </c>
      <c r="AS32" s="9">
        <f t="shared" si="48"/>
        <v>-12</v>
      </c>
      <c r="AT32" s="9">
        <f t="shared" si="49"/>
        <v>-12</v>
      </c>
      <c r="AU32" s="9">
        <f t="shared" si="50"/>
        <v>-12</v>
      </c>
      <c r="AV32" s="16" t="str">
        <f t="shared" si="51"/>
        <v>-</v>
      </c>
      <c r="AW32" s="16" t="str">
        <f t="shared" si="53"/>
        <v>-</v>
      </c>
      <c r="AX32" s="16" t="str">
        <f t="shared" si="54"/>
        <v>-</v>
      </c>
      <c r="AY32" s="16" t="str">
        <f t="shared" si="55"/>
        <v>-</v>
      </c>
    </row>
    <row r="33" spans="1:51">
      <c r="A33" t="s">
        <v>794</v>
      </c>
      <c r="B33">
        <v>8</v>
      </c>
      <c r="C33">
        <v>7.62</v>
      </c>
      <c r="D33">
        <v>0.28000000000000003</v>
      </c>
      <c r="E33">
        <v>1.2250000000000001</v>
      </c>
      <c r="F33">
        <f t="shared" si="21"/>
        <v>4.5603673118774793E-5</v>
      </c>
      <c r="G33" s="1">
        <f t="shared" si="22"/>
        <v>7.8210299398698787E-6</v>
      </c>
      <c r="H33" s="1">
        <v>1</v>
      </c>
      <c r="I33">
        <v>16</v>
      </c>
      <c r="J33">
        <v>700</v>
      </c>
      <c r="K33" s="2">
        <f t="shared" si="12"/>
        <v>1960</v>
      </c>
      <c r="L33" s="2">
        <f t="shared" si="23"/>
        <v>114.12489302805162</v>
      </c>
      <c r="M33" s="2">
        <f t="shared" si="24"/>
        <v>354.50429720333096</v>
      </c>
      <c r="N33" s="2">
        <f t="shared" si="25"/>
        <v>572.42157847536214</v>
      </c>
      <c r="O33" s="2">
        <f t="shared" si="26"/>
        <v>738.65945839374911</v>
      </c>
      <c r="P33" s="2">
        <f t="shared" si="27"/>
        <v>2355.2755692760893</v>
      </c>
      <c r="Q33" s="2">
        <f t="shared" si="28"/>
        <v>13.037798130385344</v>
      </c>
      <c r="R33" s="2">
        <f t="shared" si="29"/>
        <v>125.80203307488222</v>
      </c>
      <c r="S33" s="2">
        <f t="shared" si="30"/>
        <v>328.00291481345471</v>
      </c>
      <c r="T33" s="2">
        <f t="shared" si="31"/>
        <v>546.17905591615101</v>
      </c>
      <c r="U33" s="2">
        <f t="shared" si="32"/>
        <v>5553.1296719894453</v>
      </c>
      <c r="V33" s="2">
        <f t="shared" si="33"/>
        <v>31.606649288245851</v>
      </c>
      <c r="W33" s="2">
        <f t="shared" si="14"/>
        <v>44.69854881547645</v>
      </c>
      <c r="X33" s="2">
        <f t="shared" si="34"/>
        <v>89.397075307931658</v>
      </c>
      <c r="Y33" s="2">
        <f t="shared" si="15"/>
        <v>223.49252084716989</v>
      </c>
      <c r="Z33">
        <v>12</v>
      </c>
      <c r="AA33" s="2">
        <f t="shared" si="16"/>
        <v>651.42340137146971</v>
      </c>
      <c r="AB33" s="2">
        <f t="shared" si="17"/>
        <v>1697.4097914174997</v>
      </c>
      <c r="AC33">
        <v>20</v>
      </c>
      <c r="AD33" s="2">
        <f t="shared" si="18"/>
        <v>795.35355652724957</v>
      </c>
      <c r="AE33" s="2">
        <f t="shared" si="19"/>
        <v>2530.3491195221791</v>
      </c>
      <c r="AF33" s="13">
        <f t="shared" si="35"/>
        <v>175.42446590133201</v>
      </c>
      <c r="AG33" s="15">
        <f t="shared" si="36"/>
        <v>8.5957988291652683</v>
      </c>
      <c r="AH33" s="14">
        <f t="shared" si="37"/>
        <v>6.8766390633322141</v>
      </c>
      <c r="AI33" s="14">
        <f t="shared" si="38"/>
        <v>4.2978994145826341</v>
      </c>
      <c r="AJ33" s="14">
        <f t="shared" si="39"/>
        <v>2.8067914544213113</v>
      </c>
      <c r="AK33" s="14">
        <f t="shared" si="40"/>
        <v>2.027906825819398</v>
      </c>
      <c r="AL33" s="11" t="str">
        <f t="shared" si="41"/>
        <v>3D6+2</v>
      </c>
      <c r="AM33" s="11" t="str">
        <f t="shared" si="42"/>
        <v>2D6+1</v>
      </c>
      <c r="AN33">
        <f t="shared" si="43"/>
        <v>2.7</v>
      </c>
      <c r="AO33">
        <f t="shared" si="44"/>
        <v>25.6</v>
      </c>
      <c r="AP33">
        <f t="shared" si="45"/>
        <v>66.900000000000006</v>
      </c>
      <c r="AQ33">
        <f t="shared" si="46"/>
        <v>111.4</v>
      </c>
      <c r="AR33" s="9">
        <f t="shared" si="47"/>
        <v>0</v>
      </c>
      <c r="AS33" s="9">
        <f t="shared" si="48"/>
        <v>-2</v>
      </c>
      <c r="AT33" s="9">
        <f t="shared" si="49"/>
        <v>-8</v>
      </c>
      <c r="AU33" s="9">
        <f t="shared" si="50"/>
        <v>-12</v>
      </c>
      <c r="AV33" s="16" t="str">
        <f t="shared" si="51"/>
        <v>3D6</v>
      </c>
      <c r="AW33" s="16" t="str">
        <f t="shared" si="53"/>
        <v>-</v>
      </c>
      <c r="AX33" s="16" t="str">
        <f t="shared" si="54"/>
        <v>-</v>
      </c>
      <c r="AY33" s="16" t="str">
        <f t="shared" si="55"/>
        <v>-</v>
      </c>
    </row>
    <row r="34" spans="1:51">
      <c r="A34" t="s">
        <v>120</v>
      </c>
      <c r="B34">
        <v>8</v>
      </c>
      <c r="C34">
        <v>9</v>
      </c>
      <c r="D34">
        <v>0.4</v>
      </c>
      <c r="E34">
        <v>1.2250000000000001</v>
      </c>
      <c r="F34">
        <f t="shared" si="21"/>
        <v>6.3617251235193305E-5</v>
      </c>
      <c r="G34" s="1">
        <f t="shared" si="22"/>
        <v>1.5586226552622361E-5</v>
      </c>
      <c r="H34" s="1">
        <v>1</v>
      </c>
      <c r="I34">
        <v>4.7</v>
      </c>
      <c r="J34">
        <v>360</v>
      </c>
      <c r="K34" s="2">
        <f t="shared" si="12"/>
        <v>518.4</v>
      </c>
      <c r="L34" s="2">
        <f t="shared" si="23"/>
        <v>57.266856877982725</v>
      </c>
      <c r="M34" s="2">
        <f t="shared" si="24"/>
        <v>177.88710518732302</v>
      </c>
      <c r="N34" s="2">
        <f t="shared" si="25"/>
        <v>177.88710518732302</v>
      </c>
      <c r="O34" s="2">
        <f t="shared" si="26"/>
        <v>177.88710518732302</v>
      </c>
      <c r="P34" s="2">
        <f t="shared" si="27"/>
        <v>1181.8563448799036</v>
      </c>
      <c r="Q34" s="2">
        <f t="shared" si="28"/>
        <v>12.412000417654491</v>
      </c>
      <c r="R34" s="2">
        <f t="shared" si="29"/>
        <v>119.76399942270439</v>
      </c>
      <c r="S34" s="2">
        <f t="shared" si="30"/>
        <v>119.76399942270439</v>
      </c>
      <c r="T34" s="2">
        <f t="shared" si="31"/>
        <v>119.76399942270439</v>
      </c>
      <c r="U34" s="2">
        <f t="shared" si="32"/>
        <v>5286.7115437175798</v>
      </c>
      <c r="V34" s="2">
        <f t="shared" si="33"/>
        <v>16.254845355770144</v>
      </c>
      <c r="W34" s="2">
        <f t="shared" si="14"/>
        <v>22.9878194058753</v>
      </c>
      <c r="X34" s="2">
        <f t="shared" si="34"/>
        <v>45.97561593288593</v>
      </c>
      <c r="Y34" s="2">
        <f t="shared" si="15"/>
        <v>114.93886824072986</v>
      </c>
      <c r="Z34">
        <v>3</v>
      </c>
      <c r="AA34" s="2">
        <f t="shared" si="16"/>
        <v>321.77948329101122</v>
      </c>
      <c r="AB34" s="2">
        <f t="shared" si="17"/>
        <v>414.16814346812066</v>
      </c>
      <c r="AC34">
        <v>16</v>
      </c>
      <c r="AD34" s="2">
        <f t="shared" si="18"/>
        <v>547.0816936691466</v>
      </c>
      <c r="AE34" s="2">
        <f t="shared" si="19"/>
        <v>1197.1935181916078</v>
      </c>
      <c r="AF34" s="13">
        <f t="shared" si="35"/>
        <v>125.75205380100374</v>
      </c>
      <c r="AG34" s="15">
        <f t="shared" si="36"/>
        <v>1.6297466172610082</v>
      </c>
      <c r="AH34" s="14">
        <f t="shared" si="37"/>
        <v>1.3037972938088067</v>
      </c>
      <c r="AI34" s="14">
        <f t="shared" si="38"/>
        <v>0.81487330863050433</v>
      </c>
      <c r="AJ34" s="14">
        <f t="shared" si="39"/>
        <v>0.81487330863050433</v>
      </c>
      <c r="AK34" s="14">
        <f t="shared" si="40"/>
        <v>0.81487330863050433</v>
      </c>
      <c r="AL34" s="11" t="str">
        <f t="shared" si="41"/>
        <v>1D6+2</v>
      </c>
      <c r="AM34" s="11" t="str">
        <f t="shared" si="42"/>
        <v>1D6+1</v>
      </c>
      <c r="AN34">
        <f t="shared" si="43"/>
        <v>2.5</v>
      </c>
      <c r="AO34">
        <f t="shared" si="44"/>
        <v>24.4</v>
      </c>
      <c r="AP34">
        <f t="shared" si="45"/>
        <v>24.4</v>
      </c>
      <c r="AQ34">
        <f t="shared" si="46"/>
        <v>24.4</v>
      </c>
      <c r="AR34" s="9">
        <f t="shared" si="47"/>
        <v>0</v>
      </c>
      <c r="AS34" s="9">
        <f t="shared" si="48"/>
        <v>-2</v>
      </c>
      <c r="AT34" s="9">
        <f t="shared" si="49"/>
        <v>-2</v>
      </c>
      <c r="AU34" s="9">
        <f t="shared" si="50"/>
        <v>-2</v>
      </c>
      <c r="AV34" s="16" t="str">
        <f t="shared" si="51"/>
        <v>-</v>
      </c>
      <c r="AW34" s="16" t="str">
        <f t="shared" si="53"/>
        <v>-</v>
      </c>
      <c r="AX34" s="16" t="str">
        <f t="shared" si="54"/>
        <v>-</v>
      </c>
      <c r="AY34" s="16" t="str">
        <f t="shared" si="55"/>
        <v>-</v>
      </c>
    </row>
    <row r="35" spans="1:51">
      <c r="A35" t="s">
        <v>124</v>
      </c>
      <c r="B35">
        <v>2</v>
      </c>
      <c r="C35">
        <v>5.7</v>
      </c>
      <c r="D35">
        <v>0.25</v>
      </c>
      <c r="E35">
        <v>1.2250000000000001</v>
      </c>
      <c r="F35">
        <f t="shared" si="21"/>
        <v>2.5517586328783095E-5</v>
      </c>
      <c r="G35" s="1">
        <f t="shared" si="22"/>
        <v>3.9073804065949114E-6</v>
      </c>
      <c r="H35" s="1">
        <v>1</v>
      </c>
      <c r="I35">
        <v>10</v>
      </c>
      <c r="J35">
        <v>715</v>
      </c>
      <c r="K35" s="2">
        <f t="shared" si="12"/>
        <v>511.22500000000002</v>
      </c>
      <c r="L35" s="2">
        <f t="shared" si="23"/>
        <v>57.108222925412136</v>
      </c>
      <c r="M35" s="2">
        <f t="shared" si="24"/>
        <v>177.39434312309223</v>
      </c>
      <c r="N35" s="2">
        <f t="shared" si="25"/>
        <v>297.2927819393862</v>
      </c>
      <c r="O35" s="2">
        <f t="shared" si="26"/>
        <v>380.478401247644</v>
      </c>
      <c r="P35" s="2">
        <f t="shared" si="27"/>
        <v>1178.5825045893778</v>
      </c>
      <c r="Q35" s="2">
        <f t="shared" si="28"/>
        <v>3.129135401049</v>
      </c>
      <c r="R35" s="2">
        <f t="shared" si="29"/>
        <v>30.193042782488018</v>
      </c>
      <c r="S35" s="2">
        <f t="shared" si="30"/>
        <v>84.800099850675323</v>
      </c>
      <c r="T35" s="2">
        <f t="shared" si="31"/>
        <v>138.89539501890883</v>
      </c>
      <c r="U35" s="2">
        <f t="shared" si="32"/>
        <v>1332.7531117719011</v>
      </c>
      <c r="V35" s="2">
        <f t="shared" si="33"/>
        <v>32.283937482592918</v>
      </c>
      <c r="W35" s="2">
        <f t="shared" si="14"/>
        <v>45.656380566434535</v>
      </c>
      <c r="X35" s="2">
        <f t="shared" si="34"/>
        <v>91.31274974132171</v>
      </c>
      <c r="Y35" s="2">
        <f t="shared" si="15"/>
        <v>228.28178891669904</v>
      </c>
      <c r="Z35">
        <v>4.8</v>
      </c>
      <c r="AA35" s="2">
        <f t="shared" si="16"/>
        <v>595.13617739115784</v>
      </c>
      <c r="AB35" s="2">
        <f t="shared" si="17"/>
        <v>354.18706963975973</v>
      </c>
      <c r="AC35">
        <v>16</v>
      </c>
      <c r="AD35" s="2">
        <f t="shared" si="18"/>
        <v>966.10811068702969</v>
      </c>
      <c r="AE35" s="2">
        <f t="shared" si="19"/>
        <v>933.36488153526204</v>
      </c>
      <c r="AF35" s="13">
        <f t="shared" si="35"/>
        <v>78.37731885104111</v>
      </c>
      <c r="AG35" s="15">
        <f t="shared" si="36"/>
        <v>4.0068444829623493</v>
      </c>
      <c r="AH35" s="14">
        <f t="shared" si="37"/>
        <v>3.2054755863698796</v>
      </c>
      <c r="AI35" s="14">
        <f t="shared" si="38"/>
        <v>2.0034222414811742</v>
      </c>
      <c r="AJ35" s="14">
        <f t="shared" si="39"/>
        <v>1.2540371016166578</v>
      </c>
      <c r="AK35" s="14">
        <f t="shared" si="40"/>
        <v>0.90604180591803529</v>
      </c>
      <c r="AL35" s="11" t="str">
        <f t="shared" si="41"/>
        <v>1D6+2</v>
      </c>
      <c r="AM35" s="11" t="str">
        <f t="shared" si="42"/>
        <v>1D6</v>
      </c>
      <c r="AN35">
        <f t="shared" si="43"/>
        <v>0.6</v>
      </c>
      <c r="AO35">
        <f t="shared" si="44"/>
        <v>6.2</v>
      </c>
      <c r="AP35">
        <f t="shared" si="45"/>
        <v>17.3</v>
      </c>
      <c r="AQ35">
        <f t="shared" si="46"/>
        <v>28.3</v>
      </c>
      <c r="AR35" s="9">
        <f t="shared" si="47"/>
        <v>0</v>
      </c>
      <c r="AS35" s="9">
        <f t="shared" si="48"/>
        <v>-1</v>
      </c>
      <c r="AT35" s="9">
        <f t="shared" si="49"/>
        <v>-2</v>
      </c>
      <c r="AU35" s="9">
        <f t="shared" si="50"/>
        <v>-2</v>
      </c>
      <c r="AV35" s="16" t="str">
        <f t="shared" si="51"/>
        <v>-</v>
      </c>
      <c r="AW35" s="16" t="str">
        <f t="shared" si="53"/>
        <v>-</v>
      </c>
      <c r="AX35" s="16" t="str">
        <f t="shared" si="54"/>
        <v>-</v>
      </c>
      <c r="AY35" s="16" t="str">
        <f t="shared" si="55"/>
        <v>-</v>
      </c>
    </row>
    <row r="36" spans="1:51">
      <c r="A36" t="s">
        <v>128</v>
      </c>
      <c r="B36">
        <v>4.0999999999999996</v>
      </c>
      <c r="C36">
        <v>5.8</v>
      </c>
      <c r="D36">
        <v>0.25</v>
      </c>
      <c r="E36">
        <v>1.2250000000000001</v>
      </c>
      <c r="F36">
        <f t="shared" si="21"/>
        <v>2.642079421669016E-5</v>
      </c>
      <c r="G36" s="1">
        <f t="shared" si="22"/>
        <v>4.0456841144306814E-6</v>
      </c>
      <c r="H36" s="1">
        <v>1</v>
      </c>
      <c r="I36">
        <v>18</v>
      </c>
      <c r="J36">
        <v>930</v>
      </c>
      <c r="K36" s="2">
        <f t="shared" ref="K36:K56" si="96">0.5 * (B36/1000) * (J36^2)</f>
        <v>1773.0449999999998</v>
      </c>
      <c r="L36" s="2">
        <f t="shared" si="23"/>
        <v>113.06969779535112</v>
      </c>
      <c r="M36" s="2">
        <f t="shared" si="24"/>
        <v>351.22656143109373</v>
      </c>
      <c r="N36" s="2">
        <f t="shared" si="25"/>
        <v>855.04751785298595</v>
      </c>
      <c r="O36" s="2">
        <f t="shared" si="26"/>
        <v>1019.7483674729876</v>
      </c>
      <c r="P36" s="2">
        <f t="shared" si="27"/>
        <v>2333.498764177265</v>
      </c>
      <c r="Q36" s="2">
        <f t="shared" si="28"/>
        <v>7.250463842022743</v>
      </c>
      <c r="R36" s="2">
        <f t="shared" si="29"/>
        <v>69.959787550371942</v>
      </c>
      <c r="S36" s="2">
        <f t="shared" si="30"/>
        <v>414.62475816191767</v>
      </c>
      <c r="T36" s="2">
        <f t="shared" si="31"/>
        <v>589.74066970386241</v>
      </c>
      <c r="U36" s="2">
        <f t="shared" si="32"/>
        <v>3088.109373807853</v>
      </c>
      <c r="V36" s="2">
        <f t="shared" si="33"/>
        <v>41.991694776314944</v>
      </c>
      <c r="W36" s="2">
        <f t="shared" ref="W36:W56" si="97">J36 * SQRT(0.04 / 9.81) * (1 - (G36 * SQRT(0.04 / 9.81) / 2))</f>
        <v>59.385222012995321</v>
      </c>
      <c r="X36" s="2">
        <f t="shared" si="34"/>
        <v>118.77042868455854</v>
      </c>
      <c r="Y36" s="2">
        <f t="shared" si="15"/>
        <v>296.92595665065545</v>
      </c>
      <c r="Z36">
        <v>12</v>
      </c>
      <c r="AA36" s="2">
        <f t="shared" ref="AA36:AA56" si="98">J36 * POWER(Z36/I36,0.25)</f>
        <v>840.34986335715564</v>
      </c>
      <c r="AB36" s="2">
        <f t="shared" ref="AB36:AB56" si="99">0.5 * (B36/1000) * (AA36^2)</f>
        <v>1447.6851803309996</v>
      </c>
      <c r="AC36">
        <v>22</v>
      </c>
      <c r="AD36" s="2">
        <f t="shared" ref="AD36:AD56" si="100">J36 * POWER(AC36/Z36,0.25)</f>
        <v>1082.1645605120664</v>
      </c>
      <c r="AE36" s="2">
        <f t="shared" ref="AE36:AE56" si="101">0.5 * (B36/1000) * (AD36^2)</f>
        <v>2400.7142788579608</v>
      </c>
      <c r="AF36" s="13">
        <f t="shared" si="35"/>
        <v>155.18080063656859</v>
      </c>
      <c r="AG36" s="15">
        <f t="shared" si="36"/>
        <v>13.421587447056817</v>
      </c>
      <c r="AH36" s="14">
        <f t="shared" si="37"/>
        <v>10.737269957645454</v>
      </c>
      <c r="AI36" s="14">
        <f t="shared" si="38"/>
        <v>6.7107937235284085</v>
      </c>
      <c r="AJ36" s="14">
        <f t="shared" si="39"/>
        <v>2.4828928101850987</v>
      </c>
      <c r="AK36" s="14">
        <f t="shared" si="40"/>
        <v>1.7938900553587334</v>
      </c>
      <c r="AL36" s="11" t="str">
        <f t="shared" si="41"/>
        <v>3D6+1</v>
      </c>
      <c r="AM36" s="11" t="str">
        <f t="shared" si="42"/>
        <v>2D6+1</v>
      </c>
      <c r="AN36">
        <f t="shared" si="43"/>
        <v>1.5</v>
      </c>
      <c r="AO36">
        <f t="shared" si="44"/>
        <v>14.3</v>
      </c>
      <c r="AP36">
        <f t="shared" si="45"/>
        <v>84.5</v>
      </c>
      <c r="AQ36">
        <f t="shared" si="46"/>
        <v>120.2</v>
      </c>
      <c r="AR36" s="9">
        <f t="shared" si="47"/>
        <v>0</v>
      </c>
      <c r="AS36" s="9">
        <f t="shared" si="48"/>
        <v>-1</v>
      </c>
      <c r="AT36" s="9">
        <f t="shared" si="49"/>
        <v>-8</v>
      </c>
      <c r="AU36" s="9">
        <f t="shared" si="50"/>
        <v>-12</v>
      </c>
      <c r="AV36" s="16" t="str">
        <f t="shared" si="51"/>
        <v>1D6+2</v>
      </c>
      <c r="AW36" s="16" t="str">
        <f t="shared" si="53"/>
        <v>2D6</v>
      </c>
      <c r="AX36" s="16" t="str">
        <f t="shared" si="54"/>
        <v>-</v>
      </c>
      <c r="AY36" s="16" t="str">
        <f t="shared" si="55"/>
        <v>-</v>
      </c>
    </row>
    <row r="37" spans="1:51">
      <c r="A37" t="s">
        <v>131</v>
      </c>
      <c r="B37">
        <v>42</v>
      </c>
      <c r="C37">
        <v>12.7</v>
      </c>
      <c r="D37">
        <v>0.35</v>
      </c>
      <c r="E37">
        <v>1.2250000000000001</v>
      </c>
      <c r="F37">
        <f t="shared" si="21"/>
        <v>1.2667686977437442E-4</v>
      </c>
      <c r="G37" s="1">
        <f t="shared" si="22"/>
        <v>2.7156353957881518E-5</v>
      </c>
      <c r="H37" s="1">
        <v>1</v>
      </c>
      <c r="I37">
        <v>30</v>
      </c>
      <c r="J37">
        <v>900</v>
      </c>
      <c r="K37" s="2">
        <f t="shared" si="96"/>
        <v>17010</v>
      </c>
      <c r="L37" s="2">
        <f t="shared" si="23"/>
        <v>172.55683825841407</v>
      </c>
      <c r="M37" s="2">
        <f t="shared" si="24"/>
        <v>536.0104973714366</v>
      </c>
      <c r="N37" s="2">
        <f t="shared" si="25"/>
        <v>1254.184163820745</v>
      </c>
      <c r="O37" s="2">
        <f t="shared" si="26"/>
        <v>1505.5358382573463</v>
      </c>
      <c r="P37" s="2">
        <f t="shared" si="27"/>
        <v>3561.1766607454479</v>
      </c>
      <c r="Q37" s="2">
        <f t="shared" si="28"/>
        <v>18.031032797534575</v>
      </c>
      <c r="R37" s="2">
        <f t="shared" si="29"/>
        <v>173.98331727896331</v>
      </c>
      <c r="S37" s="2">
        <f t="shared" si="30"/>
        <v>952.5615641084313</v>
      </c>
      <c r="T37" s="2">
        <f t="shared" si="31"/>
        <v>1372.6376853544471</v>
      </c>
      <c r="U37" s="2">
        <f t="shared" si="32"/>
        <v>7680.4682401143054</v>
      </c>
      <c r="V37" s="2">
        <f t="shared" si="33"/>
        <v>40.637102774629575</v>
      </c>
      <c r="W37" s="2">
        <f t="shared" si="97"/>
        <v>57.469527285096675</v>
      </c>
      <c r="X37" s="2">
        <f t="shared" si="34"/>
        <v>114.93895491384855</v>
      </c>
      <c r="Y37" s="2">
        <f t="shared" si="15"/>
        <v>287.34663986203543</v>
      </c>
      <c r="Z37">
        <v>20</v>
      </c>
      <c r="AA37" s="2">
        <f t="shared" si="98"/>
        <v>813.24180324886026</v>
      </c>
      <c r="AB37" s="2">
        <f t="shared" si="99"/>
        <v>13888.606841580618</v>
      </c>
      <c r="AC37">
        <v>36</v>
      </c>
      <c r="AD37" s="2">
        <f t="shared" si="100"/>
        <v>1042.4629667594422</v>
      </c>
      <c r="AE37" s="2">
        <f t="shared" si="101"/>
        <v>22821.309778362855</v>
      </c>
      <c r="AF37" s="13">
        <f t="shared" si="35"/>
        <v>331.55224055351755</v>
      </c>
      <c r="AG37" s="15">
        <f t="shared" si="36"/>
        <v>26.855731484834923</v>
      </c>
      <c r="AH37" s="14">
        <f t="shared" si="37"/>
        <v>21.484585187867939</v>
      </c>
      <c r="AI37" s="14">
        <f t="shared" si="38"/>
        <v>13.427865742417458</v>
      </c>
      <c r="AJ37" s="14">
        <f t="shared" si="39"/>
        <v>5.304835848856281</v>
      </c>
      <c r="AK37" s="14">
        <f t="shared" si="40"/>
        <v>3.8327439007986626</v>
      </c>
      <c r="AL37" s="11" t="str">
        <f t="shared" si="41"/>
        <v>10D6+2</v>
      </c>
      <c r="AM37" s="11" t="str">
        <f t="shared" si="42"/>
        <v>7D6+2</v>
      </c>
      <c r="AN37">
        <f t="shared" si="43"/>
        <v>3.7</v>
      </c>
      <c r="AO37">
        <f t="shared" si="44"/>
        <v>35.5</v>
      </c>
      <c r="AP37">
        <f t="shared" si="45"/>
        <v>194.2</v>
      </c>
      <c r="AQ37">
        <f t="shared" si="46"/>
        <v>279.8</v>
      </c>
      <c r="AR37" s="9">
        <f t="shared" si="47"/>
        <v>0</v>
      </c>
      <c r="AS37" s="9">
        <f t="shared" si="48"/>
        <v>-4</v>
      </c>
      <c r="AT37" s="9">
        <f t="shared" si="49"/>
        <v>-12</v>
      </c>
      <c r="AU37" s="9">
        <f t="shared" si="50"/>
        <v>-12</v>
      </c>
      <c r="AV37" s="16" t="str">
        <f t="shared" si="51"/>
        <v>2D6+2</v>
      </c>
      <c r="AW37" s="16" t="str">
        <f t="shared" si="53"/>
        <v>3D6+1</v>
      </c>
      <c r="AX37" s="16" t="str">
        <f t="shared" si="54"/>
        <v>5D6+1</v>
      </c>
      <c r="AY37" s="16" t="str">
        <f t="shared" si="55"/>
        <v>-</v>
      </c>
    </row>
    <row r="38" spans="1:51">
      <c r="A38" t="s">
        <v>135</v>
      </c>
      <c r="B38">
        <v>64</v>
      </c>
      <c r="C38">
        <v>14.5</v>
      </c>
      <c r="D38">
        <v>0.32</v>
      </c>
      <c r="E38">
        <v>1.2250000000000001</v>
      </c>
      <c r="F38">
        <f t="shared" si="21"/>
        <v>1.651299638543135E-4</v>
      </c>
      <c r="G38" s="1">
        <f t="shared" si="22"/>
        <v>3.2365472915445444E-5</v>
      </c>
      <c r="H38" s="1">
        <v>1</v>
      </c>
      <c r="I38">
        <v>40</v>
      </c>
      <c r="J38">
        <v>1000</v>
      </c>
      <c r="K38" s="2">
        <f t="shared" si="96"/>
        <v>32000</v>
      </c>
      <c r="L38" s="2">
        <f t="shared" si="23"/>
        <v>220.62380057629494</v>
      </c>
      <c r="M38" s="2">
        <f t="shared" si="24"/>
        <v>685.32011986554892</v>
      </c>
      <c r="N38" s="2">
        <f t="shared" si="25"/>
        <v>1811.8878408836877</v>
      </c>
      <c r="O38" s="2">
        <f t="shared" si="26"/>
        <v>2133.2553523373494</v>
      </c>
      <c r="P38" s="2">
        <f t="shared" si="27"/>
        <v>4553.1683203458842</v>
      </c>
      <c r="Q38" s="2">
        <f t="shared" si="28"/>
        <v>23.875189989972966</v>
      </c>
      <c r="R38" s="2">
        <f t="shared" si="29"/>
        <v>230.37513836843516</v>
      </c>
      <c r="S38" s="2">
        <f t="shared" si="30"/>
        <v>1610.3753024868518</v>
      </c>
      <c r="T38" s="2">
        <f t="shared" si="31"/>
        <v>2232.3109289642002</v>
      </c>
      <c r="U38" s="2">
        <f t="shared" si="32"/>
        <v>10170.221814100834</v>
      </c>
      <c r="V38" s="2">
        <f t="shared" si="33"/>
        <v>45.152331106245953</v>
      </c>
      <c r="W38" s="2">
        <f t="shared" si="97"/>
        <v>63.855019696755825</v>
      </c>
      <c r="X38" s="2">
        <f t="shared" si="34"/>
        <v>127.70990742420314</v>
      </c>
      <c r="Y38" s="2">
        <f t="shared" si="15"/>
        <v>319.27377879069394</v>
      </c>
      <c r="Z38">
        <v>30</v>
      </c>
      <c r="AA38" s="2">
        <f t="shared" si="98"/>
        <v>930.60485910209957</v>
      </c>
      <c r="AB38" s="2">
        <f t="shared" si="99"/>
        <v>27712.812921102035</v>
      </c>
      <c r="AC38">
        <v>48</v>
      </c>
      <c r="AD38" s="2">
        <f t="shared" si="100"/>
        <v>1124.6826503806981</v>
      </c>
      <c r="AE38" s="2">
        <f t="shared" si="101"/>
        <v>40477.154050155252</v>
      </c>
      <c r="AF38" s="13">
        <f t="shared" si="35"/>
        <v>387.57351183377125</v>
      </c>
      <c r="AG38" s="15">
        <f t="shared" si="36"/>
        <v>38.757351183377125</v>
      </c>
      <c r="AH38" s="14">
        <f t="shared" si="37"/>
        <v>31.005880946701701</v>
      </c>
      <c r="AI38" s="14">
        <f t="shared" si="38"/>
        <v>19.378675591688566</v>
      </c>
      <c r="AJ38" s="14">
        <f t="shared" si="39"/>
        <v>6.2011761893403428</v>
      </c>
      <c r="AK38" s="14">
        <f t="shared" si="40"/>
        <v>4.4803497967983965</v>
      </c>
      <c r="AL38" s="11" t="str">
        <f t="shared" si="41"/>
        <v>14D6+2</v>
      </c>
      <c r="AM38" s="11" t="str">
        <f t="shared" si="42"/>
        <v>10D6+1</v>
      </c>
      <c r="AN38">
        <f t="shared" si="43"/>
        <v>4.9000000000000004</v>
      </c>
      <c r="AO38">
        <f t="shared" si="44"/>
        <v>47</v>
      </c>
      <c r="AP38">
        <f t="shared" si="45"/>
        <v>328.3</v>
      </c>
      <c r="AQ38">
        <f t="shared" si="46"/>
        <v>455.1</v>
      </c>
      <c r="AR38" s="9">
        <f t="shared" si="47"/>
        <v>0</v>
      </c>
      <c r="AS38" s="9">
        <f t="shared" si="48"/>
        <v>-4</v>
      </c>
      <c r="AT38" s="9">
        <f t="shared" si="49"/>
        <v>-12</v>
      </c>
      <c r="AU38" s="9">
        <f t="shared" si="50"/>
        <v>-12</v>
      </c>
      <c r="AV38" s="16" t="str">
        <f t="shared" si="51"/>
        <v>2D6+2</v>
      </c>
      <c r="AW38" s="16" t="str">
        <f t="shared" si="53"/>
        <v>3D6+1</v>
      </c>
      <c r="AX38" s="16" t="str">
        <f t="shared" si="54"/>
        <v>5D6+1</v>
      </c>
      <c r="AY38" s="16" t="str">
        <f t="shared" si="55"/>
        <v>-</v>
      </c>
    </row>
    <row r="39" spans="1:51">
      <c r="A39" t="s">
        <v>139</v>
      </c>
      <c r="B39">
        <v>14.5</v>
      </c>
      <c r="C39">
        <v>7.92</v>
      </c>
      <c r="D39">
        <v>0.28000000000000003</v>
      </c>
      <c r="E39">
        <v>1.2250000000000001</v>
      </c>
      <c r="F39">
        <f t="shared" si="21"/>
        <v>4.9265199356533699E-5</v>
      </c>
      <c r="G39" s="1">
        <f t="shared" si="22"/>
        <v>8.4489816896455313E-6</v>
      </c>
      <c r="H39" s="1">
        <v>1</v>
      </c>
      <c r="I39">
        <v>35</v>
      </c>
      <c r="J39">
        <v>1100</v>
      </c>
      <c r="K39" s="2">
        <f t="shared" si="96"/>
        <v>8772.5</v>
      </c>
      <c r="L39" s="2">
        <f t="shared" si="23"/>
        <v>191.47760126059561</v>
      </c>
      <c r="M39" s="2">
        <f t="shared" si="24"/>
        <v>594.78375544573294</v>
      </c>
      <c r="N39" s="2">
        <f t="shared" si="25"/>
        <v>1736.0924378986729</v>
      </c>
      <c r="O39" s="2">
        <f t="shared" si="26"/>
        <v>2015.0046860582024</v>
      </c>
      <c r="P39" s="2">
        <f t="shared" si="27"/>
        <v>3951.6577351955898</v>
      </c>
      <c r="Q39" s="2">
        <f t="shared" si="28"/>
        <v>14.862444181033371</v>
      </c>
      <c r="R39" s="2">
        <f t="shared" si="29"/>
        <v>143.40814653649156</v>
      </c>
      <c r="S39" s="2">
        <f t="shared" si="30"/>
        <v>1221.8140738497668</v>
      </c>
      <c r="T39" s="2">
        <f t="shared" si="31"/>
        <v>1645.9342554974448</v>
      </c>
      <c r="U39" s="2">
        <f t="shared" si="32"/>
        <v>6330.3171288141866</v>
      </c>
      <c r="V39" s="2">
        <f t="shared" si="33"/>
        <v>49.667591034546746</v>
      </c>
      <c r="W39" s="2">
        <f t="shared" si="97"/>
        <v>70.240575301783807</v>
      </c>
      <c r="X39" s="2">
        <f t="shared" si="34"/>
        <v>140.48111270803301</v>
      </c>
      <c r="Y39" s="2">
        <f t="shared" si="15"/>
        <v>351.2024975535731</v>
      </c>
      <c r="Z39">
        <v>24</v>
      </c>
      <c r="AA39" s="2">
        <f t="shared" si="98"/>
        <v>1000.9871088905683</v>
      </c>
      <c r="AB39" s="2">
        <f t="shared" si="99"/>
        <v>7264.3201431969637</v>
      </c>
      <c r="AC39">
        <v>40</v>
      </c>
      <c r="AD39" s="2">
        <f t="shared" si="100"/>
        <v>1249.8413031142493</v>
      </c>
      <c r="AE39" s="2">
        <f t="shared" si="101"/>
        <v>11325.248801534855</v>
      </c>
      <c r="AF39" s="13">
        <f t="shared" si="35"/>
        <v>294.3254100133255</v>
      </c>
      <c r="AG39" s="15">
        <f t="shared" si="36"/>
        <v>35.613374611612386</v>
      </c>
      <c r="AH39" s="14">
        <f t="shared" si="37"/>
        <v>28.490699689289904</v>
      </c>
      <c r="AI39" s="14">
        <f t="shared" si="38"/>
        <v>17.806687305806193</v>
      </c>
      <c r="AJ39" s="14">
        <f t="shared" si="39"/>
        <v>4.7092065602132074</v>
      </c>
      <c r="AK39" s="14">
        <f t="shared" si="40"/>
        <v>3.4024017397540427</v>
      </c>
      <c r="AL39" s="11" t="str">
        <f t="shared" si="41"/>
        <v>7D6+2</v>
      </c>
      <c r="AM39" s="11" t="str">
        <f t="shared" si="42"/>
        <v>5D6+1</v>
      </c>
      <c r="AN39">
        <f t="shared" si="43"/>
        <v>3</v>
      </c>
      <c r="AO39">
        <f t="shared" si="44"/>
        <v>29.2</v>
      </c>
      <c r="AP39">
        <f t="shared" si="45"/>
        <v>249.1</v>
      </c>
      <c r="AQ39">
        <f t="shared" si="46"/>
        <v>335.6</v>
      </c>
      <c r="AR39" s="9">
        <f t="shared" si="47"/>
        <v>0</v>
      </c>
      <c r="AS39" s="9">
        <f t="shared" si="48"/>
        <v>-2</v>
      </c>
      <c r="AT39" s="9">
        <f t="shared" si="49"/>
        <v>-12</v>
      </c>
      <c r="AU39" s="9">
        <f t="shared" si="50"/>
        <v>-12</v>
      </c>
      <c r="AV39" s="16" t="str">
        <f t="shared" si="51"/>
        <v>1D6+1</v>
      </c>
      <c r="AW39" s="16" t="str">
        <f t="shared" si="53"/>
        <v>1D6+2</v>
      </c>
      <c r="AX39" s="16" t="str">
        <f t="shared" si="54"/>
        <v>3D6</v>
      </c>
      <c r="AY39" s="16" t="str">
        <f t="shared" si="55"/>
        <v>-</v>
      </c>
    </row>
    <row r="40" spans="1:51">
      <c r="A40" t="s">
        <v>141</v>
      </c>
      <c r="B40">
        <v>14.5</v>
      </c>
      <c r="C40">
        <v>7.92</v>
      </c>
      <c r="D40">
        <v>0.28000000000000003</v>
      </c>
      <c r="E40">
        <v>1.2250000000000001</v>
      </c>
      <c r="F40">
        <f t="shared" si="21"/>
        <v>4.9265199356533699E-5</v>
      </c>
      <c r="G40" s="1">
        <f t="shared" si="22"/>
        <v>8.4489816896455313E-6</v>
      </c>
      <c r="H40" s="1">
        <v>1</v>
      </c>
      <c r="I40">
        <v>35</v>
      </c>
      <c r="J40">
        <v>1200</v>
      </c>
      <c r="K40" s="2">
        <f t="shared" si="96"/>
        <v>10440</v>
      </c>
      <c r="L40" s="2">
        <f t="shared" si="23"/>
        <v>191.47760126059561</v>
      </c>
      <c r="M40" s="2">
        <f t="shared" si="24"/>
        <v>594.78375544573294</v>
      </c>
      <c r="N40" s="2">
        <f t="shared" si="25"/>
        <v>1885.4198968391793</v>
      </c>
      <c r="O40" s="2">
        <f t="shared" si="26"/>
        <v>2164.3321449987088</v>
      </c>
      <c r="P40" s="2">
        <f t="shared" si="27"/>
        <v>3951.6577351955898</v>
      </c>
      <c r="Q40" s="2">
        <f t="shared" si="28"/>
        <v>12.488580038184624</v>
      </c>
      <c r="R40" s="2">
        <f t="shared" si="29"/>
        <v>120.50263281074808</v>
      </c>
      <c r="S40" s="2">
        <f t="shared" si="30"/>
        <v>1210.8726129897975</v>
      </c>
      <c r="T40" s="2">
        <f t="shared" si="31"/>
        <v>1595.6254591539794</v>
      </c>
      <c r="U40" s="2">
        <f t="shared" si="32"/>
        <v>5319.2113552429255</v>
      </c>
      <c r="V40" s="2">
        <f t="shared" si="33"/>
        <v>54.18282658314191</v>
      </c>
      <c r="W40" s="2">
        <f t="shared" si="97"/>
        <v>76.62608214740051</v>
      </c>
      <c r="X40" s="2">
        <f t="shared" si="34"/>
        <v>153.25212295421781</v>
      </c>
      <c r="Y40" s="2">
        <f t="shared" si="15"/>
        <v>383.12999733117073</v>
      </c>
      <c r="Z40">
        <v>24</v>
      </c>
      <c r="AA40" s="2">
        <f t="shared" si="98"/>
        <v>1091.9859369715289</v>
      </c>
      <c r="AB40" s="2">
        <f t="shared" si="99"/>
        <v>8645.1413274410133</v>
      </c>
      <c r="AC40">
        <v>40</v>
      </c>
      <c r="AD40" s="2">
        <f t="shared" si="100"/>
        <v>1363.4632397609992</v>
      </c>
      <c r="AE40" s="2">
        <f t="shared" si="101"/>
        <v>13477.982044801811</v>
      </c>
      <c r="AF40" s="13">
        <f t="shared" si="35"/>
        <v>294.3254100133255</v>
      </c>
      <c r="AG40" s="15">
        <f t="shared" si="36"/>
        <v>42.38285904191887</v>
      </c>
      <c r="AH40" s="14">
        <f t="shared" si="37"/>
        <v>33.906287233535096</v>
      </c>
      <c r="AI40" s="14">
        <f t="shared" si="38"/>
        <v>21.191429520959435</v>
      </c>
      <c r="AJ40" s="14">
        <f t="shared" si="39"/>
        <v>4.7092065602132065</v>
      </c>
      <c r="AK40" s="14">
        <f t="shared" si="40"/>
        <v>3.4024017397540423</v>
      </c>
      <c r="AL40" s="11" t="str">
        <f t="shared" si="41"/>
        <v>8D6+1</v>
      </c>
      <c r="AM40" s="11" t="str">
        <f t="shared" si="42"/>
        <v>6D6</v>
      </c>
      <c r="AN40">
        <f t="shared" si="43"/>
        <v>2.5</v>
      </c>
      <c r="AO40">
        <f t="shared" si="44"/>
        <v>24.6</v>
      </c>
      <c r="AP40">
        <f t="shared" si="45"/>
        <v>246.9</v>
      </c>
      <c r="AQ40">
        <f t="shared" si="46"/>
        <v>325.3</v>
      </c>
      <c r="AR40" s="9">
        <f t="shared" si="47"/>
        <v>0</v>
      </c>
      <c r="AS40" s="9">
        <f t="shared" si="48"/>
        <v>-2</v>
      </c>
      <c r="AT40" s="9">
        <f t="shared" si="49"/>
        <v>-12</v>
      </c>
      <c r="AU40" s="9">
        <f t="shared" si="50"/>
        <v>-12</v>
      </c>
      <c r="AV40" s="16" t="str">
        <f t="shared" si="51"/>
        <v>1D6+1</v>
      </c>
      <c r="AW40" s="16" t="str">
        <f t="shared" si="53"/>
        <v>1D6+2</v>
      </c>
      <c r="AX40" s="16" t="str">
        <f t="shared" si="54"/>
        <v>2D6+2</v>
      </c>
      <c r="AY40" s="16" t="str">
        <f t="shared" si="55"/>
        <v>-</v>
      </c>
    </row>
    <row r="41" spans="1:51">
      <c r="A41" t="s">
        <v>143</v>
      </c>
      <c r="B41">
        <v>48</v>
      </c>
      <c r="C41">
        <v>12.7</v>
      </c>
      <c r="D41">
        <v>0.35</v>
      </c>
      <c r="E41">
        <v>1.2250000000000001</v>
      </c>
      <c r="F41">
        <f t="shared" si="21"/>
        <v>1.2667686977437442E-4</v>
      </c>
      <c r="G41" s="1">
        <f t="shared" si="22"/>
        <v>2.7156353957881518E-5</v>
      </c>
      <c r="H41" s="1">
        <v>1</v>
      </c>
      <c r="I41">
        <v>31</v>
      </c>
      <c r="J41">
        <v>820</v>
      </c>
      <c r="K41" s="2">
        <f t="shared" si="96"/>
        <v>16137.6</v>
      </c>
      <c r="L41" s="2">
        <f t="shared" si="23"/>
        <v>197.20781515247324</v>
      </c>
      <c r="M41" s="2">
        <f t="shared" si="24"/>
        <v>612.58342556735602</v>
      </c>
      <c r="N41" s="2">
        <f t="shared" si="25"/>
        <v>1268.8120844446073</v>
      </c>
      <c r="O41" s="2">
        <f t="shared" si="26"/>
        <v>1556.0711409435803</v>
      </c>
      <c r="P41" s="2">
        <f t="shared" si="27"/>
        <v>4069.9161837090833</v>
      </c>
      <c r="Q41" s="2">
        <f t="shared" si="28"/>
        <v>28.370199290227347</v>
      </c>
      <c r="R41" s="2">
        <f t="shared" si="29"/>
        <v>273.74777743251434</v>
      </c>
      <c r="S41" s="2">
        <f t="shared" si="30"/>
        <v>1174.421974698648</v>
      </c>
      <c r="T41" s="2">
        <f t="shared" si="31"/>
        <v>1766.4143510892386</v>
      </c>
      <c r="U41" s="2">
        <f t="shared" si="32"/>
        <v>12084.836423921392</v>
      </c>
      <c r="V41" s="2">
        <f t="shared" si="33"/>
        <v>37.02491586132917</v>
      </c>
      <c r="W41" s="2">
        <f t="shared" si="97"/>
        <v>52.361124859754753</v>
      </c>
      <c r="X41" s="2">
        <f t="shared" si="34"/>
        <v>104.72215892150648</v>
      </c>
      <c r="Y41" s="2">
        <f t="shared" si="15"/>
        <v>261.80471631874343</v>
      </c>
      <c r="Z41">
        <v>20</v>
      </c>
      <c r="AA41" s="2">
        <f t="shared" si="98"/>
        <v>734.90453580995143</v>
      </c>
      <c r="AB41" s="2">
        <f t="shared" si="99"/>
        <v>12962.032242096964</v>
      </c>
      <c r="AC41">
        <v>36</v>
      </c>
      <c r="AD41" s="2">
        <f t="shared" si="100"/>
        <v>949.79959193638058</v>
      </c>
      <c r="AE41" s="2">
        <f t="shared" si="101"/>
        <v>21650.862356220365</v>
      </c>
      <c r="AF41" s="13">
        <f t="shared" si="35"/>
        <v>378.91684634687715</v>
      </c>
      <c r="AG41" s="15">
        <f t="shared" si="36"/>
        <v>25.478368748364019</v>
      </c>
      <c r="AH41" s="14">
        <f t="shared" si="37"/>
        <v>20.382694998691221</v>
      </c>
      <c r="AI41" s="14">
        <f t="shared" si="38"/>
        <v>12.73918437418201</v>
      </c>
      <c r="AJ41" s="14">
        <f t="shared" si="39"/>
        <v>6.0626695415500329</v>
      </c>
      <c r="AK41" s="14">
        <f t="shared" si="40"/>
        <v>4.3802787437698996</v>
      </c>
      <c r="AL41" s="11" t="str">
        <f t="shared" si="41"/>
        <v>10D6+1</v>
      </c>
      <c r="AM41" s="11" t="str">
        <f t="shared" si="42"/>
        <v>7D6+1</v>
      </c>
      <c r="AN41">
        <f t="shared" si="43"/>
        <v>5.8</v>
      </c>
      <c r="AO41">
        <f t="shared" si="44"/>
        <v>55.8</v>
      </c>
      <c r="AP41">
        <f t="shared" si="45"/>
        <v>239.4</v>
      </c>
      <c r="AQ41">
        <f t="shared" si="46"/>
        <v>360.1</v>
      </c>
      <c r="AR41" s="9">
        <f t="shared" si="47"/>
        <v>-1</v>
      </c>
      <c r="AS41" s="9">
        <f t="shared" si="48"/>
        <v>-4</v>
      </c>
      <c r="AT41" s="9">
        <f t="shared" si="49"/>
        <v>-12</v>
      </c>
      <c r="AU41" s="9">
        <f t="shared" si="50"/>
        <v>-12</v>
      </c>
      <c r="AV41" s="16" t="str">
        <f t="shared" si="51"/>
        <v>2D6+2</v>
      </c>
      <c r="AW41" s="16" t="str">
        <f t="shared" si="53"/>
        <v>3D6+1</v>
      </c>
      <c r="AX41" s="16" t="str">
        <f t="shared" si="54"/>
        <v>5D6+2</v>
      </c>
      <c r="AY41" s="16" t="str">
        <f t="shared" si="55"/>
        <v>-</v>
      </c>
    </row>
    <row r="42" spans="1:51">
      <c r="A42" t="s">
        <v>146</v>
      </c>
      <c r="B42">
        <v>52</v>
      </c>
      <c r="C42">
        <v>13</v>
      </c>
      <c r="D42">
        <v>0.35</v>
      </c>
      <c r="E42">
        <v>1.2250000000000001</v>
      </c>
      <c r="F42">
        <f t="shared" si="21"/>
        <v>1.3273228961416876E-4</v>
      </c>
      <c r="G42" s="1">
        <f t="shared" si="22"/>
        <v>2.845448458603743E-5</v>
      </c>
      <c r="H42" s="1">
        <v>1</v>
      </c>
      <c r="I42">
        <v>36</v>
      </c>
      <c r="J42">
        <v>780</v>
      </c>
      <c r="K42" s="2">
        <f t="shared" si="96"/>
        <v>15818.4</v>
      </c>
      <c r="L42" s="2">
        <f t="shared" si="23"/>
        <v>203.89518273039999</v>
      </c>
      <c r="M42" s="2">
        <f t="shared" si="24"/>
        <v>633.35628660101816</v>
      </c>
      <c r="N42" s="2">
        <f t="shared" si="25"/>
        <v>1220.4447867938059</v>
      </c>
      <c r="O42" s="2">
        <f t="shared" si="26"/>
        <v>1517.4448715548272</v>
      </c>
      <c r="P42" s="2">
        <f t="shared" si="27"/>
        <v>4207.9280850669102</v>
      </c>
      <c r="Q42" s="2">
        <f t="shared" si="28"/>
        <v>33.517141049060513</v>
      </c>
      <c r="R42" s="2">
        <f t="shared" si="29"/>
        <v>323.41191207536082</v>
      </c>
      <c r="S42" s="2">
        <f t="shared" si="30"/>
        <v>1200.8960474512055</v>
      </c>
      <c r="T42" s="2">
        <f t="shared" si="31"/>
        <v>1856.520256305354</v>
      </c>
      <c r="U42" s="2">
        <f t="shared" si="32"/>
        <v>14277.530398329438</v>
      </c>
      <c r="V42" s="2">
        <f t="shared" si="33"/>
        <v>35.218821372526172</v>
      </c>
      <c r="W42" s="2">
        <f t="shared" si="97"/>
        <v>49.806921582778209</v>
      </c>
      <c r="X42" s="2">
        <f t="shared" si="34"/>
        <v>99.613752668113079</v>
      </c>
      <c r="Y42" s="2">
        <f t="shared" si="15"/>
        <v>249.03370293945773</v>
      </c>
      <c r="Z42">
        <v>25</v>
      </c>
      <c r="AA42" s="2">
        <f t="shared" si="98"/>
        <v>712.03932475671593</v>
      </c>
      <c r="AB42" s="2">
        <f t="shared" si="99"/>
        <v>13182</v>
      </c>
      <c r="AC42">
        <v>42</v>
      </c>
      <c r="AD42" s="2">
        <f t="shared" si="100"/>
        <v>888.01831522906582</v>
      </c>
      <c r="AE42" s="2">
        <f t="shared" si="101"/>
        <v>20502.989732738981</v>
      </c>
      <c r="AF42" s="13">
        <f t="shared" si="35"/>
        <v>391.7660137646655</v>
      </c>
      <c r="AG42" s="15">
        <f t="shared" si="36"/>
        <v>23.835044277442247</v>
      </c>
      <c r="AH42" s="14">
        <f t="shared" si="37"/>
        <v>19.068035421953802</v>
      </c>
      <c r="AI42" s="14">
        <f t="shared" si="38"/>
        <v>11.917522138721123</v>
      </c>
      <c r="AJ42" s="14">
        <f t="shared" si="39"/>
        <v>6.2682562202346466</v>
      </c>
      <c r="AK42" s="14">
        <f t="shared" si="40"/>
        <v>4.5288151191195327</v>
      </c>
      <c r="AL42" s="11" t="str">
        <f t="shared" si="41"/>
        <v>10D6+1</v>
      </c>
      <c r="AM42" s="11" t="str">
        <f t="shared" si="42"/>
        <v>7D6+1</v>
      </c>
      <c r="AN42">
        <f t="shared" si="43"/>
        <v>6.8</v>
      </c>
      <c r="AO42">
        <f t="shared" si="44"/>
        <v>65.900000000000006</v>
      </c>
      <c r="AP42">
        <f t="shared" si="45"/>
        <v>244.8</v>
      </c>
      <c r="AQ42">
        <f t="shared" si="46"/>
        <v>378.5</v>
      </c>
      <c r="AR42" s="9">
        <f t="shared" si="47"/>
        <v>-1</v>
      </c>
      <c r="AS42" s="9">
        <f t="shared" si="48"/>
        <v>-8</v>
      </c>
      <c r="AT42" s="9">
        <f t="shared" si="49"/>
        <v>-12</v>
      </c>
      <c r="AU42" s="9">
        <f t="shared" si="50"/>
        <v>-12</v>
      </c>
      <c r="AV42" s="16" t="str">
        <f t="shared" si="51"/>
        <v>3D6</v>
      </c>
      <c r="AW42" s="16" t="str">
        <f t="shared" si="53"/>
        <v>3D6+2</v>
      </c>
      <c r="AX42" s="16" t="str">
        <f t="shared" si="54"/>
        <v>6D6</v>
      </c>
      <c r="AY42" s="16" t="str">
        <f t="shared" si="55"/>
        <v>-</v>
      </c>
    </row>
    <row r="43" spans="1:51">
      <c r="A43" t="s">
        <v>148</v>
      </c>
      <c r="B43">
        <v>60</v>
      </c>
      <c r="C43">
        <v>13.9</v>
      </c>
      <c r="D43">
        <v>0.35</v>
      </c>
      <c r="E43">
        <v>1.2250000000000001</v>
      </c>
      <c r="F43">
        <f t="shared" si="21"/>
        <v>1.5174677915002097E-4</v>
      </c>
      <c r="G43" s="1">
        <f t="shared" si="22"/>
        <v>3.2530715780285746E-5</v>
      </c>
      <c r="H43" s="1">
        <v>1</v>
      </c>
      <c r="I43">
        <v>36</v>
      </c>
      <c r="J43">
        <v>880</v>
      </c>
      <c r="K43" s="2">
        <f t="shared" si="96"/>
        <v>23232</v>
      </c>
      <c r="L43" s="2">
        <f t="shared" si="23"/>
        <v>205.78417593513797</v>
      </c>
      <c r="M43" s="2">
        <f t="shared" si="24"/>
        <v>639.22403543915209</v>
      </c>
      <c r="N43" s="2">
        <f t="shared" si="25"/>
        <v>1454.2391855553776</v>
      </c>
      <c r="O43" s="2">
        <f t="shared" si="26"/>
        <v>1753.9908367556218</v>
      </c>
      <c r="P43" s="2">
        <f t="shared" si="27"/>
        <v>4246.912564505189</v>
      </c>
      <c r="Q43" s="2">
        <f t="shared" si="28"/>
        <v>26.822603095184718</v>
      </c>
      <c r="R43" s="2">
        <f t="shared" si="29"/>
        <v>258.81540522693103</v>
      </c>
      <c r="S43" s="2">
        <f t="shared" si="30"/>
        <v>1339.5801405287007</v>
      </c>
      <c r="T43" s="2">
        <f t="shared" si="31"/>
        <v>1948.7515228945445</v>
      </c>
      <c r="U43" s="2">
        <f t="shared" si="32"/>
        <v>11425.849296617977</v>
      </c>
      <c r="V43" s="2">
        <f t="shared" si="33"/>
        <v>39.734051225266349</v>
      </c>
      <c r="W43" s="2">
        <f t="shared" si="97"/>
        <v>56.192417036684944</v>
      </c>
      <c r="X43" s="2">
        <f t="shared" si="34"/>
        <v>112.38471734745801</v>
      </c>
      <c r="Y43" s="2">
        <f t="shared" si="15"/>
        <v>280.96091792430605</v>
      </c>
      <c r="Z43">
        <v>25</v>
      </c>
      <c r="AA43" s="2">
        <f t="shared" si="98"/>
        <v>803.32641767424354</v>
      </c>
      <c r="AB43" s="2">
        <f t="shared" si="99"/>
        <v>19359.999999999993</v>
      </c>
      <c r="AC43">
        <v>42</v>
      </c>
      <c r="AD43" s="2">
        <f t="shared" si="100"/>
        <v>1001.8668171815102</v>
      </c>
      <c r="AE43" s="2">
        <f t="shared" si="101"/>
        <v>30112.113581082289</v>
      </c>
      <c r="AF43" s="13">
        <f t="shared" si="35"/>
        <v>395.39554207395969</v>
      </c>
      <c r="AG43" s="15">
        <f t="shared" si="36"/>
        <v>30.619430778207438</v>
      </c>
      <c r="AH43" s="14">
        <f t="shared" si="37"/>
        <v>24.495544622565955</v>
      </c>
      <c r="AI43" s="14">
        <f t="shared" si="38"/>
        <v>15.309715389103717</v>
      </c>
      <c r="AJ43" s="14">
        <f t="shared" si="39"/>
        <v>6.3263286731833537</v>
      </c>
      <c r="AK43" s="14">
        <f t="shared" si="40"/>
        <v>4.5707724663749723</v>
      </c>
      <c r="AL43" s="11" t="str">
        <f t="shared" si="41"/>
        <v>12D6+2</v>
      </c>
      <c r="AM43" s="11" t="str">
        <f t="shared" si="42"/>
        <v>8D6+2</v>
      </c>
      <c r="AN43">
        <f t="shared" si="43"/>
        <v>5.5</v>
      </c>
      <c r="AO43">
        <f t="shared" si="44"/>
        <v>52.8</v>
      </c>
      <c r="AP43">
        <f t="shared" si="45"/>
        <v>273.10000000000002</v>
      </c>
      <c r="AQ43">
        <f t="shared" si="46"/>
        <v>397.3</v>
      </c>
      <c r="AR43" s="9">
        <f t="shared" si="47"/>
        <v>-1</v>
      </c>
      <c r="AS43" s="9">
        <f t="shared" si="48"/>
        <v>-4</v>
      </c>
      <c r="AT43" s="9">
        <f t="shared" si="49"/>
        <v>-12</v>
      </c>
      <c r="AU43" s="9">
        <f t="shared" si="50"/>
        <v>-12</v>
      </c>
      <c r="AV43" s="16" t="str">
        <f t="shared" si="51"/>
        <v>2D6+2</v>
      </c>
      <c r="AW43" s="16" t="str">
        <f t="shared" si="53"/>
        <v>3D6+1</v>
      </c>
      <c r="AX43" s="16" t="str">
        <f t="shared" si="54"/>
        <v>5D6+2</v>
      </c>
      <c r="AY43" s="16" t="str">
        <f t="shared" si="55"/>
        <v>-</v>
      </c>
    </row>
    <row r="44" spans="1:51">
      <c r="A44" t="s">
        <v>149</v>
      </c>
      <c r="B44">
        <v>80</v>
      </c>
      <c r="C44">
        <v>15.2</v>
      </c>
      <c r="D44">
        <v>0.32</v>
      </c>
      <c r="E44">
        <v>1.2250000000000001</v>
      </c>
      <c r="F44">
        <f t="shared" si="21"/>
        <v>1.8145839167134643E-4</v>
      </c>
      <c r="G44" s="1">
        <f t="shared" si="22"/>
        <v>3.5565844767583904E-5</v>
      </c>
      <c r="H44" s="1">
        <v>1</v>
      </c>
      <c r="I44">
        <v>45</v>
      </c>
      <c r="J44">
        <v>1100</v>
      </c>
      <c r="K44" s="2">
        <f t="shared" si="96"/>
        <v>48400</v>
      </c>
      <c r="L44" s="2">
        <f t="shared" si="23"/>
        <v>250.96387027769006</v>
      </c>
      <c r="M44" s="2">
        <f t="shared" si="24"/>
        <v>779.56498442765132</v>
      </c>
      <c r="N44" s="2">
        <f t="shared" si="25"/>
        <v>2275.4435741124134</v>
      </c>
      <c r="O44" s="2">
        <f t="shared" si="26"/>
        <v>2641.0053777131557</v>
      </c>
      <c r="P44" s="2">
        <f t="shared" si="27"/>
        <v>5179.3176471212892</v>
      </c>
      <c r="Q44" s="2">
        <f t="shared" si="28"/>
        <v>25.531690545725038</v>
      </c>
      <c r="R44" s="2">
        <f t="shared" si="29"/>
        <v>246.35945549292529</v>
      </c>
      <c r="S44" s="2">
        <f t="shared" si="30"/>
        <v>2099.025595284153</v>
      </c>
      <c r="T44" s="2">
        <f t="shared" si="31"/>
        <v>2827.6737350570356</v>
      </c>
      <c r="U44" s="2">
        <f t="shared" si="32"/>
        <v>10876.056771438864</v>
      </c>
      <c r="V44" s="2">
        <f t="shared" si="33"/>
        <v>49.66756062827826</v>
      </c>
      <c r="W44" s="2">
        <f t="shared" si="97"/>
        <v>70.24051448924682</v>
      </c>
      <c r="X44" s="2">
        <f t="shared" si="34"/>
        <v>140.48086945788509</v>
      </c>
      <c r="Y44" s="2">
        <f t="shared" si="15"/>
        <v>351.20097724014875</v>
      </c>
      <c r="Z44">
        <v>35</v>
      </c>
      <c r="AA44" s="2">
        <f t="shared" si="98"/>
        <v>1033.0148573291278</v>
      </c>
      <c r="AB44" s="2">
        <f t="shared" si="99"/>
        <v>42684.787818508739</v>
      </c>
      <c r="AC44">
        <v>55</v>
      </c>
      <c r="AD44" s="2">
        <f t="shared" si="100"/>
        <v>1231.5905458705752</v>
      </c>
      <c r="AE44" s="2">
        <f t="shared" si="101"/>
        <v>60672.610907111251</v>
      </c>
      <c r="AF44" s="13">
        <f t="shared" si="35"/>
        <v>440.87241853710617</v>
      </c>
      <c r="AG44" s="15">
        <f t="shared" si="36"/>
        <v>53.345562642989847</v>
      </c>
      <c r="AH44" s="14">
        <f t="shared" si="37"/>
        <v>42.676450114391876</v>
      </c>
      <c r="AI44" s="14">
        <f t="shared" si="38"/>
        <v>26.672781321494924</v>
      </c>
      <c r="AJ44" s="14">
        <f t="shared" si="39"/>
        <v>7.053958696593698</v>
      </c>
      <c r="AK44" s="14">
        <f t="shared" si="40"/>
        <v>5.0964851582889468</v>
      </c>
      <c r="AL44" s="11" t="str">
        <f t="shared" si="41"/>
        <v>18D6+1</v>
      </c>
      <c r="AM44" s="11" t="str">
        <f t="shared" si="42"/>
        <v>12D6+2</v>
      </c>
      <c r="AN44">
        <f t="shared" si="43"/>
        <v>5.2</v>
      </c>
      <c r="AO44">
        <f t="shared" si="44"/>
        <v>50.2</v>
      </c>
      <c r="AP44">
        <f t="shared" si="45"/>
        <v>427.9</v>
      </c>
      <c r="AQ44">
        <f t="shared" si="46"/>
        <v>576.4</v>
      </c>
      <c r="AR44" s="9">
        <f t="shared" si="47"/>
        <v>-1</v>
      </c>
      <c r="AS44" s="9">
        <f t="shared" si="48"/>
        <v>-4</v>
      </c>
      <c r="AT44" s="9">
        <f t="shared" si="49"/>
        <v>-12</v>
      </c>
      <c r="AU44" s="9">
        <f t="shared" si="50"/>
        <v>-12</v>
      </c>
      <c r="AV44" s="16" t="str">
        <f t="shared" si="51"/>
        <v>2D6+1</v>
      </c>
      <c r="AW44" s="16" t="str">
        <f t="shared" si="53"/>
        <v>3D6</v>
      </c>
      <c r="AX44" s="16" t="str">
        <f t="shared" si="54"/>
        <v>4D6+2</v>
      </c>
      <c r="AY44" s="16" t="str">
        <f t="shared" si="55"/>
        <v>18D6</v>
      </c>
    </row>
    <row r="45" spans="1:51">
      <c r="A45" t="s">
        <v>153</v>
      </c>
      <c r="B45">
        <v>2</v>
      </c>
      <c r="C45">
        <v>4.5999999999999996</v>
      </c>
      <c r="D45">
        <v>0.25</v>
      </c>
      <c r="E45">
        <v>1.2250000000000001</v>
      </c>
      <c r="F45">
        <f t="shared" si="21"/>
        <v>1.6619025137490001E-5</v>
      </c>
      <c r="G45" s="1">
        <f t="shared" si="22"/>
        <v>2.5447882241781567E-6</v>
      </c>
      <c r="H45" s="1">
        <v>1</v>
      </c>
      <c r="I45">
        <v>7</v>
      </c>
      <c r="J45">
        <v>725</v>
      </c>
      <c r="K45" s="2">
        <f t="shared" si="96"/>
        <v>525.625</v>
      </c>
      <c r="L45" s="2">
        <f t="shared" si="23"/>
        <v>87.686491627913071</v>
      </c>
      <c r="M45" s="2">
        <f t="shared" si="24"/>
        <v>272.37912136433209</v>
      </c>
      <c r="N45" s="2">
        <f t="shared" si="25"/>
        <v>467.39221920028677</v>
      </c>
      <c r="O45" s="2">
        <f t="shared" si="26"/>
        <v>595.11909875252195</v>
      </c>
      <c r="P45" s="2">
        <f t="shared" si="27"/>
        <v>1809.647711441819</v>
      </c>
      <c r="Q45" s="2">
        <f t="shared" si="28"/>
        <v>7.1751092890470796</v>
      </c>
      <c r="R45" s="2">
        <f t="shared" si="29"/>
        <v>69.23266398007847</v>
      </c>
      <c r="S45" s="2">
        <f t="shared" si="30"/>
        <v>203.85748766416677</v>
      </c>
      <c r="T45" s="2">
        <f t="shared" si="31"/>
        <v>330.5001658701492</v>
      </c>
      <c r="U45" s="2">
        <f t="shared" si="32"/>
        <v>3056.0033997584146</v>
      </c>
      <c r="V45" s="2">
        <f t="shared" si="33"/>
        <v>32.735462090760628</v>
      </c>
      <c r="W45" s="2">
        <f t="shared" si="97"/>
        <v>46.294933357612607</v>
      </c>
      <c r="X45" s="2">
        <f t="shared" si="34"/>
        <v>92.589859192405797</v>
      </c>
      <c r="Y45" s="2">
        <f t="shared" si="15"/>
        <v>231.47459155986886</v>
      </c>
      <c r="Z45">
        <v>4</v>
      </c>
      <c r="AA45" s="2">
        <f t="shared" si="98"/>
        <v>630.34526432023745</v>
      </c>
      <c r="AB45" s="2">
        <f t="shared" si="99"/>
        <v>397.33515225094999</v>
      </c>
      <c r="AC45">
        <v>12</v>
      </c>
      <c r="AD45" s="2">
        <f t="shared" si="100"/>
        <v>954.1536593905571</v>
      </c>
      <c r="AE45" s="2">
        <f t="shared" si="101"/>
        <v>910.40920572839127</v>
      </c>
      <c r="AF45" s="13">
        <f t="shared" si="35"/>
        <v>120.34400233791709</v>
      </c>
      <c r="AG45" s="15">
        <f t="shared" si="36"/>
        <v>6.3255816228867667</v>
      </c>
      <c r="AH45" s="14">
        <f t="shared" si="37"/>
        <v>5.0604652983094134</v>
      </c>
      <c r="AI45" s="14">
        <f t="shared" si="38"/>
        <v>3.1627908114433834</v>
      </c>
      <c r="AJ45" s="14">
        <f t="shared" si="39"/>
        <v>1.9255040374066736</v>
      </c>
      <c r="AK45" s="14">
        <f t="shared" si="40"/>
        <v>1.3911766670263213</v>
      </c>
      <c r="AL45" s="11" t="str">
        <f t="shared" si="41"/>
        <v>1D6+2</v>
      </c>
      <c r="AM45" s="11" t="str">
        <f t="shared" si="42"/>
        <v>1D6+1</v>
      </c>
      <c r="AN45">
        <f t="shared" si="43"/>
        <v>1.5</v>
      </c>
      <c r="AO45">
        <f t="shared" si="44"/>
        <v>14.1</v>
      </c>
      <c r="AP45">
        <f t="shared" si="45"/>
        <v>41.6</v>
      </c>
      <c r="AQ45">
        <f t="shared" si="46"/>
        <v>67.400000000000006</v>
      </c>
      <c r="AR45" s="9">
        <f t="shared" si="47"/>
        <v>0</v>
      </c>
      <c r="AS45" s="9">
        <f t="shared" si="48"/>
        <v>-1</v>
      </c>
      <c r="AT45" s="9">
        <f t="shared" si="49"/>
        <v>-4</v>
      </c>
      <c r="AU45" s="9">
        <f t="shared" si="50"/>
        <v>-8</v>
      </c>
      <c r="AV45" s="16" t="str">
        <f t="shared" si="51"/>
        <v>-</v>
      </c>
      <c r="AW45" s="16" t="str">
        <f t="shared" si="53"/>
        <v>-</v>
      </c>
      <c r="AX45" s="16" t="str">
        <f t="shared" si="54"/>
        <v>-</v>
      </c>
      <c r="AY45" s="16" t="str">
        <f t="shared" si="55"/>
        <v>-</v>
      </c>
    </row>
    <row r="46" spans="1:51">
      <c r="A46" t="s">
        <v>155</v>
      </c>
      <c r="B46">
        <v>28</v>
      </c>
      <c r="C46">
        <v>18.5</v>
      </c>
      <c r="D46">
        <v>0.6</v>
      </c>
      <c r="E46">
        <v>1.2250000000000001</v>
      </c>
      <c r="F46">
        <f t="shared" si="21"/>
        <v>2.6880252142277671E-4</v>
      </c>
      <c r="G46" s="1">
        <f t="shared" si="22"/>
        <v>9.8784926622870443E-5</v>
      </c>
      <c r="H46" s="1">
        <v>1</v>
      </c>
      <c r="I46">
        <v>20</v>
      </c>
      <c r="J46">
        <v>400</v>
      </c>
      <c r="K46" s="2">
        <f t="shared" si="96"/>
        <v>2240</v>
      </c>
      <c r="L46" s="2">
        <f t="shared" si="23"/>
        <v>31.624356318301633</v>
      </c>
      <c r="M46" s="2">
        <f t="shared" si="24"/>
        <v>98.234223171377792</v>
      </c>
      <c r="N46" s="2">
        <f t="shared" si="25"/>
        <v>98.234223171377792</v>
      </c>
      <c r="O46" s="2">
        <f t="shared" si="26"/>
        <v>98.234223171377792</v>
      </c>
      <c r="P46" s="2">
        <f t="shared" si="27"/>
        <v>652.65405166487017</v>
      </c>
      <c r="Q46" s="2">
        <f t="shared" si="28"/>
        <v>3.0659552395397616</v>
      </c>
      <c r="R46" s="2">
        <f t="shared" si="29"/>
        <v>29.583884307170916</v>
      </c>
      <c r="S46" s="2">
        <f t="shared" si="30"/>
        <v>29.583884307170916</v>
      </c>
      <c r="T46" s="2">
        <f t="shared" si="31"/>
        <v>29.583884307170916</v>
      </c>
      <c r="U46" s="2">
        <f t="shared" si="32"/>
        <v>1306.0358816383955</v>
      </c>
      <c r="V46" s="2">
        <f t="shared" si="33"/>
        <v>18.060905360152326</v>
      </c>
      <c r="W46" s="2">
        <f t="shared" si="97"/>
        <v>25.541953714010216</v>
      </c>
      <c r="X46" s="2">
        <f t="shared" si="34"/>
        <v>51.083746310912787</v>
      </c>
      <c r="Y46" s="2">
        <f t="shared" si="15"/>
        <v>127.70815739897466</v>
      </c>
      <c r="Z46">
        <v>14</v>
      </c>
      <c r="AA46" s="2">
        <f t="shared" si="98"/>
        <v>365.87648769147779</v>
      </c>
      <c r="AB46" s="2">
        <f t="shared" si="99"/>
        <v>1874.1184594363294</v>
      </c>
      <c r="AC46">
        <v>28</v>
      </c>
      <c r="AD46" s="2">
        <f t="shared" si="100"/>
        <v>475.68284600108842</v>
      </c>
      <c r="AE46" s="2">
        <f t="shared" si="101"/>
        <v>3167.838379715733</v>
      </c>
      <c r="AF46" s="13">
        <f t="shared" si="35"/>
        <v>104.16568956197096</v>
      </c>
      <c r="AG46" s="15">
        <f t="shared" si="36"/>
        <v>1.6666510329915352</v>
      </c>
      <c r="AH46" s="14">
        <f t="shared" si="37"/>
        <v>1.3333208263932281</v>
      </c>
      <c r="AI46" s="14">
        <f t="shared" si="38"/>
        <v>0.83332551649576758</v>
      </c>
      <c r="AJ46" s="14">
        <f t="shared" si="39"/>
        <v>0.83332551649576758</v>
      </c>
      <c r="AK46" s="14">
        <f t="shared" si="40"/>
        <v>0.83332551649576758</v>
      </c>
      <c r="AL46" s="11" t="str">
        <f t="shared" si="41"/>
        <v>3D6+2</v>
      </c>
      <c r="AM46" s="11" t="str">
        <f t="shared" si="42"/>
        <v>2D6+2</v>
      </c>
      <c r="AN46">
        <f t="shared" si="43"/>
        <v>0.6</v>
      </c>
      <c r="AO46">
        <f t="shared" si="44"/>
        <v>6</v>
      </c>
      <c r="AP46">
        <f t="shared" si="45"/>
        <v>6</v>
      </c>
      <c r="AQ46">
        <f t="shared" si="46"/>
        <v>6</v>
      </c>
      <c r="AR46" s="9">
        <f t="shared" si="47"/>
        <v>0</v>
      </c>
      <c r="AS46" s="9">
        <f t="shared" si="48"/>
        <v>-1</v>
      </c>
      <c r="AT46" s="9">
        <f t="shared" si="49"/>
        <v>-1</v>
      </c>
      <c r="AU46" s="9">
        <f t="shared" si="50"/>
        <v>-1</v>
      </c>
      <c r="AV46" s="16" t="str">
        <f t="shared" si="51"/>
        <v>-</v>
      </c>
      <c r="AW46" s="16" t="str">
        <f t="shared" si="53"/>
        <v>-</v>
      </c>
      <c r="AX46" s="16" t="str">
        <f t="shared" si="54"/>
        <v>-</v>
      </c>
      <c r="AY46" s="16" t="str">
        <f t="shared" si="55"/>
        <v>-</v>
      </c>
    </row>
    <row r="47" spans="1:51">
      <c r="A47" t="s">
        <v>162</v>
      </c>
      <c r="B47">
        <v>24</v>
      </c>
      <c r="C47">
        <v>16.8</v>
      </c>
      <c r="D47">
        <v>0.6</v>
      </c>
      <c r="E47">
        <v>1.2250000000000001</v>
      </c>
      <c r="F47">
        <f t="shared" si="21"/>
        <v>2.2167077763729579E-4</v>
      </c>
      <c r="G47" s="1">
        <f t="shared" si="22"/>
        <v>8.1464010781706207E-5</v>
      </c>
      <c r="H47" s="1">
        <v>1</v>
      </c>
      <c r="I47">
        <v>20</v>
      </c>
      <c r="J47">
        <v>410</v>
      </c>
      <c r="K47" s="2">
        <f t="shared" si="96"/>
        <v>2017.2</v>
      </c>
      <c r="L47" s="2">
        <f t="shared" si="23"/>
        <v>32.870007136597224</v>
      </c>
      <c r="M47" s="2">
        <f t="shared" si="24"/>
        <v>102.10356802843796</v>
      </c>
      <c r="N47" s="2">
        <f t="shared" si="25"/>
        <v>102.10356802843796</v>
      </c>
      <c r="O47" s="2">
        <f t="shared" si="26"/>
        <v>102.10356802843796</v>
      </c>
      <c r="P47" s="2">
        <f t="shared" si="27"/>
        <v>678.36142244382233</v>
      </c>
      <c r="Q47" s="2">
        <f t="shared" si="28"/>
        <v>3.1526352810187377</v>
      </c>
      <c r="R47" s="2">
        <f t="shared" si="29"/>
        <v>30.420191709104277</v>
      </c>
      <c r="S47" s="2">
        <f t="shared" si="30"/>
        <v>30.420191709104277</v>
      </c>
      <c r="T47" s="2">
        <f t="shared" si="31"/>
        <v>30.420191709104277</v>
      </c>
      <c r="U47" s="2">
        <f t="shared" si="32"/>
        <v>1342.9261206677127</v>
      </c>
      <c r="V47" s="2">
        <f t="shared" si="33"/>
        <v>18.512435233274882</v>
      </c>
      <c r="W47" s="2">
        <f t="shared" si="97"/>
        <v>26.180517035097974</v>
      </c>
      <c r="X47" s="2">
        <f t="shared" si="34"/>
        <v>52.360897881635616</v>
      </c>
      <c r="Y47" s="2">
        <f t="shared" si="15"/>
        <v>130.90122328988662</v>
      </c>
      <c r="Z47">
        <v>14</v>
      </c>
      <c r="AA47" s="2">
        <f t="shared" si="98"/>
        <v>375.02339988376474</v>
      </c>
      <c r="AB47" s="2">
        <f t="shared" si="99"/>
        <v>1687.7106055245374</v>
      </c>
      <c r="AC47">
        <v>28</v>
      </c>
      <c r="AD47" s="2">
        <f t="shared" si="100"/>
        <v>487.57491715111564</v>
      </c>
      <c r="AE47" s="2">
        <f t="shared" si="101"/>
        <v>2852.7515980190074</v>
      </c>
      <c r="AF47" s="13">
        <f t="shared" si="35"/>
        <v>108.26866876999681</v>
      </c>
      <c r="AG47" s="15">
        <f t="shared" si="36"/>
        <v>1.8199963220236464</v>
      </c>
      <c r="AH47" s="14">
        <f t="shared" si="37"/>
        <v>1.4559970576189174</v>
      </c>
      <c r="AI47" s="14">
        <f t="shared" si="38"/>
        <v>0.90999816101182318</v>
      </c>
      <c r="AJ47" s="14">
        <f t="shared" si="39"/>
        <v>0.90999816101182318</v>
      </c>
      <c r="AK47" s="14">
        <f t="shared" si="40"/>
        <v>0.90999816101182318</v>
      </c>
      <c r="AL47" s="11" t="str">
        <f t="shared" si="41"/>
        <v>3D6+2</v>
      </c>
      <c r="AM47" s="11" t="str">
        <f t="shared" si="42"/>
        <v>2D6+1</v>
      </c>
      <c r="AN47">
        <f t="shared" si="43"/>
        <v>0.6</v>
      </c>
      <c r="AO47">
        <f t="shared" si="44"/>
        <v>6.2</v>
      </c>
      <c r="AP47">
        <f t="shared" si="45"/>
        <v>6.2</v>
      </c>
      <c r="AQ47">
        <f t="shared" si="46"/>
        <v>6.2</v>
      </c>
      <c r="AR47" s="9">
        <f t="shared" si="47"/>
        <v>0</v>
      </c>
      <c r="AS47" s="9">
        <f t="shared" si="48"/>
        <v>-1</v>
      </c>
      <c r="AT47" s="9">
        <f t="shared" si="49"/>
        <v>-1</v>
      </c>
      <c r="AU47" s="9">
        <f t="shared" si="50"/>
        <v>-1</v>
      </c>
      <c r="AV47" s="16" t="str">
        <f t="shared" si="51"/>
        <v>-</v>
      </c>
      <c r="AW47" s="16" t="str">
        <f t="shared" si="53"/>
        <v>-</v>
      </c>
      <c r="AX47" s="16" t="str">
        <f t="shared" si="54"/>
        <v>-</v>
      </c>
      <c r="AY47" s="16" t="str">
        <f t="shared" si="55"/>
        <v>-</v>
      </c>
    </row>
    <row r="48" spans="1:51">
      <c r="A48" t="s">
        <v>165</v>
      </c>
      <c r="B48">
        <v>22</v>
      </c>
      <c r="C48">
        <v>15.6</v>
      </c>
      <c r="D48">
        <v>0.6</v>
      </c>
      <c r="E48">
        <v>1.2250000000000001</v>
      </c>
      <c r="F48">
        <f t="shared" si="21"/>
        <v>1.9113449704440298E-4</v>
      </c>
      <c r="G48" s="1">
        <f t="shared" si="22"/>
        <v>7.0241927663818098E-5</v>
      </c>
      <c r="H48" s="1">
        <v>1</v>
      </c>
      <c r="I48">
        <v>20</v>
      </c>
      <c r="J48">
        <v>420</v>
      </c>
      <c r="K48" s="2">
        <f t="shared" si="96"/>
        <v>1940.3999999999999</v>
      </c>
      <c r="L48" s="2">
        <f t="shared" si="23"/>
        <v>34.944642695514609</v>
      </c>
      <c r="M48" s="2">
        <f t="shared" si="24"/>
        <v>108.54797468900999</v>
      </c>
      <c r="N48" s="2">
        <f t="shared" si="25"/>
        <v>108.54797468900999</v>
      </c>
      <c r="O48" s="2">
        <f t="shared" si="26"/>
        <v>108.54797468900999</v>
      </c>
      <c r="P48" s="2">
        <f t="shared" si="27"/>
        <v>721.17713352508929</v>
      </c>
      <c r="Q48" s="2">
        <f t="shared" si="28"/>
        <v>3.3955034611801667</v>
      </c>
      <c r="R48" s="2">
        <f t="shared" si="29"/>
        <v>32.763611267588125</v>
      </c>
      <c r="S48" s="2">
        <f t="shared" si="30"/>
        <v>32.763611267588125</v>
      </c>
      <c r="T48" s="2">
        <f t="shared" si="31"/>
        <v>32.763611267588125</v>
      </c>
      <c r="U48" s="2">
        <f t="shared" si="32"/>
        <v>1446.3610220760168</v>
      </c>
      <c r="V48" s="2">
        <f t="shared" si="33"/>
        <v>18.96396284840414</v>
      </c>
      <c r="W48" s="2">
        <f t="shared" si="97"/>
        <v>26.81907584019913</v>
      </c>
      <c r="X48" s="2">
        <f t="shared" si="34"/>
        <v>53.638031388412045</v>
      </c>
      <c r="Y48" s="2">
        <f t="shared" si="15"/>
        <v>134.09417628113354</v>
      </c>
      <c r="Z48">
        <v>14</v>
      </c>
      <c r="AA48" s="2">
        <f t="shared" si="98"/>
        <v>384.17031207605169</v>
      </c>
      <c r="AB48" s="2">
        <f t="shared" si="99"/>
        <v>1623.4551154867204</v>
      </c>
      <c r="AC48">
        <v>28</v>
      </c>
      <c r="AD48" s="2">
        <f t="shared" si="100"/>
        <v>499.46698830114281</v>
      </c>
      <c r="AE48" s="2">
        <f t="shared" si="101"/>
        <v>2744.139996428753</v>
      </c>
      <c r="AF48" s="13">
        <f t="shared" si="35"/>
        <v>115.10219421504596</v>
      </c>
      <c r="AG48" s="15">
        <f t="shared" si="36"/>
        <v>2.0304027059534104</v>
      </c>
      <c r="AH48" s="14">
        <f t="shared" si="37"/>
        <v>1.6243221647627284</v>
      </c>
      <c r="AI48" s="14">
        <f t="shared" si="38"/>
        <v>1.0152013529767052</v>
      </c>
      <c r="AJ48" s="14">
        <f t="shared" si="39"/>
        <v>1.0152013529767052</v>
      </c>
      <c r="AK48" s="14">
        <f t="shared" si="40"/>
        <v>1.0152013529767052</v>
      </c>
      <c r="AL48" s="11" t="str">
        <f t="shared" si="41"/>
        <v>3D6+2</v>
      </c>
      <c r="AM48" s="11" t="str">
        <f t="shared" si="42"/>
        <v>2D6+1</v>
      </c>
      <c r="AN48">
        <f t="shared" si="43"/>
        <v>0.7</v>
      </c>
      <c r="AO48">
        <f t="shared" si="44"/>
        <v>6.7</v>
      </c>
      <c r="AP48">
        <f t="shared" si="45"/>
        <v>6.7</v>
      </c>
      <c r="AQ48">
        <f t="shared" si="46"/>
        <v>6.7</v>
      </c>
      <c r="AR48" s="9">
        <f t="shared" si="47"/>
        <v>0</v>
      </c>
      <c r="AS48" s="9">
        <f t="shared" si="48"/>
        <v>-1</v>
      </c>
      <c r="AT48" s="9">
        <f t="shared" si="49"/>
        <v>-1</v>
      </c>
      <c r="AU48" s="9">
        <f t="shared" si="50"/>
        <v>-1</v>
      </c>
      <c r="AV48" s="16" t="str">
        <f t="shared" si="51"/>
        <v>-</v>
      </c>
      <c r="AW48" s="16" t="str">
        <f t="shared" si="53"/>
        <v>-</v>
      </c>
      <c r="AX48" s="16" t="str">
        <f t="shared" si="54"/>
        <v>-</v>
      </c>
      <c r="AY48" s="16" t="str">
        <f t="shared" si="55"/>
        <v>-</v>
      </c>
    </row>
    <row r="49" spans="1:51">
      <c r="A49" t="s">
        <v>169</v>
      </c>
      <c r="B49">
        <v>11</v>
      </c>
      <c r="C49">
        <v>7.62</v>
      </c>
      <c r="D49">
        <v>0.25</v>
      </c>
      <c r="E49">
        <v>1.2250000000000001</v>
      </c>
      <c r="F49">
        <f t="shared" si="21"/>
        <v>4.5603673118774793E-5</v>
      </c>
      <c r="G49" s="1">
        <f t="shared" si="22"/>
        <v>6.9830624463123905E-6</v>
      </c>
      <c r="H49" s="1">
        <v>1</v>
      </c>
      <c r="I49">
        <v>26</v>
      </c>
      <c r="J49">
        <v>900</v>
      </c>
      <c r="K49" s="2">
        <f t="shared" si="96"/>
        <v>4455</v>
      </c>
      <c r="L49" s="2">
        <f t="shared" si="23"/>
        <v>175.75233526319951</v>
      </c>
      <c r="M49" s="2">
        <f t="shared" si="24"/>
        <v>545.93661769312973</v>
      </c>
      <c r="N49" s="2">
        <f t="shared" si="25"/>
        <v>1277.4097964840919</v>
      </c>
      <c r="O49" s="2">
        <f t="shared" si="26"/>
        <v>1533.4161315584081</v>
      </c>
      <c r="P49" s="2">
        <f t="shared" si="27"/>
        <v>3627.124376685178</v>
      </c>
      <c r="Q49" s="2">
        <f t="shared" si="28"/>
        <v>18.704960424888231</v>
      </c>
      <c r="R49" s="2">
        <f t="shared" si="29"/>
        <v>180.4846543399548</v>
      </c>
      <c r="S49" s="2">
        <f t="shared" si="30"/>
        <v>988.14068774043312</v>
      </c>
      <c r="T49" s="2">
        <f t="shared" si="31"/>
        <v>1423.8990996744101</v>
      </c>
      <c r="U49" s="2">
        <f t="shared" si="32"/>
        <v>7966.9320182862093</v>
      </c>
      <c r="V49" s="2">
        <f t="shared" si="33"/>
        <v>40.637121282236471</v>
      </c>
      <c r="W49" s="2">
        <f t="shared" si="97"/>
        <v>57.469564300310459</v>
      </c>
      <c r="X49" s="2">
        <f t="shared" si="34"/>
        <v>114.93910297470369</v>
      </c>
      <c r="Y49" s="2">
        <f t="shared" si="15"/>
        <v>287.34756524238003</v>
      </c>
      <c r="Z49">
        <v>20</v>
      </c>
      <c r="AA49" s="2">
        <f t="shared" si="98"/>
        <v>842.86238238439239</v>
      </c>
      <c r="AB49" s="2">
        <f t="shared" si="99"/>
        <v>3907.2934760128151</v>
      </c>
      <c r="AC49">
        <v>30</v>
      </c>
      <c r="AD49" s="2">
        <f t="shared" si="100"/>
        <v>996.01372773028959</v>
      </c>
      <c r="AE49" s="2">
        <f t="shared" si="101"/>
        <v>5456.2384020495301</v>
      </c>
      <c r="AF49" s="13">
        <f t="shared" si="35"/>
        <v>241.2086406143315</v>
      </c>
      <c r="AG49" s="15">
        <f t="shared" si="36"/>
        <v>19.537899889760851</v>
      </c>
      <c r="AH49" s="14">
        <f t="shared" si="37"/>
        <v>15.63031991180868</v>
      </c>
      <c r="AI49" s="14">
        <f t="shared" si="38"/>
        <v>9.7689499448804256</v>
      </c>
      <c r="AJ49" s="14">
        <f t="shared" si="39"/>
        <v>3.8593382498293036</v>
      </c>
      <c r="AK49" s="14">
        <f t="shared" si="40"/>
        <v>2.7883718855016717</v>
      </c>
      <c r="AL49" s="11" t="str">
        <f t="shared" si="41"/>
        <v>5D6+1</v>
      </c>
      <c r="AM49" s="11" t="str">
        <f t="shared" si="42"/>
        <v>3D6+2</v>
      </c>
      <c r="AN49">
        <f t="shared" si="43"/>
        <v>3.8</v>
      </c>
      <c r="AO49">
        <f t="shared" si="44"/>
        <v>36.799999999999997</v>
      </c>
      <c r="AP49">
        <f t="shared" si="45"/>
        <v>201.5</v>
      </c>
      <c r="AQ49">
        <f t="shared" si="46"/>
        <v>290.3</v>
      </c>
      <c r="AR49" s="9">
        <f t="shared" si="47"/>
        <v>0</v>
      </c>
      <c r="AS49" s="9">
        <f t="shared" si="48"/>
        <v>-4</v>
      </c>
      <c r="AT49" s="9">
        <f t="shared" si="49"/>
        <v>-12</v>
      </c>
      <c r="AU49" s="9">
        <f t="shared" si="50"/>
        <v>-12</v>
      </c>
      <c r="AV49" s="16" t="str">
        <f t="shared" si="51"/>
        <v>1D6+2</v>
      </c>
      <c r="AW49" s="16" t="str">
        <f t="shared" si="53"/>
        <v>2D6+1</v>
      </c>
      <c r="AX49" s="16" t="str">
        <f t="shared" si="54"/>
        <v>3D6+2</v>
      </c>
      <c r="AY49" s="16" t="str">
        <f t="shared" si="55"/>
        <v>-</v>
      </c>
    </row>
    <row r="50" spans="1:51">
      <c r="A50" t="s">
        <v>170</v>
      </c>
      <c r="B50">
        <v>16.2</v>
      </c>
      <c r="C50">
        <v>8.58</v>
      </c>
      <c r="D50">
        <v>0.25</v>
      </c>
      <c r="E50">
        <v>1.2250000000000001</v>
      </c>
      <c r="F50">
        <f t="shared" si="21"/>
        <v>5.7818185355931912E-5</v>
      </c>
      <c r="G50" s="1">
        <f t="shared" si="22"/>
        <v>8.8534096326270754E-6</v>
      </c>
      <c r="H50" s="1">
        <v>1</v>
      </c>
      <c r="I50">
        <v>27</v>
      </c>
      <c r="J50">
        <v>910</v>
      </c>
      <c r="K50" s="2">
        <f t="shared" si="96"/>
        <v>6707.61</v>
      </c>
      <c r="L50" s="2">
        <f t="shared" si="23"/>
        <v>204.15442644652256</v>
      </c>
      <c r="M50" s="2">
        <f t="shared" si="24"/>
        <v>634.16157113579368</v>
      </c>
      <c r="N50" s="2">
        <f t="shared" si="25"/>
        <v>1504.0619830640228</v>
      </c>
      <c r="O50" s="2">
        <f t="shared" si="26"/>
        <v>1801.4396903104366</v>
      </c>
      <c r="P50" s="2">
        <f t="shared" si="27"/>
        <v>4213.278279707808</v>
      </c>
      <c r="Q50" s="2">
        <f t="shared" si="28"/>
        <v>24.68736232451413</v>
      </c>
      <c r="R50" s="2">
        <f t="shared" si="29"/>
        <v>238.20931973565612</v>
      </c>
      <c r="S50" s="2">
        <f t="shared" si="30"/>
        <v>1339.9668377582016</v>
      </c>
      <c r="T50" s="2">
        <f t="shared" si="31"/>
        <v>1922.2208909714136</v>
      </c>
      <c r="U50" s="2">
        <f t="shared" si="32"/>
        <v>10515.122060792986</v>
      </c>
      <c r="V50" s="2">
        <f t="shared" si="33"/>
        <v>41.088643117058531</v>
      </c>
      <c r="W50" s="2">
        <f t="shared" si="97"/>
        <v>58.108111544797218</v>
      </c>
      <c r="X50" s="2">
        <f t="shared" si="34"/>
        <v>116.21619023902251</v>
      </c>
      <c r="Y50" s="2">
        <f t="shared" si="15"/>
        <v>290.5402292182668</v>
      </c>
      <c r="Z50">
        <v>20</v>
      </c>
      <c r="AA50" s="2">
        <f t="shared" si="98"/>
        <v>844.22449739316801</v>
      </c>
      <c r="AB50" s="2">
        <f t="shared" si="99"/>
        <v>5772.9915161898516</v>
      </c>
      <c r="AC50">
        <v>30</v>
      </c>
      <c r="AD50" s="2">
        <f t="shared" si="100"/>
        <v>1007.0805469272927</v>
      </c>
      <c r="AE50" s="2">
        <f t="shared" si="101"/>
        <v>8215.1109467949373</v>
      </c>
      <c r="AF50" s="13">
        <f t="shared" si="35"/>
        <v>280.18866210123878</v>
      </c>
      <c r="AG50" s="15">
        <f t="shared" si="36"/>
        <v>23.202423108603583</v>
      </c>
      <c r="AH50" s="14">
        <f t="shared" si="37"/>
        <v>18.561938486882866</v>
      </c>
      <c r="AI50" s="14">
        <f t="shared" si="38"/>
        <v>11.601211554301795</v>
      </c>
      <c r="AJ50" s="14">
        <f t="shared" si="39"/>
        <v>4.4830185936198212</v>
      </c>
      <c r="AK50" s="14">
        <f t="shared" si="40"/>
        <v>3.2389809338903208</v>
      </c>
      <c r="AL50" s="11" t="str">
        <f t="shared" si="41"/>
        <v>6D6+2</v>
      </c>
      <c r="AM50" s="11" t="str">
        <f t="shared" si="42"/>
        <v>4D6+2</v>
      </c>
      <c r="AN50">
        <f t="shared" si="43"/>
        <v>5</v>
      </c>
      <c r="AO50">
        <f t="shared" si="44"/>
        <v>48.6</v>
      </c>
      <c r="AP50">
        <f t="shared" si="45"/>
        <v>273.2</v>
      </c>
      <c r="AQ50">
        <f t="shared" si="46"/>
        <v>391.9</v>
      </c>
      <c r="AR50" s="9">
        <f t="shared" si="47"/>
        <v>-1</v>
      </c>
      <c r="AS50" s="9">
        <f t="shared" si="48"/>
        <v>-4</v>
      </c>
      <c r="AT50" s="9">
        <f t="shared" si="49"/>
        <v>-12</v>
      </c>
      <c r="AU50" s="9">
        <f t="shared" si="50"/>
        <v>-12</v>
      </c>
      <c r="AV50" s="16" t="str">
        <f t="shared" si="51"/>
        <v>2D6</v>
      </c>
      <c r="AW50" s="16" t="str">
        <f t="shared" si="53"/>
        <v>2D6+1</v>
      </c>
      <c r="AX50" s="16" t="str">
        <f t="shared" si="54"/>
        <v>4D6</v>
      </c>
      <c r="AY50" s="16" t="str">
        <f t="shared" si="55"/>
        <v>-</v>
      </c>
    </row>
    <row r="51" spans="1:51">
      <c r="A51" t="s">
        <v>171</v>
      </c>
      <c r="B51">
        <v>8.5</v>
      </c>
      <c r="C51">
        <v>7.62</v>
      </c>
      <c r="D51">
        <v>0.28000000000000003</v>
      </c>
      <c r="E51">
        <v>1.2250000000000001</v>
      </c>
      <c r="F51">
        <f t="shared" si="21"/>
        <v>4.5603673118774793E-5</v>
      </c>
      <c r="G51" s="1">
        <f t="shared" si="22"/>
        <v>7.8210299398698787E-6</v>
      </c>
      <c r="H51" s="1">
        <v>1</v>
      </c>
      <c r="I51">
        <v>16</v>
      </c>
      <c r="J51">
        <v>720</v>
      </c>
      <c r="K51" s="2">
        <f t="shared" si="96"/>
        <v>2203.2000000000003</v>
      </c>
      <c r="L51" s="2">
        <f t="shared" si="23"/>
        <v>121.25769884230483</v>
      </c>
      <c r="M51" s="2">
        <f t="shared" si="24"/>
        <v>376.66081577853913</v>
      </c>
      <c r="N51" s="2">
        <f t="shared" si="25"/>
        <v>638.81441320133013</v>
      </c>
      <c r="O51" s="2">
        <f t="shared" si="26"/>
        <v>815.44216061461657</v>
      </c>
      <c r="P51" s="2">
        <f t="shared" si="27"/>
        <v>2502.480292355845</v>
      </c>
      <c r="Q51" s="2">
        <f t="shared" si="28"/>
        <v>13.912117444450637</v>
      </c>
      <c r="R51" s="2">
        <f t="shared" si="29"/>
        <v>134.238373415307</v>
      </c>
      <c r="S51" s="2">
        <f t="shared" si="30"/>
        <v>386.12368754189686</v>
      </c>
      <c r="T51" s="2">
        <f t="shared" si="31"/>
        <v>629.16447043731</v>
      </c>
      <c r="U51" s="2">
        <f t="shared" si="32"/>
        <v>5925.5293893053095</v>
      </c>
      <c r="V51" s="2">
        <f t="shared" si="33"/>
        <v>32.509696410767162</v>
      </c>
      <c r="W51" s="2">
        <f t="shared" si="97"/>
        <v>45.975650210204343</v>
      </c>
      <c r="X51" s="2">
        <f t="shared" si="34"/>
        <v>91.951277459586848</v>
      </c>
      <c r="Y51" s="2">
        <f t="shared" si="15"/>
        <v>229.87802144280332</v>
      </c>
      <c r="Z51">
        <v>12</v>
      </c>
      <c r="AA51" s="2">
        <f t="shared" si="98"/>
        <v>670.03549855351173</v>
      </c>
      <c r="AB51" s="2">
        <f t="shared" si="99"/>
        <v>1908.0271696178754</v>
      </c>
      <c r="AC51">
        <v>20</v>
      </c>
      <c r="AD51" s="2">
        <f t="shared" si="100"/>
        <v>818.07794385659952</v>
      </c>
      <c r="AE51" s="2">
        <f t="shared" si="101"/>
        <v>2844.3189694547273</v>
      </c>
      <c r="AF51" s="13">
        <f t="shared" si="35"/>
        <v>186.38849502016527</v>
      </c>
      <c r="AG51" s="15">
        <f t="shared" si="36"/>
        <v>9.6623795818453662</v>
      </c>
      <c r="AH51" s="14">
        <f t="shared" si="37"/>
        <v>7.7299036654762947</v>
      </c>
      <c r="AI51" s="14">
        <f t="shared" si="38"/>
        <v>4.831189790922684</v>
      </c>
      <c r="AJ51" s="14">
        <f t="shared" si="39"/>
        <v>2.9822159203226453</v>
      </c>
      <c r="AK51" s="14">
        <f t="shared" si="40"/>
        <v>2.1546510024331105</v>
      </c>
      <c r="AL51" s="11" t="str">
        <f t="shared" si="41"/>
        <v>3D6+2</v>
      </c>
      <c r="AM51" s="11" t="str">
        <f t="shared" si="42"/>
        <v>2D6+2</v>
      </c>
      <c r="AN51">
        <f t="shared" si="43"/>
        <v>2.8</v>
      </c>
      <c r="AO51">
        <f t="shared" si="44"/>
        <v>27.4</v>
      </c>
      <c r="AP51">
        <f t="shared" si="45"/>
        <v>78.7</v>
      </c>
      <c r="AQ51">
        <f t="shared" si="46"/>
        <v>128.30000000000001</v>
      </c>
      <c r="AR51" s="9">
        <f t="shared" si="47"/>
        <v>0</v>
      </c>
      <c r="AS51" s="9">
        <f t="shared" si="48"/>
        <v>-2</v>
      </c>
      <c r="AT51" s="9">
        <f t="shared" si="49"/>
        <v>-8</v>
      </c>
      <c r="AU51" s="9">
        <f t="shared" si="50"/>
        <v>-12</v>
      </c>
      <c r="AV51" s="16" t="str">
        <f t="shared" si="51"/>
        <v>2D6+2</v>
      </c>
      <c r="AW51" s="16" t="str">
        <f t="shared" si="53"/>
        <v>3D6+1</v>
      </c>
      <c r="AX51" s="16" t="str">
        <f t="shared" si="54"/>
        <v>-</v>
      </c>
      <c r="AY51" s="16" t="str">
        <f t="shared" si="55"/>
        <v>-</v>
      </c>
    </row>
    <row r="52" spans="1:51">
      <c r="A52" t="s">
        <v>795</v>
      </c>
      <c r="B52">
        <v>30</v>
      </c>
      <c r="C52">
        <v>12.7</v>
      </c>
      <c r="D52">
        <v>0.45</v>
      </c>
      <c r="E52">
        <v>1.2250000000000001</v>
      </c>
      <c r="F52">
        <f t="shared" si="21"/>
        <v>1.2667686977437442E-4</v>
      </c>
      <c r="G52" s="1">
        <f t="shared" si="22"/>
        <v>3.4915312231561949E-5</v>
      </c>
      <c r="H52" s="1">
        <v>1</v>
      </c>
      <c r="I52">
        <v>12</v>
      </c>
      <c r="J52">
        <v>300</v>
      </c>
      <c r="K52" s="2">
        <f t="shared" si="96"/>
        <v>1350</v>
      </c>
      <c r="L52" s="2">
        <f t="shared" si="23"/>
        <v>95.864910143563364</v>
      </c>
      <c r="M52" s="2">
        <f t="shared" si="24"/>
        <v>297.78360965079804</v>
      </c>
      <c r="N52" s="2">
        <f t="shared" si="25"/>
        <v>297.78360965079804</v>
      </c>
      <c r="O52" s="2">
        <f t="shared" si="26"/>
        <v>297.78360965079804</v>
      </c>
      <c r="P52" s="2">
        <f t="shared" si="27"/>
        <v>1978.4314781919154</v>
      </c>
      <c r="Q52" s="2">
        <f t="shared" si="28"/>
        <v>50.086500255160736</v>
      </c>
      <c r="R52" s="2">
        <f t="shared" si="29"/>
        <v>483.29592567807811</v>
      </c>
      <c r="S52" s="2">
        <f t="shared" si="30"/>
        <v>483.29592567807811</v>
      </c>
      <c r="T52" s="2">
        <f t="shared" si="31"/>
        <v>483.29592567807811</v>
      </c>
      <c r="U52" s="2">
        <f t="shared" si="32"/>
        <v>21337.254372322976</v>
      </c>
      <c r="V52" s="2">
        <f t="shared" si="33"/>
        <v>13.545698552106412</v>
      </c>
      <c r="W52" s="2">
        <f t="shared" si="97"/>
        <v>19.156504349491996</v>
      </c>
      <c r="X52" s="2">
        <f t="shared" si="34"/>
        <v>38.312965989121935</v>
      </c>
      <c r="Y52" s="2">
        <f t="shared" si="15"/>
        <v>95.782094648839433</v>
      </c>
      <c r="Z52">
        <v>8</v>
      </c>
      <c r="AA52" s="2">
        <f t="shared" si="98"/>
        <v>271.08060108295342</v>
      </c>
      <c r="AB52" s="2">
        <f t="shared" si="99"/>
        <v>1102.2703842524299</v>
      </c>
      <c r="AC52">
        <v>16</v>
      </c>
      <c r="AD52" s="2">
        <f t="shared" si="100"/>
        <v>356.76213450081633</v>
      </c>
      <c r="AE52" s="2">
        <f t="shared" si="101"/>
        <v>1909.1883092036785</v>
      </c>
      <c r="AF52" s="13">
        <f t="shared" si="35"/>
        <v>236.8230289667982</v>
      </c>
      <c r="AG52" s="15">
        <f t="shared" si="36"/>
        <v>2.1314072607011836</v>
      </c>
      <c r="AH52" s="14">
        <f t="shared" si="37"/>
        <v>1.7051258085609469</v>
      </c>
      <c r="AI52" s="14">
        <f t="shared" si="38"/>
        <v>1.0657036303505918</v>
      </c>
      <c r="AJ52" s="14">
        <f t="shared" si="39"/>
        <v>1.0657036303505918</v>
      </c>
      <c r="AK52" s="14">
        <f t="shared" si="40"/>
        <v>1.0657036303505918</v>
      </c>
      <c r="AL52" s="11" t="str">
        <f t="shared" si="41"/>
        <v>3D6</v>
      </c>
      <c r="AM52" s="11" t="str">
        <f t="shared" si="42"/>
        <v>2D6</v>
      </c>
      <c r="AN52">
        <f t="shared" si="43"/>
        <v>10.199999999999999</v>
      </c>
      <c r="AO52">
        <f t="shared" si="44"/>
        <v>98.5</v>
      </c>
      <c r="AP52">
        <f t="shared" si="45"/>
        <v>98.5</v>
      </c>
      <c r="AQ52">
        <f t="shared" si="46"/>
        <v>98.5</v>
      </c>
      <c r="AR52" s="9">
        <f t="shared" si="47"/>
        <v>-1</v>
      </c>
      <c r="AS52" s="9">
        <f t="shared" si="48"/>
        <v>-8</v>
      </c>
      <c r="AT52" s="9">
        <f t="shared" si="49"/>
        <v>-8</v>
      </c>
      <c r="AU52" s="9">
        <f t="shared" si="50"/>
        <v>-8</v>
      </c>
      <c r="AV52" s="16" t="str">
        <f t="shared" si="51"/>
        <v>-</v>
      </c>
      <c r="AW52" s="16" t="str">
        <f t="shared" si="53"/>
        <v>-</v>
      </c>
      <c r="AX52" s="16" t="str">
        <f t="shared" si="54"/>
        <v>-</v>
      </c>
      <c r="AY52" s="16" t="str">
        <f t="shared" si="55"/>
        <v>-</v>
      </c>
    </row>
    <row r="53" spans="1:51">
      <c r="A53" t="s">
        <v>175</v>
      </c>
      <c r="B53">
        <v>48</v>
      </c>
      <c r="C53">
        <v>12.7</v>
      </c>
      <c r="D53">
        <v>0.4</v>
      </c>
      <c r="E53">
        <v>1.2250000000000001</v>
      </c>
      <c r="F53">
        <f t="shared" si="21"/>
        <v>1.2667686977437442E-4</v>
      </c>
      <c r="G53" s="1">
        <f t="shared" si="22"/>
        <v>3.1035833094721738E-5</v>
      </c>
      <c r="H53" s="1">
        <v>1</v>
      </c>
      <c r="I53">
        <v>17</v>
      </c>
      <c r="J53">
        <v>295</v>
      </c>
      <c r="K53" s="2">
        <f t="shared" si="96"/>
        <v>2088.6</v>
      </c>
      <c r="L53" s="2">
        <f t="shared" si="23"/>
        <v>172.55683825841405</v>
      </c>
      <c r="M53" s="2">
        <f t="shared" si="24"/>
        <v>536.01049737143649</v>
      </c>
      <c r="N53" s="2">
        <f t="shared" si="25"/>
        <v>536.01049737143649</v>
      </c>
      <c r="O53" s="2">
        <f t="shared" si="26"/>
        <v>536.01049737143649</v>
      </c>
      <c r="P53" s="2">
        <f t="shared" si="27"/>
        <v>3561.1766607454474</v>
      </c>
      <c r="Q53" s="2">
        <f t="shared" si="28"/>
        <v>167.829079763523</v>
      </c>
      <c r="R53" s="2">
        <f t="shared" si="29"/>
        <v>1619.4444702386438</v>
      </c>
      <c r="S53" s="2">
        <f t="shared" si="30"/>
        <v>1619.4444702386438</v>
      </c>
      <c r="T53" s="2">
        <f t="shared" si="31"/>
        <v>1619.4444702386438</v>
      </c>
      <c r="U53" s="2">
        <f t="shared" si="32"/>
        <v>71506.371969749627</v>
      </c>
      <c r="V53" s="2">
        <f t="shared" si="33"/>
        <v>13.319938076183279</v>
      </c>
      <c r="W53" s="2">
        <f t="shared" si="97"/>
        <v>18.837231610224411</v>
      </c>
      <c r="X53" s="2">
        <f t="shared" si="34"/>
        <v>37.674425888865684</v>
      </c>
      <c r="Y53" s="2">
        <f t="shared" si="15"/>
        <v>94.185784735290753</v>
      </c>
      <c r="Z53">
        <v>10</v>
      </c>
      <c r="AA53" s="2">
        <f t="shared" si="98"/>
        <v>258.35078508578681</v>
      </c>
      <c r="AB53" s="2">
        <f t="shared" si="99"/>
        <v>1601.8830757066175</v>
      </c>
      <c r="AC53">
        <v>23</v>
      </c>
      <c r="AD53" s="2">
        <f t="shared" si="100"/>
        <v>363.29044455327642</v>
      </c>
      <c r="AE53" s="2">
        <f t="shared" si="101"/>
        <v>3167.5187304892133</v>
      </c>
      <c r="AF53" s="13">
        <f t="shared" si="35"/>
        <v>378.91684634687715</v>
      </c>
      <c r="AG53" s="15">
        <f t="shared" si="36"/>
        <v>3.2975238553336985</v>
      </c>
      <c r="AH53" s="14">
        <f t="shared" si="37"/>
        <v>2.6380190842669586</v>
      </c>
      <c r="AI53" s="14">
        <f t="shared" si="38"/>
        <v>1.6487619276668486</v>
      </c>
      <c r="AJ53" s="14">
        <f t="shared" si="39"/>
        <v>1.6487619276668486</v>
      </c>
      <c r="AK53" s="14">
        <f t="shared" si="40"/>
        <v>1.6487619276668486</v>
      </c>
      <c r="AL53" s="11" t="str">
        <f t="shared" si="41"/>
        <v>3D6+2</v>
      </c>
      <c r="AM53" s="11" t="str">
        <f t="shared" si="42"/>
        <v>2D6+2</v>
      </c>
      <c r="AN53">
        <f t="shared" si="43"/>
        <v>34.200000000000003</v>
      </c>
      <c r="AO53">
        <f t="shared" si="44"/>
        <v>330.1</v>
      </c>
      <c r="AP53">
        <f t="shared" si="45"/>
        <v>330.1</v>
      </c>
      <c r="AQ53">
        <f t="shared" si="46"/>
        <v>330.1</v>
      </c>
      <c r="AR53" s="9">
        <f t="shared" si="47"/>
        <v>-4</v>
      </c>
      <c r="AS53" s="9">
        <f t="shared" si="48"/>
        <v>-12</v>
      </c>
      <c r="AT53" s="9">
        <f t="shared" si="49"/>
        <v>-12</v>
      </c>
      <c r="AU53" s="9">
        <f t="shared" si="50"/>
        <v>-12</v>
      </c>
      <c r="AV53" s="16" t="str">
        <f t="shared" si="51"/>
        <v>-</v>
      </c>
      <c r="AW53" s="16" t="str">
        <f t="shared" si="53"/>
        <v>-</v>
      </c>
      <c r="AX53" s="16" t="str">
        <f t="shared" si="54"/>
        <v>-</v>
      </c>
      <c r="AY53" s="16" t="str">
        <f t="shared" si="55"/>
        <v>-</v>
      </c>
    </row>
    <row r="54" spans="1:51">
      <c r="A54" t="s">
        <v>178</v>
      </c>
      <c r="B54">
        <v>5.5</v>
      </c>
      <c r="C54">
        <v>7.65</v>
      </c>
      <c r="D54">
        <v>0.35</v>
      </c>
      <c r="E54">
        <v>1.2250000000000001</v>
      </c>
      <c r="F54">
        <f t="shared" si="21"/>
        <v>4.596346401742717E-5</v>
      </c>
      <c r="G54" s="1">
        <f t="shared" si="22"/>
        <v>9.8534175987359497E-6</v>
      </c>
      <c r="H54" s="1">
        <v>1</v>
      </c>
      <c r="I54">
        <v>4.5</v>
      </c>
      <c r="J54">
        <v>350</v>
      </c>
      <c r="K54" s="2">
        <f t="shared" si="96"/>
        <v>336.875</v>
      </c>
      <c r="L54" s="2">
        <f t="shared" si="23"/>
        <v>62.27735300620958</v>
      </c>
      <c r="M54" s="2">
        <f t="shared" si="24"/>
        <v>193.45112773707891</v>
      </c>
      <c r="N54" s="2">
        <f t="shared" si="25"/>
        <v>193.45112773707891</v>
      </c>
      <c r="O54" s="2">
        <f t="shared" si="26"/>
        <v>193.45112773707891</v>
      </c>
      <c r="P54" s="2">
        <f t="shared" si="27"/>
        <v>1285.2614724348928</v>
      </c>
      <c r="Q54" s="2">
        <f t="shared" si="28"/>
        <v>15.529732502133569</v>
      </c>
      <c r="R54" s="2">
        <f t="shared" si="29"/>
        <v>149.84691970136839</v>
      </c>
      <c r="S54" s="2">
        <f t="shared" si="30"/>
        <v>149.84691970136839</v>
      </c>
      <c r="T54" s="2">
        <f t="shared" si="31"/>
        <v>149.84691970136839</v>
      </c>
      <c r="U54" s="2">
        <f t="shared" si="32"/>
        <v>6614.5699830470021</v>
      </c>
      <c r="V54" s="2">
        <f t="shared" si="33"/>
        <v>15.803323919010102</v>
      </c>
      <c r="W54" s="2">
        <f t="shared" si="97"/>
        <v>22.349272957512575</v>
      </c>
      <c r="X54" s="2">
        <f t="shared" si="34"/>
        <v>44.698531853063237</v>
      </c>
      <c r="Y54" s="2">
        <f t="shared" si="15"/>
        <v>111.74622416794372</v>
      </c>
      <c r="Z54">
        <v>3</v>
      </c>
      <c r="AA54" s="2">
        <f t="shared" si="98"/>
        <v>316.2607012634457</v>
      </c>
      <c r="AB54" s="2">
        <f t="shared" si="99"/>
        <v>275.05728570002771</v>
      </c>
      <c r="AC54">
        <v>10</v>
      </c>
      <c r="AD54" s="2">
        <f t="shared" si="100"/>
        <v>472.92005418246208</v>
      </c>
      <c r="AE54" s="2">
        <f t="shared" si="101"/>
        <v>615.04678853184282</v>
      </c>
      <c r="AF54" s="13">
        <f t="shared" si="35"/>
        <v>119.66025880718347</v>
      </c>
      <c r="AG54" s="15">
        <f t="shared" si="36"/>
        <v>1.4658381703879975</v>
      </c>
      <c r="AH54" s="14">
        <f t="shared" si="37"/>
        <v>1.172670536310398</v>
      </c>
      <c r="AI54" s="14">
        <f t="shared" si="38"/>
        <v>0.73291908519399873</v>
      </c>
      <c r="AJ54" s="14">
        <f t="shared" si="39"/>
        <v>0.73291908519399873</v>
      </c>
      <c r="AK54" s="14">
        <f t="shared" si="40"/>
        <v>0.73291908519399873</v>
      </c>
      <c r="AL54" s="11" t="str">
        <f t="shared" si="41"/>
        <v>1D6+1</v>
      </c>
      <c r="AM54" s="11" t="str">
        <f t="shared" si="42"/>
        <v>1D6</v>
      </c>
      <c r="AN54">
        <f t="shared" si="43"/>
        <v>3.2</v>
      </c>
      <c r="AO54">
        <f t="shared" si="44"/>
        <v>30.5</v>
      </c>
      <c r="AP54">
        <f t="shared" si="45"/>
        <v>30.5</v>
      </c>
      <c r="AQ54">
        <f t="shared" si="46"/>
        <v>30.5</v>
      </c>
      <c r="AR54" s="9">
        <f t="shared" si="47"/>
        <v>0</v>
      </c>
      <c r="AS54" s="9">
        <f t="shared" si="48"/>
        <v>-4</v>
      </c>
      <c r="AT54" s="9">
        <f t="shared" si="49"/>
        <v>-4</v>
      </c>
      <c r="AU54" s="9">
        <f t="shared" si="50"/>
        <v>-4</v>
      </c>
      <c r="AV54" s="16" t="str">
        <f t="shared" si="51"/>
        <v>-</v>
      </c>
      <c r="AW54" s="16" t="str">
        <f t="shared" si="53"/>
        <v>-</v>
      </c>
      <c r="AX54" s="16" t="str">
        <f t="shared" si="54"/>
        <v>-</v>
      </c>
      <c r="AY54" s="16" t="str">
        <f t="shared" si="55"/>
        <v>-</v>
      </c>
    </row>
    <row r="55" spans="1:51">
      <c r="A55" t="s">
        <v>180</v>
      </c>
      <c r="B55">
        <v>7</v>
      </c>
      <c r="C55">
        <v>8</v>
      </c>
      <c r="D55">
        <v>0.45</v>
      </c>
      <c r="E55">
        <v>1.2250000000000001</v>
      </c>
      <c r="F55">
        <f t="shared" si="21"/>
        <v>5.0265482457436693E-5</v>
      </c>
      <c r="G55" s="1">
        <f t="shared" si="22"/>
        <v>1.3854423602330989E-5</v>
      </c>
      <c r="H55" s="1">
        <v>1</v>
      </c>
      <c r="I55">
        <v>4.5</v>
      </c>
      <c r="J55">
        <v>250</v>
      </c>
      <c r="K55" s="2">
        <f t="shared" si="96"/>
        <v>218.75</v>
      </c>
      <c r="L55" s="2">
        <f t="shared" si="23"/>
        <v>56.372062239264245</v>
      </c>
      <c r="M55" s="2">
        <f t="shared" si="24"/>
        <v>175.10761916877109</v>
      </c>
      <c r="N55" s="2">
        <f t="shared" si="25"/>
        <v>175.10761916877109</v>
      </c>
      <c r="O55" s="2">
        <f t="shared" si="26"/>
        <v>175.10761916877109</v>
      </c>
      <c r="P55" s="2">
        <f t="shared" si="27"/>
        <v>1163.3898394911553</v>
      </c>
      <c r="Q55" s="2">
        <f t="shared" si="28"/>
        <v>24.939526091152555</v>
      </c>
      <c r="R55" s="2">
        <f t="shared" si="29"/>
        <v>240.64303443632426</v>
      </c>
      <c r="S55" s="2">
        <f t="shared" si="30"/>
        <v>240.64303443632426</v>
      </c>
      <c r="T55" s="2">
        <f t="shared" si="31"/>
        <v>240.64303443632426</v>
      </c>
      <c r="U55" s="2">
        <f t="shared" si="32"/>
        <v>10622.763873275964</v>
      </c>
      <c r="V55" s="2">
        <f t="shared" si="33"/>
        <v>11.288087493954281</v>
      </c>
      <c r="W55" s="2">
        <f t="shared" si="97"/>
        <v>15.963764358974538</v>
      </c>
      <c r="X55" s="2">
        <f t="shared" si="34"/>
        <v>31.927514595193113</v>
      </c>
      <c r="Y55" s="2">
        <f t="shared" si="15"/>
        <v>79.818680567313052</v>
      </c>
      <c r="Z55">
        <v>3</v>
      </c>
      <c r="AA55" s="2">
        <f t="shared" si="98"/>
        <v>225.9005009024612</v>
      </c>
      <c r="AB55" s="2">
        <f t="shared" si="99"/>
        <v>178.60862707794007</v>
      </c>
      <c r="AC55">
        <v>10</v>
      </c>
      <c r="AD55" s="2">
        <f t="shared" si="100"/>
        <v>337.80003870175864</v>
      </c>
      <c r="AE55" s="2">
        <f t="shared" si="101"/>
        <v>399.38103151418375</v>
      </c>
      <c r="AF55" s="13">
        <f t="shared" si="35"/>
        <v>139.26057520540843</v>
      </c>
      <c r="AG55" s="15">
        <f t="shared" si="36"/>
        <v>0.87037859503380266</v>
      </c>
      <c r="AH55" s="14">
        <f t="shared" si="37"/>
        <v>0.69630287602704211</v>
      </c>
      <c r="AI55" s="14">
        <f t="shared" si="38"/>
        <v>0.43518929751690127</v>
      </c>
      <c r="AJ55" s="14">
        <f t="shared" si="39"/>
        <v>0.43518929751690127</v>
      </c>
      <c r="AK55" s="14">
        <f t="shared" si="40"/>
        <v>0.43518929751690127</v>
      </c>
      <c r="AL55" s="11" t="str">
        <f t="shared" si="41"/>
        <v>1D6</v>
      </c>
      <c r="AM55" s="11">
        <f t="shared" si="42"/>
        <v>2</v>
      </c>
      <c r="AN55">
        <f t="shared" si="43"/>
        <v>5.0999999999999996</v>
      </c>
      <c r="AO55">
        <f t="shared" si="44"/>
        <v>49.1</v>
      </c>
      <c r="AP55">
        <f t="shared" si="45"/>
        <v>49.1</v>
      </c>
      <c r="AQ55">
        <f t="shared" si="46"/>
        <v>49.1</v>
      </c>
      <c r="AR55" s="9">
        <f t="shared" si="47"/>
        <v>-1</v>
      </c>
      <c r="AS55" s="9">
        <f t="shared" si="48"/>
        <v>-4</v>
      </c>
      <c r="AT55" s="9">
        <f t="shared" si="49"/>
        <v>-4</v>
      </c>
      <c r="AU55" s="9">
        <f t="shared" si="50"/>
        <v>-4</v>
      </c>
      <c r="AV55" s="16" t="str">
        <f t="shared" si="51"/>
        <v>-</v>
      </c>
      <c r="AW55" s="16" t="str">
        <f t="shared" si="53"/>
        <v>-</v>
      </c>
      <c r="AX55" s="16" t="str">
        <f t="shared" si="54"/>
        <v>-</v>
      </c>
      <c r="AY55" s="16" t="str">
        <f t="shared" si="55"/>
        <v>-</v>
      </c>
    </row>
    <row r="56" spans="1:51">
      <c r="A56" t="s">
        <v>682</v>
      </c>
      <c r="B56">
        <v>10.5</v>
      </c>
      <c r="C56">
        <v>6.5</v>
      </c>
      <c r="D56">
        <v>0.28000000000000003</v>
      </c>
      <c r="E56">
        <v>1.2250000000000001</v>
      </c>
      <c r="F56">
        <f t="shared" si="21"/>
        <v>3.3183072403542191E-5</v>
      </c>
      <c r="G56" s="1">
        <f t="shared" si="22"/>
        <v>5.6908969172074872E-6</v>
      </c>
      <c r="H56" s="1">
        <v>1</v>
      </c>
      <c r="I56">
        <v>24</v>
      </c>
      <c r="J56">
        <v>700</v>
      </c>
      <c r="K56" s="2">
        <f t="shared" si="96"/>
        <v>2572.5</v>
      </c>
      <c r="L56" s="2">
        <f t="shared" si="23"/>
        <v>205.85571333357689</v>
      </c>
      <c r="M56" s="2">
        <f t="shared" si="24"/>
        <v>639.44625089525869</v>
      </c>
      <c r="N56" s="2">
        <f t="shared" si="25"/>
        <v>1032.5201561031377</v>
      </c>
      <c r="O56" s="2">
        <f t="shared" si="26"/>
        <v>1332.3760109099378</v>
      </c>
      <c r="P56" s="2">
        <f t="shared" si="27"/>
        <v>4248.3889320387061</v>
      </c>
      <c r="Q56" s="2">
        <f t="shared" si="28"/>
        <v>42.419887107745424</v>
      </c>
      <c r="R56" s="2">
        <f t="shared" si="29"/>
        <v>409.31087185874537</v>
      </c>
      <c r="S56" s="2">
        <f t="shared" si="30"/>
        <v>1067.1946859975781</v>
      </c>
      <c r="T56" s="2">
        <f t="shared" si="31"/>
        <v>1777.0565384425811</v>
      </c>
      <c r="U56" s="2">
        <f t="shared" si="32"/>
        <v>18067.849705450331</v>
      </c>
      <c r="V56" s="2">
        <f t="shared" si="33"/>
        <v>31.606650808218447</v>
      </c>
      <c r="W56" s="2">
        <f t="shared" si="97"/>
        <v>44.698551855421641</v>
      </c>
      <c r="X56" s="2">
        <f t="shared" si="34"/>
        <v>89.39708746771241</v>
      </c>
      <c r="Y56" s="2">
        <f t="shared" si="15"/>
        <v>223.49259684579965</v>
      </c>
      <c r="Z56">
        <v>18</v>
      </c>
      <c r="AA56" s="2">
        <f t="shared" si="98"/>
        <v>651.42340137146971</v>
      </c>
      <c r="AB56" s="2">
        <f t="shared" si="99"/>
        <v>2227.8503512354687</v>
      </c>
      <c r="AC56">
        <v>27</v>
      </c>
      <c r="AD56" s="2">
        <f t="shared" si="100"/>
        <v>774.67734379022522</v>
      </c>
      <c r="AE56" s="2">
        <f t="shared" si="101"/>
        <v>3150.6561816548638</v>
      </c>
      <c r="AF56" s="13">
        <f t="shared" si="35"/>
        <v>316.42639573299908</v>
      </c>
      <c r="AG56" s="15">
        <f t="shared" si="36"/>
        <v>15.504893390916951</v>
      </c>
      <c r="AH56" s="14">
        <f t="shared" si="37"/>
        <v>12.403914712733563</v>
      </c>
      <c r="AI56" s="14">
        <f t="shared" si="38"/>
        <v>7.7524466954584756</v>
      </c>
      <c r="AJ56" s="14">
        <f t="shared" si="39"/>
        <v>5.0628223317279835</v>
      </c>
      <c r="AK56" s="14">
        <f t="shared" si="40"/>
        <v>3.6578891346734697</v>
      </c>
      <c r="AL56" s="11" t="str">
        <f t="shared" si="41"/>
        <v>4D6</v>
      </c>
      <c r="AM56" s="11" t="str">
        <f t="shared" si="42"/>
        <v>2D6+2</v>
      </c>
      <c r="AN56">
        <f t="shared" si="43"/>
        <v>8.6</v>
      </c>
      <c r="AO56">
        <f t="shared" si="44"/>
        <v>83.4</v>
      </c>
      <c r="AP56">
        <f t="shared" si="45"/>
        <v>217.6</v>
      </c>
      <c r="AQ56">
        <f t="shared" si="46"/>
        <v>362.3</v>
      </c>
      <c r="AR56" s="9">
        <f t="shared" si="47"/>
        <v>-1</v>
      </c>
      <c r="AS56" s="9">
        <f t="shared" si="48"/>
        <v>-8</v>
      </c>
      <c r="AT56" s="9">
        <f t="shared" si="49"/>
        <v>-12</v>
      </c>
      <c r="AU56" s="9">
        <f t="shared" si="50"/>
        <v>-12</v>
      </c>
      <c r="AV56" s="16" t="str">
        <f t="shared" si="51"/>
        <v>1D6+2</v>
      </c>
      <c r="AW56" s="16" t="str">
        <f t="shared" si="53"/>
        <v>2D6+1</v>
      </c>
      <c r="AX56" s="16" t="str">
        <f t="shared" si="54"/>
        <v>3D6+2</v>
      </c>
      <c r="AY56" s="16" t="str">
        <f t="shared" si="55"/>
        <v>-</v>
      </c>
    </row>
    <row r="58" spans="1:51">
      <c r="B58">
        <v>900000</v>
      </c>
      <c r="C58">
        <v>380</v>
      </c>
      <c r="D58">
        <v>0.35</v>
      </c>
      <c r="E58">
        <v>1.25</v>
      </c>
      <c r="F58">
        <f t="shared" ref="F58" si="102">PI()*C58^2/4000000</f>
        <v>0.11341149479459153</v>
      </c>
      <c r="G58" s="1">
        <f t="shared" ref="G58" si="103">0.5 * D58 * E58 * F58</f>
        <v>2.4808764486316897E-2</v>
      </c>
      <c r="H58" s="1">
        <v>1</v>
      </c>
      <c r="I58">
        <v>52</v>
      </c>
      <c r="J58">
        <v>850</v>
      </c>
      <c r="K58" s="2">
        <f t="shared" ref="K58" si="104">0.5 * (B58/1000) * (J58^2)</f>
        <v>325125000</v>
      </c>
      <c r="L58" s="2">
        <f t="shared" ref="L58" si="105">-(B58/1000) / (2 * G58) * LN(0.8)</f>
        <v>4047.5452998385849</v>
      </c>
      <c r="M58" s="2">
        <f t="shared" ref="M58" si="106">-(B58/1000) / (2 * G58) * LN(0.5)</f>
        <v>12572.824068849161</v>
      </c>
      <c r="N58" s="2">
        <f t="shared" ref="N58" si="107">MAX(M58, IF(J58&gt;400, -(B58/1000)/G58*LN(400/J58), M58))</f>
        <v>27344.957968902723</v>
      </c>
      <c r="O58" s="2">
        <f t="shared" ref="O58" si="108">MAX(N58, IF(J58&gt;340, -(B58/1000)/G58*LN(340/J58), N58))</f>
        <v>33240.73873737549</v>
      </c>
      <c r="P58" s="2">
        <f t="shared" ref="P58" si="109">(B58/1000) / (2 * G58) * LN(100)</f>
        <v>83532.035012772147</v>
      </c>
      <c r="Q58" s="2">
        <f t="shared" ref="Q58" si="110" xml:space="preserve"> (0.5 * 9.81 * (L58 / ($J58 - ($G58 * L58 / 2)))^2) * 100</f>
        <v>12562.254138269418</v>
      </c>
      <c r="R58" s="2">
        <f t="shared" ref="R58" si="111" xml:space="preserve"> (0.5 * 9.81 * (M58 / ($J58 - ($G58 * M58 / 2)))^2) * 100</f>
        <v>160965.69469406281</v>
      </c>
      <c r="S58" s="2">
        <f t="shared" ref="S58" si="112" xml:space="preserve"> (0.5 * 9.81 * (N58 / ($J58 - ($G58 * N58 / 2)))^2) * 100</f>
        <v>1405682.3199347253</v>
      </c>
      <c r="T58" s="2">
        <f t="shared" ref="T58" si="113" xml:space="preserve"> (0.5 * 9.81 * (O58 / ($J58 - ($G58 * O58 / 2)))^2) * 100</f>
        <v>2829361.459458299</v>
      </c>
      <c r="U58" s="2">
        <f t="shared" ref="U58" si="114" xml:space="preserve"> (0.5 * 9.81 * (P58 / ($J58 - ($G58 * P58 / 2)))^2) * 100</f>
        <v>98754532.138484791</v>
      </c>
      <c r="V58" s="2">
        <f t="shared" ref="V58" si="115">J58 * SQRT(0.02 / 9.81) * (1 - (G58 * SQRT(0.02 / 9.81) / 2))</f>
        <v>38.358013612417736</v>
      </c>
      <c r="W58" s="2">
        <f t="shared" ref="W58" si="116">J58 * SQRT(0.04 / 9.81) * (1 - (G58 * SQRT(0.04 / 9.81) / 2))</f>
        <v>54.233831086459794</v>
      </c>
      <c r="X58" s="2">
        <f t="shared" ref="X58" si="117">J58 * SQRT(0.16 / 9.81) * (1 - (G58 * SQRT(0.16 / 9.81) / 2))</f>
        <v>108.38167868744205</v>
      </c>
      <c r="Y58" s="2">
        <f t="shared" ref="Y58" si="118">J58 * SQRT(1 / 9.81) * (1 - (G58 * SQRT(1 / 9.81) / 2))</f>
        <v>270.30932057752352</v>
      </c>
      <c r="AF58" s="13">
        <f t="shared" ref="AF58" si="119">(B58/1000) / ((PI() * (C58/1000)^2) / 4)</f>
        <v>7935.7035336679119</v>
      </c>
      <c r="AG58" s="15">
        <f t="shared" ref="AG58" si="120">0.0000001 * AF58 * (2 * K58 / (B58/1000)) * H58</f>
        <v>573.35458030750658</v>
      </c>
      <c r="AH58" s="14">
        <f t="shared" ref="AH58" si="121">0.0000001 * AF58 * (2 * K58 * EXP(-(2*G58/(B58/1000)) * L58) / (B58/1000))  * H58</f>
        <v>458.68366424600532</v>
      </c>
      <c r="AI58" s="14">
        <f t="shared" ref="AI58" si="122">0.0000001 * AF58 * (2 * K58 * EXP(-(2*G58/(B58/1000)) * M58) / (B58/1000))  * H58</f>
        <v>286.67729015375329</v>
      </c>
      <c r="AJ58" s="14">
        <f t="shared" ref="AJ58" si="123">0.0000001 * AF58 * (2 * K58 * EXP(-(2*G58/(B58/1000)) * N58) / (B58/1000))  * H58</f>
        <v>126.97125653868662</v>
      </c>
      <c r="AK58" s="14">
        <f t="shared" ref="AK58" si="124">0.0000001 * AF58 * (2 * K58 * EXP(-(2*G58/(B58/1000)) * O58) / (B58/1000))  * H58</f>
        <v>91.73673284920109</v>
      </c>
      <c r="AL58" s="11" t="str">
        <f t="shared" ref="AL58" si="125">IF(INT(SQRT(K58)/12)=0, MOD(INT(SQRT(K58)/4),3), INT(SQRT(K58)/12) &amp; "D6" &amp; IF(MOD(INT(SQRT(K58)/4),3)=0, "", "+" &amp; MOD(INT(SQRT(K58)/4),3)))</f>
        <v>1502D6+1</v>
      </c>
      <c r="AM58" s="11" t="str">
        <f t="shared" ref="AM58" si="126">IF(INT(SQRT(K58*0.5)/12)=0, MOD(INT(SQRT(K58*0.5)/4),3), INT(SQRT(K58*0.5)/12) &amp; "D6" &amp; IF(MOD(INT(SQRT(K58*0.5)/4),3)=0, "", "+" &amp; MOD(INT(SQRT(K58*0.5)/4),3)))</f>
        <v>1062D6+1</v>
      </c>
      <c r="AN58">
        <f t="shared" ref="AN58" si="127">ROUND((L58 / (J58 * 0.1))^2, 1)</f>
        <v>2267.5</v>
      </c>
      <c r="AO58">
        <f t="shared" ref="AO58" si="128">ROUND((M58 / (J58 * 0.1))^2, 1)</f>
        <v>21879</v>
      </c>
      <c r="AP58">
        <f t="shared" ref="AP58" si="129">ROUND((N58 / (J58 * 0.1))^2, 1)</f>
        <v>103494.39999999999</v>
      </c>
      <c r="AQ58">
        <f t="shared" ref="AQ58" si="130">ROUND((O58 / (J58 * 0.1))^2, 1)</f>
        <v>152933.79999999999</v>
      </c>
      <c r="AR58" s="9">
        <f t="shared" ref="AR58" si="131">IF((L58/(J58*0.1))^2&lt;=5,0,IF((L58/(J58*0.1))^2&lt;=15,-1,IF((L58/(J58*0.1))^2&lt;=30,-2,IF((L58/(J58*0.1))^2&lt;=60,-4,IF((L58/(J58*0.1))^2&lt;=100,-8,-12)))))</f>
        <v>-12</v>
      </c>
      <c r="AS58" s="9">
        <f t="shared" ref="AS58" si="132">IF((M58/(J58*0.1))^2&lt;=5,0,IF((M58/(J58*0.1))^2&lt;=15,-1,IF((M58/(J58*0.1))^2&lt;=30,-2,IF((M58/(J58*0.1))^2&lt;=60,-4,IF((M58/(J58*0.1))^2&lt;=100,-8,-12)))))</f>
        <v>-12</v>
      </c>
      <c r="AT58" s="9">
        <f t="shared" ref="AT58" si="133">IF((N58/(J58*0.1))^2&lt;=5,0,IF((N58/(J58*0.1))^2&lt;=15,-1,IF((N58/(J58*0.1))^2&lt;=30,-2,IF((N58/(J58*0.1))^2&lt;=60,-4,IF((N58/(J58*0.1))^2&lt;=100,-8,-12)))))</f>
        <v>-12</v>
      </c>
      <c r="AU58" s="9">
        <f t="shared" ref="AU58" si="134">IF((O58/(J58*0.1))^2&lt;=5,0,IF((O58/(J58*0.1))^2&lt;=15,-1,IF((O58/(J58*0.1))^2&lt;=30,-2,IF((O58/(J58*0.1))^2&lt;=60,-4,IF((O58/(J58*0.1))^2&lt;=100,-8,-12)))))</f>
        <v>-12</v>
      </c>
      <c r="AV58" s="16" t="str">
        <f t="shared" ref="AV58" si="135">IF((SQRT($K58)*(7/AG58))&gt;=(SQRT($K58)),"-",IF(INT(SQRT($K58)*(7/AG58)/12)=0, MOD(INT(SQRT($K58)*(7/AG58)/4),3), INT(SQRT($K58)*(7/AG58)/12) &amp; "D6"  &amp; IF(MOD(INT(SQRT($K58)*(7/AG58)/4),3)=0, "", "+" &amp; MOD(INT(SQRT($K58)*(7/AG58)/4),3))))</f>
        <v>18D6+1</v>
      </c>
      <c r="AW58" s="16" t="str">
        <f t="shared" ref="AW58" si="136">IF((SQRT($K58)*(7/AH58))&gt;=(SQRT($K58)),"-",IF(INT(SQRT($K58)*(7/AH58)/12)=0, MOD(INT(SQRT($K58)*(7/AH58)/4),3), INT(SQRT($K58)*(7/AH58)/12) &amp; "D6"  &amp; IF(MOD(INT(SQRT($K58)*(7/AH58)/4),3)=0, "", "+" &amp; MOD(INT(SQRT($K58)*(7/AH58)/4),3))))</f>
        <v>22D6+2</v>
      </c>
      <c r="AX58" s="16" t="str">
        <f t="shared" ref="AX58" si="137">IF((SQRT($K58)*(7/AI58))&gt;=(SQRT($K58)),"-",IF(INT(SQRT($K58)*(7/AI58)/12)=0, MOD(INT(SQRT($K58)*(7/AI58)/4),3), INT(SQRT($K58)*(7/AI58)/12) &amp; "D6"  &amp; IF(MOD(INT(SQRT($K58)*(7/AI58)/4),3)=0, "", "+" &amp; MOD(INT(SQRT($K58)*(7/AI58)/4),3))))</f>
        <v>36D6+2</v>
      </c>
      <c r="AY58" s="16" t="str">
        <f t="shared" ref="AY58" si="138">IF((SQRT($K58)*(7/AJ58))&gt;=(SQRT($K58)),"-",IF(INT(SQRT($K58)*(7/AJ58)/12)=0, MOD(INT(SQRT($K58)*(7/AJ58)/4),3), INT(SQRT($K58)*(7/AJ58)/12) &amp; "D6"  &amp; IF(MOD(INT(SQRT($K58)*(7/AJ58)/4),3)=0, "", "+" &amp; MOD(INT(SQRT($K58)*(7/AJ58)/4),3))))</f>
        <v>82D6+2</v>
      </c>
    </row>
    <row r="59" spans="1:51">
      <c r="B59">
        <v>14000</v>
      </c>
      <c r="C59">
        <v>120</v>
      </c>
      <c r="D59">
        <v>0.35</v>
      </c>
      <c r="E59">
        <v>1.25</v>
      </c>
      <c r="F59">
        <f t="shared" ref="F59" si="139">PI()*C59^2/4000000</f>
        <v>1.1309733552923255E-2</v>
      </c>
      <c r="G59" s="1">
        <f t="shared" ref="G59" si="140">0.5 * D59 * E59 * F59</f>
        <v>2.4740042147019621E-3</v>
      </c>
      <c r="H59" s="1">
        <v>1</v>
      </c>
      <c r="I59">
        <v>244</v>
      </c>
      <c r="J59">
        <v>1100</v>
      </c>
      <c r="K59" s="2">
        <f t="shared" ref="K59" si="141">0.5 * (B59/1000) * (J59^2)</f>
        <v>8470000</v>
      </c>
      <c r="L59" s="2">
        <f t="shared" ref="L59" si="142">-(B59/1000) / (2 * G59) * LN(0.8)</f>
        <v>631.36709707975956</v>
      </c>
      <c r="M59" s="2">
        <f t="shared" ref="M59" si="143">-(B59/1000) / (2 * G59) * LN(0.5)</f>
        <v>1961.2053346902364</v>
      </c>
      <c r="N59" s="2">
        <f t="shared" ref="N59" si="144">MAX(M59, IF(J59&gt;400, -(B59/1000)/G59*LN(400/J59), M59))</f>
        <v>5724.4901521741476</v>
      </c>
      <c r="O59" s="2">
        <f t="shared" ref="O59" si="145">MAX(N59, IF(J59&gt;340, -(B59/1000)/G59*LN(340/J59), N59))</f>
        <v>6644.1591646390052</v>
      </c>
      <c r="P59" s="2">
        <f t="shared" ref="P59" si="146">(B59/1000) / (2 * G59) * LN(100)</f>
        <v>13029.966202300939</v>
      </c>
      <c r="Q59" s="2">
        <f t="shared" ref="Q59" si="147" xml:space="preserve"> (0.5 * 9.81 * (L59 / ($J59 - ($G59 * L59 / 2)))^2) * 100</f>
        <v>161.82084004764923</v>
      </c>
      <c r="R59" s="2">
        <f t="shared" ref="R59" si="148" xml:space="preserve"> (0.5 * 9.81 * (M59 / ($J59 - ($G59 * M59 / 2)))^2) * 100</f>
        <v>1566.0929487996395</v>
      </c>
      <c r="S59" s="2">
        <f t="shared" ref="S59" si="149" xml:space="preserve"> (0.5 * 9.81 * (N59 / ($J59 - ($G59 * N59 / 2)))^2) * 100</f>
        <v>13456.646652470075</v>
      </c>
      <c r="T59" s="2">
        <f t="shared" ref="T59" si="150" xml:space="preserve"> (0.5 * 9.81 * (O59 / ($J59 - ($G59 * O59 / 2)))^2) * 100</f>
        <v>18165.521686623746</v>
      </c>
      <c r="U59" s="2">
        <f t="shared" ref="U59" si="151" xml:space="preserve"> (0.5 * 9.81 * (P59 / ($J59 - ($G59 * P59 / 2)))^2) * 100</f>
        <v>70886.193964085949</v>
      </c>
      <c r="V59" s="2">
        <f t="shared" ref="V59" si="152">J59 * SQRT(0.02 / 9.81) * (1 - (G59 * SQRT(0.02 / 9.81) / 2))</f>
        <v>49.664826395651424</v>
      </c>
      <c r="W59" s="2">
        <f t="shared" ref="W59" si="153">J59 * SQRT(0.04 / 9.81) * (1 - (G59 * SQRT(0.04 / 9.81) / 2))</f>
        <v>70.235046023993149</v>
      </c>
      <c r="X59" s="2">
        <f t="shared" ref="X59" si="154">J59 * SQRT(0.16 / 9.81) * (1 - (G59 * SQRT(0.16 / 9.81) / 2))</f>
        <v>140.45899559687041</v>
      </c>
      <c r="Y59" s="2">
        <f t="shared" ref="Y59" si="155">J59 * SQRT(1 / 9.81) * (1 - (G59 * SQRT(1 / 9.81) / 2))</f>
        <v>351.06426560880686</v>
      </c>
      <c r="AF59" s="13">
        <f t="shared" ref="AF59" si="156">(B59/1000) / ((PI() * (C59/1000)^2) / 4)</f>
        <v>1237.8717796036306</v>
      </c>
      <c r="AG59" s="15">
        <f t="shared" ref="AG59" si="157">0.0000001 * AF59 * (2 * K59 / (B59/1000)) * H59</f>
        <v>149.78248533203927</v>
      </c>
      <c r="AH59" s="14">
        <f t="shared" ref="AH59" si="158">0.0000001 * AF59 * (2 * K59 * EXP(-(2*G59/(B59/1000)) * L59) / (B59/1000))  * H59</f>
        <v>119.82598826563142</v>
      </c>
      <c r="AI59" s="14">
        <f t="shared" ref="AI59" si="159">0.0000001 * AF59 * (2 * K59 * EXP(-(2*G59/(B59/1000)) * M59) / (B59/1000))  * H59</f>
        <v>74.891242666019636</v>
      </c>
      <c r="AJ59" s="14">
        <f t="shared" ref="AJ59" si="160">0.0000001 * AF59 * (2 * K59 * EXP(-(2*G59/(B59/1000)) * N59) / (B59/1000))  * H59</f>
        <v>19.805948473658088</v>
      </c>
      <c r="AK59" s="14">
        <f t="shared" ref="AK59" si="161">0.0000001 * AF59 * (2 * K59 * EXP(-(2*G59/(B59/1000)) * O59) / (B59/1000))  * H59</f>
        <v>14.309797772217969</v>
      </c>
      <c r="AL59" s="11" t="str">
        <f t="shared" ref="AL59" si="162">IF(INT(SQRT(K59)/12)=0, MOD(INT(SQRT(K59)/4),3), INT(SQRT(K59)/12) &amp; "D6" &amp; IF(MOD(INT(SQRT(K59)/4),3)=0, "", "+" &amp; MOD(INT(SQRT(K59)/4),3)))</f>
        <v>242D6+1</v>
      </c>
      <c r="AM59" s="11" t="str">
        <f t="shared" ref="AM59" si="163">IF(INT(SQRT(K59*0.5)/12)=0, MOD(INT(SQRT(K59*0.5)/4),3), INT(SQRT(K59*0.5)/12) &amp; "D6" &amp; IF(MOD(INT(SQRT(K59*0.5)/4),3)=0, "", "+" &amp; MOD(INT(SQRT(K59*0.5)/4),3)))</f>
        <v>171D6+1</v>
      </c>
      <c r="AN59">
        <f t="shared" ref="AN59" si="164">ROUND((L59 / (J59 * 0.1))^2, 1)</f>
        <v>32.9</v>
      </c>
      <c r="AO59">
        <f t="shared" ref="AO59" si="165">ROUND((M59 / (J59 * 0.1))^2, 1)</f>
        <v>317.89999999999998</v>
      </c>
      <c r="AP59">
        <f t="shared" ref="AP59" si="166">ROUND((N59 / (J59 * 0.1))^2, 1)</f>
        <v>2708.2</v>
      </c>
      <c r="AQ59">
        <f t="shared" ref="AQ59" si="167">ROUND((O59 / (J59 * 0.1))^2, 1)</f>
        <v>3648.3</v>
      </c>
      <c r="AR59" s="9">
        <f t="shared" ref="AR59" si="168">IF((L59/(J59*0.1))^2&lt;=5,0,IF((L59/(J59*0.1))^2&lt;=15,-1,IF((L59/(J59*0.1))^2&lt;=30,-2,IF((L59/(J59*0.1))^2&lt;=60,-4,IF((L59/(J59*0.1))^2&lt;=100,-8,-12)))))</f>
        <v>-4</v>
      </c>
      <c r="AS59" s="9">
        <f t="shared" ref="AS59" si="169">IF((M59/(J59*0.1))^2&lt;=5,0,IF((M59/(J59*0.1))^2&lt;=15,-1,IF((M59/(J59*0.1))^2&lt;=30,-2,IF((M59/(J59*0.1))^2&lt;=60,-4,IF((M59/(J59*0.1))^2&lt;=100,-8,-12)))))</f>
        <v>-12</v>
      </c>
      <c r="AT59" s="9">
        <f t="shared" ref="AT59" si="170">IF((N59/(J59*0.1))^2&lt;=5,0,IF((N59/(J59*0.1))^2&lt;=15,-1,IF((N59/(J59*0.1))^2&lt;=30,-2,IF((N59/(J59*0.1))^2&lt;=60,-4,IF((N59/(J59*0.1))^2&lt;=100,-8,-12)))))</f>
        <v>-12</v>
      </c>
      <c r="AU59" s="9">
        <f t="shared" ref="AU59" si="171">IF((O59/(J59*0.1))^2&lt;=5,0,IF((O59/(J59*0.1))^2&lt;=15,-1,IF((O59/(J59*0.1))^2&lt;=30,-2,IF((O59/(J59*0.1))^2&lt;=60,-4,IF((O59/(J59*0.1))^2&lt;=100,-8,-12)))))</f>
        <v>-12</v>
      </c>
      <c r="AV59" s="16" t="str">
        <f t="shared" ref="AV59" si="172">IF((SQRT($K59)*(7/AG59))&gt;=(SQRT($K59)),"-",IF(INT(SQRT($K59)*(7/AG59)/12)=0, MOD(INT(SQRT($K59)*(7/AG59)/4),3), INT(SQRT($K59)*(7/AG59)/12) &amp; "D6"  &amp; IF(MOD(INT(SQRT($K59)*(7/AG59)/4),3)=0, "", "+" &amp; MOD(INT(SQRT($K59)*(7/AG59)/4),3))))</f>
        <v>11D6+1</v>
      </c>
      <c r="AW59" s="16" t="str">
        <f t="shared" ref="AW59" si="173">IF((SQRT($K59)*(7/AH59))&gt;=(SQRT($K59)),"-",IF(INT(SQRT($K59)*(7/AH59)/12)=0, MOD(INT(SQRT($K59)*(7/AH59)/4),3), INT(SQRT($K59)*(7/AH59)/12) &amp; "D6"  &amp; IF(MOD(INT(SQRT($K59)*(7/AH59)/4),3)=0, "", "+" &amp; MOD(INT(SQRT($K59)*(7/AH59)/4),3))))</f>
        <v>14D6</v>
      </c>
      <c r="AX59" s="16" t="str">
        <f t="shared" ref="AX59" si="174">IF((SQRT($K59)*(7/AI59))&gt;=(SQRT($K59)),"-",IF(INT(SQRT($K59)*(7/AI59)/12)=0, MOD(INT(SQRT($K59)*(7/AI59)/4),3), INT(SQRT($K59)*(7/AI59)/12) &amp; "D6"  &amp; IF(MOD(INT(SQRT($K59)*(7/AI59)/4),3)=0, "", "+" &amp; MOD(INT(SQRT($K59)*(7/AI59)/4),3))))</f>
        <v>22D6+2</v>
      </c>
      <c r="AY59" s="16" t="str">
        <f t="shared" ref="AY59" si="175">IF((SQRT($K59)*(7/AJ59))&gt;=(SQRT($K59)),"-",IF(INT(SQRT($K59)*(7/AJ59)/12)=0, MOD(INT(SQRT($K59)*(7/AJ59)/4),3), INT(SQRT($K59)*(7/AJ59)/12) &amp; "D6"  &amp; IF(MOD(INT(SQRT($K59)*(7/AJ59)/4),3)=0, "", "+" &amp; MOD(INT(SQRT($K59)*(7/AJ59)/4),3))))</f>
        <v>85D6+2</v>
      </c>
    </row>
    <row r="60" spans="1:51">
      <c r="G60" s="1"/>
      <c r="H60" s="1"/>
      <c r="AH60" s="14"/>
      <c r="AI60" s="14"/>
      <c r="AJ60" s="14"/>
      <c r="AK60" s="14"/>
      <c r="AV60" s="16"/>
      <c r="AW60" s="16"/>
      <c r="AX60" s="16"/>
      <c r="AY60" s="16"/>
    </row>
  </sheetData>
  <autoFilter ref="A1:AU58" xr:uid="{39CD9053-F5FB-4906-BBB6-020269F367D5}"/>
  <pageMargins left="0.7" right="0.7" top="0.75" bottom="0.75" header="0.3" footer="0.3"/>
  <ignoredErrors>
    <ignoredError sqref="AD32:AD56 AD3:AD13 AD15:AD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Munition</vt:lpstr>
      <vt:lpstr>Weapon</vt:lpstr>
      <vt:lpstr>Feature</vt:lpstr>
      <vt:lpstr>Armor</vt:lpstr>
      <vt:lpstr>Equipement</vt:lpstr>
      <vt:lpstr>Data Balistique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Doussot</dc:creator>
  <cp:lastModifiedBy>Jerome Doussot</cp:lastModifiedBy>
  <dcterms:created xsi:type="dcterms:W3CDTF">2026-03-10T16:49:41Z</dcterms:created>
  <dcterms:modified xsi:type="dcterms:W3CDTF">2026-04-08T20:15:33Z</dcterms:modified>
</cp:coreProperties>
</file>