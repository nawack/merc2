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9420" yWindow="1800" windowWidth="27405" windowHeight="16440" activeTab="1"/>
  </bookViews>
  <sheets>
    <sheet name="Munition" sheetId="1" r:id="rId1"/>
    <sheet name="Weapon" sheetId="3" r:id="rId2"/>
  </sheets>
  <definedNames>
    <definedName name="_xlnm._FilterDatabase" localSheetId="0" hidden="1">Munition!$A$1:$M$124</definedName>
    <definedName name="_xlnm._FilterDatabase" localSheetId="1" hidden="1">Weapon!$A$1:$L$376</definedName>
  </definedNames>
  <calcPr calcId="14562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6" i="1"/>
  <c r="D57" i="1"/>
  <c r="D58" i="1"/>
  <c r="D59" i="1"/>
  <c r="D60" i="1"/>
  <c r="D62" i="1"/>
  <c r="D63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2" i="1"/>
  <c r="D61" i="1"/>
  <c r="D125" i="1"/>
  <c r="D65" i="1"/>
  <c r="D55" i="1"/>
  <c r="D64" i="1"/>
  <c r="D54" i="1"/>
</calcChain>
</file>

<file path=xl/sharedStrings.xml><?xml version="1.0" encoding="utf-8"?>
<sst xmlns="http://schemas.openxmlformats.org/spreadsheetml/2006/main" count="3755" uniqueCount="848">
  <si>
    <t>Munition</t>
  </si>
  <si>
    <t>Calibre</t>
  </si>
  <si>
    <t>type</t>
  </si>
  <si>
    <t>vitesse (m/s)</t>
  </si>
  <si>
    <t>poids munition</t>
  </si>
  <si>
    <t>5,45 M74</t>
  </si>
  <si>
    <t>5,45x39</t>
  </si>
  <si>
    <t>BO</t>
  </si>
  <si>
    <t>2D6+1</t>
  </si>
  <si>
    <t>2D6+2</t>
  </si>
  <si>
    <t>5,45 7N22</t>
  </si>
  <si>
    <t>AP</t>
  </si>
  <si>
    <t>0+2</t>
  </si>
  <si>
    <t>1+1</t>
  </si>
  <si>
    <t>3D6+0</t>
  </si>
  <si>
    <t>5,56 M193</t>
  </si>
  <si>
    <t>5,56x45</t>
  </si>
  <si>
    <t>1+2</t>
  </si>
  <si>
    <t>5,56 M855</t>
  </si>
  <si>
    <t>5,56 M995 AP45</t>
  </si>
  <si>
    <t>3D6+1</t>
  </si>
  <si>
    <t>3D6+2</t>
  </si>
  <si>
    <t>5,56 M855A1 EPR</t>
  </si>
  <si>
    <t>Sniper</t>
  </si>
  <si>
    <t>5,56 Mk262</t>
  </si>
  <si>
    <t>2D6+3</t>
  </si>
  <si>
    <t>.22 LR</t>
  </si>
  <si>
    <t>5,56x15</t>
  </si>
  <si>
    <t>0D6+2</t>
  </si>
  <si>
    <t>0D6+3</t>
  </si>
  <si>
    <t>.22 LR Creuse</t>
  </si>
  <si>
    <t>Expansion</t>
  </si>
  <si>
    <t>.22 LR High Velocity</t>
  </si>
  <si>
    <t>1D6+0</t>
  </si>
  <si>
    <t>.22 LR Stinger</t>
  </si>
  <si>
    <t>.22 Magnum</t>
  </si>
  <si>
    <t>.22 LR Sub</t>
  </si>
  <si>
    <t>Subsonique</t>
  </si>
  <si>
    <t>.25 ACP</t>
  </si>
  <si>
    <t>6,35x16</t>
  </si>
  <si>
    <t>7,5 MAS Mle 29C</t>
  </si>
  <si>
    <t>7,5x54</t>
  </si>
  <si>
    <t>2+2</t>
  </si>
  <si>
    <t>4D6+0</t>
  </si>
  <si>
    <t>4D6+2</t>
  </si>
  <si>
    <t>7,5 MAS Lourde Mle33</t>
  </si>
  <si>
    <t>4D6+1</t>
  </si>
  <si>
    <t>5D6+0</t>
  </si>
  <si>
    <t>7,5 MAS perfo Mle29D</t>
  </si>
  <si>
    <t>7,62 TT</t>
  </si>
  <si>
    <t>7,62x25</t>
  </si>
  <si>
    <t>1D6+2</t>
  </si>
  <si>
    <t>1D6+3</t>
  </si>
  <si>
    <t>7.62 TTP</t>
  </si>
  <si>
    <t>2D6+0</t>
  </si>
  <si>
    <t>7.62 TT M48</t>
  </si>
  <si>
    <t>7,62 T Sub</t>
  </si>
  <si>
    <t>7,62 R</t>
  </si>
  <si>
    <t>7,62x39</t>
  </si>
  <si>
    <t>7,62 R AP</t>
  </si>
  <si>
    <t>.30 Carbine</t>
  </si>
  <si>
    <t>7,62x33</t>
  </si>
  <si>
    <t>.30-30</t>
  </si>
  <si>
    <t>7,8x52</t>
  </si>
  <si>
    <t>3D6+3</t>
  </si>
  <si>
    <t>.300 BLK</t>
  </si>
  <si>
    <t>7,8x34</t>
  </si>
  <si>
    <t>.300 AAC</t>
  </si>
  <si>
    <t>.300 Whisper</t>
  </si>
  <si>
    <t>Sub</t>
  </si>
  <si>
    <t>.303 british</t>
  </si>
  <si>
    <t>.303</t>
  </si>
  <si>
    <t>7,62 N</t>
  </si>
  <si>
    <t>7,62x51</t>
  </si>
  <si>
    <t>2+1</t>
  </si>
  <si>
    <t>7,62 M993</t>
  </si>
  <si>
    <t>7,62 M118LR</t>
  </si>
  <si>
    <t>Sniper AP</t>
  </si>
  <si>
    <t>7,62 M948SABOT</t>
  </si>
  <si>
    <t>.30-06</t>
  </si>
  <si>
    <t>7,62x63</t>
  </si>
  <si>
    <t>.30-06 plus</t>
  </si>
  <si>
    <t>7,62x54 RAP</t>
  </si>
  <si>
    <t>7,62x54</t>
  </si>
  <si>
    <t>7,62x54 R</t>
  </si>
  <si>
    <t>7,62x54 RSP</t>
  </si>
  <si>
    <t>.32 ACP</t>
  </si>
  <si>
    <t>7,65x17</t>
  </si>
  <si>
    <t>7,92x33</t>
  </si>
  <si>
    <t>8mm Mauser</t>
  </si>
  <si>
    <t>7,92x57</t>
  </si>
  <si>
    <t>8mm Lebel</t>
  </si>
  <si>
    <t>8x51</t>
  </si>
  <si>
    <t>8 Nambu</t>
  </si>
  <si>
    <t>8x22</t>
  </si>
  <si>
    <t>1D6+1</t>
  </si>
  <si>
    <t>.380 ACP</t>
  </si>
  <si>
    <t>9x17</t>
  </si>
  <si>
    <t>9M</t>
  </si>
  <si>
    <t>9x18</t>
  </si>
  <si>
    <t>9M PBM</t>
  </si>
  <si>
    <t>9M SP 7</t>
  </si>
  <si>
    <t>9x19</t>
  </si>
  <si>
    <t>9 PAP</t>
  </si>
  <si>
    <t>9 PF</t>
  </si>
  <si>
    <t>9 S</t>
  </si>
  <si>
    <t>.38 Special</t>
  </si>
  <si>
    <t>9x29</t>
  </si>
  <si>
    <t>.38 Spe Blindé</t>
  </si>
  <si>
    <t>.38 Spe Tête creuse</t>
  </si>
  <si>
    <t>.38 Spe SJHP</t>
  </si>
  <si>
    <t>.38 Spe JHP</t>
  </si>
  <si>
    <t>.38 Spe Grizzly</t>
  </si>
  <si>
    <t>9X29</t>
  </si>
  <si>
    <t>JHP+P</t>
  </si>
  <si>
    <t>.38 Spe +P+</t>
  </si>
  <si>
    <t>.38 Spe Super Police</t>
  </si>
  <si>
    <t>.38 Cor-Bon FMJ</t>
  </si>
  <si>
    <t>.357 Magnum</t>
  </si>
  <si>
    <t>9x33</t>
  </si>
  <si>
    <t>.357 Mag SB</t>
  </si>
  <si>
    <t>.357 Mag Blindé</t>
  </si>
  <si>
    <t>.357 Mag TT creuse</t>
  </si>
  <si>
    <t>.357 Mag JHP 1</t>
  </si>
  <si>
    <t>.357 Mag JHP 2</t>
  </si>
  <si>
    <t>.44-40</t>
  </si>
  <si>
    <t>.44 Magnum</t>
  </si>
  <si>
    <t>11,43x23</t>
  </si>
  <si>
    <t>.44 AMP</t>
  </si>
  <si>
    <t>10,74x33</t>
  </si>
  <si>
    <t>.40 S&amp;W</t>
  </si>
  <si>
    <t>10x22</t>
  </si>
  <si>
    <t>.45 ACP</t>
  </si>
  <si>
    <t>.45 ACP Blindé</t>
  </si>
  <si>
    <t>.45 ACP TT creuse</t>
  </si>
  <si>
    <t>0D6+0</t>
  </si>
  <si>
    <t>9 SP 6</t>
  </si>
  <si>
    <t>9x39</t>
  </si>
  <si>
    <t>9 SP 5</t>
  </si>
  <si>
    <t>9 BP</t>
  </si>
  <si>
    <t>7,62 SP 4</t>
  </si>
  <si>
    <t>7.62x41</t>
  </si>
  <si>
    <t>9 PBP</t>
  </si>
  <si>
    <t>7N21</t>
  </si>
  <si>
    <t>7N31</t>
  </si>
  <si>
    <t>7N28 / SP-11</t>
  </si>
  <si>
    <t>9x21</t>
  </si>
  <si>
    <t>7N29 / SP-10</t>
  </si>
  <si>
    <t>5,45 MPT</t>
  </si>
  <si>
    <t>SS190</t>
  </si>
  <si>
    <t>5,7x28</t>
  </si>
  <si>
    <t>SB193</t>
  </si>
  <si>
    <t>SS192</t>
  </si>
  <si>
    <t>5,8 DBP87</t>
  </si>
  <si>
    <t>5,8x42</t>
  </si>
  <si>
    <t>5,8 DBP88</t>
  </si>
  <si>
    <t>.50 BMG</t>
  </si>
  <si>
    <t>12,7x99</t>
  </si>
  <si>
    <t>10D6+0</t>
  </si>
  <si>
    <t>.50 BMG HP</t>
  </si>
  <si>
    <t>10D6+1</t>
  </si>
  <si>
    <t>.50 BMG API-S</t>
  </si>
  <si>
    <t>14,5 MDZ</t>
  </si>
  <si>
    <t>14,5x114</t>
  </si>
  <si>
    <t>14,5 BS</t>
  </si>
  <si>
    <t>13D6+2</t>
  </si>
  <si>
    <t>14,5 BZT</t>
  </si>
  <si>
    <t>8x57 JR</t>
  </si>
  <si>
    <t>7,92x94</t>
  </si>
  <si>
    <t>7,92DS</t>
  </si>
  <si>
    <t>7,92x107</t>
  </si>
  <si>
    <t>12,7R</t>
  </si>
  <si>
    <t>12,7x108</t>
  </si>
  <si>
    <t>10D6+2</t>
  </si>
  <si>
    <t>12,7 BZT</t>
  </si>
  <si>
    <t>13x92SR</t>
  </si>
  <si>
    <t>13x92</t>
  </si>
  <si>
    <t>.55 Boys</t>
  </si>
  <si>
    <t>13,9x99</t>
  </si>
  <si>
    <t>15,2x114</t>
  </si>
  <si>
    <t>.308 Winchester D46</t>
  </si>
  <si>
    <t>.308 Winchester AP</t>
  </si>
  <si>
    <t>.308 Winchester Sub</t>
  </si>
  <si>
    <t>4,6x30</t>
  </si>
  <si>
    <t>Cal. 12 G</t>
  </si>
  <si>
    <t>18,5x70</t>
  </si>
  <si>
    <t>Grenaille</t>
  </si>
  <si>
    <t>Cal. 12 Mag</t>
  </si>
  <si>
    <t>Cal. 12 B</t>
  </si>
  <si>
    <t>Brenneke</t>
  </si>
  <si>
    <t>Cal. 12 E</t>
  </si>
  <si>
    <t>Cal. 16 G</t>
  </si>
  <si>
    <t>16,8x70</t>
  </si>
  <si>
    <t>Cal. 16 B</t>
  </si>
  <si>
    <t>Cal. 20 G</t>
  </si>
  <si>
    <t>15,6x67</t>
  </si>
  <si>
    <t>Cal. 20 E</t>
  </si>
  <si>
    <t>Cal. 20 B</t>
  </si>
  <si>
    <t>.300 WM</t>
  </si>
  <si>
    <t>7,62x66</t>
  </si>
  <si>
    <t>8,58x71</t>
  </si>
  <si>
    <t>6D6+1</t>
  </si>
  <si>
    <t>7,62x42</t>
  </si>
  <si>
    <t>.50 AE</t>
  </si>
  <si>
    <t>12,7 x 32,6</t>
  </si>
  <si>
    <t>STS-130 TP</t>
  </si>
  <si>
    <t>12,7x55</t>
  </si>
  <si>
    <t>STS-130 BP</t>
  </si>
  <si>
    <t>7,65 L</t>
  </si>
  <si>
    <t>7,65x20</t>
  </si>
  <si>
    <t>8 court</t>
  </si>
  <si>
    <t>8x27</t>
  </si>
  <si>
    <t>Type de munition</t>
  </si>
  <si>
    <t>poids du projectile</t>
  </si>
  <si>
    <t>Penétration Courte</t>
  </si>
  <si>
    <t>Pénétration Moyenne</t>
  </si>
  <si>
    <t>Pénétration Longue</t>
  </si>
  <si>
    <t>Pénétration Extreme</t>
  </si>
  <si>
    <t>9 P</t>
  </si>
  <si>
    <t>Calibre - type</t>
  </si>
  <si>
    <t>Nom</t>
  </si>
  <si>
    <t>Poids à vide</t>
  </si>
  <si>
    <t>Tula Arms Plant - MSS Vul</t>
  </si>
  <si>
    <t>Accuracy international - AW50F</t>
  </si>
  <si>
    <t>Accuracy internationnal - AT308</t>
  </si>
  <si>
    <t>ARES - LMG-1</t>
  </si>
  <si>
    <t>Ares Inc - FMG</t>
  </si>
  <si>
    <t>Armalite - AR 18</t>
  </si>
  <si>
    <t>Armurier Breton - FSA Commando</t>
  </si>
  <si>
    <t>Armurier Breton - FSA Précision</t>
  </si>
  <si>
    <t>Armurier Breton - FSA Précision S</t>
  </si>
  <si>
    <t>Atchisson - AA-12</t>
  </si>
  <si>
    <t>Auto mag corporation - .44 Automag</t>
  </si>
  <si>
    <t>Auto-Ordonnance Cie - Thompson Mle 1928</t>
  </si>
  <si>
    <t>Barrett - M82A1 Light-Fifty</t>
  </si>
  <si>
    <t>Barrett - M82A2 Light-Fifty</t>
  </si>
  <si>
    <t>Barrett - M95</t>
  </si>
  <si>
    <t>Benelli - Benelli Supernova</t>
  </si>
  <si>
    <t>Benelli - M2</t>
  </si>
  <si>
    <t>Benelli - M3</t>
  </si>
  <si>
    <t>Beretta - AR 70</t>
  </si>
  <si>
    <t>beretta - Beretta 92FS</t>
  </si>
  <si>
    <t>Beretta - Beretta 93 R</t>
  </si>
  <si>
    <t>Beretta - Beretta 93 R stock</t>
  </si>
  <si>
    <t>beretta - Beretta 96 CP</t>
  </si>
  <si>
    <t>10,17x29</t>
  </si>
  <si>
    <t>Beretta - Beretta ARX-100</t>
  </si>
  <si>
    <t>Beretta - Beretta AS 70/90</t>
  </si>
  <si>
    <t>Beretta - Beretta BM59</t>
  </si>
  <si>
    <t>beretta - Beretta CX-4 Storm</t>
  </si>
  <si>
    <t>Beretta - Beretta M12</t>
  </si>
  <si>
    <t>Beretta - Beretta M1918</t>
  </si>
  <si>
    <t>Beretta - Beretta M34</t>
  </si>
  <si>
    <t>Beretta - Beretta Model 1951</t>
  </si>
  <si>
    <t>Beretta - Beretta Model 70S</t>
  </si>
  <si>
    <t>Beretta - Beretta Model 84</t>
  </si>
  <si>
    <t>Beretta - Beretta Model12S</t>
  </si>
  <si>
    <t>Bergmann - MP35</t>
  </si>
  <si>
    <t>Browning - .50 M2HB</t>
  </si>
  <si>
    <t>Browning - BDA-380</t>
  </si>
  <si>
    <t>.380ACP</t>
  </si>
  <si>
    <t>Browning - Buck Mk22</t>
  </si>
  <si>
    <t>Browning - HP 35</t>
  </si>
  <si>
    <t>9x19 P</t>
  </si>
  <si>
    <t>BSAC - Welrod .32</t>
  </si>
  <si>
    <t>BSAC - Welrod 9</t>
  </si>
  <si>
    <t>Bushmaster internationnal - BAP</t>
  </si>
  <si>
    <t>5.56N</t>
  </si>
  <si>
    <t>Ceská zbrojovka - VZ-24</t>
  </si>
  <si>
    <t>Ceská zbrojovka - Vz-52</t>
  </si>
  <si>
    <t>Ceská zbrojovka - Vz-54</t>
  </si>
  <si>
    <t>Ceská zbrojovka - VZ-59</t>
  </si>
  <si>
    <t>Ceská zbrojovka - Vz-61/62 Skorpion</t>
  </si>
  <si>
    <t>CETME - CETME C</t>
  </si>
  <si>
    <t>CETME - CETME L</t>
  </si>
  <si>
    <t>CETME - CETME LC</t>
  </si>
  <si>
    <t>CETME - CETMI Ameli</t>
  </si>
  <si>
    <t>Chauchat - RSC Mle1918</t>
  </si>
  <si>
    <t>CKIB - VKS - Vychlop</t>
  </si>
  <si>
    <t>Colt - Special police</t>
  </si>
  <si>
    <t>Colt - .44 anaconda 8'</t>
  </si>
  <si>
    <t>10,9x41</t>
  </si>
  <si>
    <t>Colt - AR 15 A2</t>
  </si>
  <si>
    <t>Colt - CAR 15 (M177)</t>
  </si>
  <si>
    <t>Colt - Colt Police 12"</t>
  </si>
  <si>
    <t>.38 special</t>
  </si>
  <si>
    <t>Colt - Colt Python 15"</t>
  </si>
  <si>
    <t>Colt - Colt Python 6"</t>
  </si>
  <si>
    <t>Colt - combat commander</t>
  </si>
  <si>
    <t>Colt - détective special</t>
  </si>
  <si>
    <t>Colt - Government M380</t>
  </si>
  <si>
    <t>Colt - M16 A1</t>
  </si>
  <si>
    <t>Colt - M16 A1 carbine</t>
  </si>
  <si>
    <t>Colt - M16 A1 HBAR</t>
  </si>
  <si>
    <t>Colt - M16 A2</t>
  </si>
  <si>
    <t>Colt - M16 A2 Carbine</t>
  </si>
  <si>
    <t>Colt - M16 A4</t>
  </si>
  <si>
    <t>Colt - M1911A1</t>
  </si>
  <si>
    <t>Colt - M3 A1</t>
  </si>
  <si>
    <t>Colt - M4A1</t>
  </si>
  <si>
    <t>Colt - M4A4</t>
  </si>
  <si>
    <t>Colt - SR 635 KAC</t>
  </si>
  <si>
    <t>Colt - SR 635 SMG</t>
  </si>
  <si>
    <t>CZ - CZ 75</t>
  </si>
  <si>
    <t>Degtiarev - DShK</t>
  </si>
  <si>
    <t>Degtiarev - DShK sur trepied</t>
  </si>
  <si>
    <t>Delisle - Carbine</t>
  </si>
  <si>
    <t>Detonic - DA 9</t>
  </si>
  <si>
    <t>Detonic - Scoremaster</t>
  </si>
  <si>
    <t>Diemaco - C 3A1</t>
  </si>
  <si>
    <t>Diemaco - C7A1</t>
  </si>
  <si>
    <t>Einfield - Mk I Boys Antitank Rifle monopod</t>
  </si>
  <si>
    <t>Einfield - Mk II Boys Antitank Rifle</t>
  </si>
  <si>
    <t>Enfield - Sten</t>
  </si>
  <si>
    <t>Enfield - Sten Mk II S</t>
  </si>
  <si>
    <t>Erma - EMP 36</t>
  </si>
  <si>
    <t>Erma - EMP 36 S</t>
  </si>
  <si>
    <t>FEG - AMD-65</t>
  </si>
  <si>
    <t>FN HERSTAL - FN P2000</t>
  </si>
  <si>
    <t>FN HERSTAL - FN P90</t>
  </si>
  <si>
    <t>FN HERSTAL - FNC M2</t>
  </si>
  <si>
    <t>FN HERSTAL - FNC M3 Para</t>
  </si>
  <si>
    <t>FN HERSTAL - FNFAL</t>
  </si>
  <si>
    <t>FN HERSTAL - M249 Minimi</t>
  </si>
  <si>
    <t>FN HERSTAL - Minimi Para</t>
  </si>
  <si>
    <t>FN HERSTAL - SAFN49</t>
  </si>
  <si>
    <t>Franchi - PA3</t>
  </si>
  <si>
    <t>Franchi - SPAS 12</t>
  </si>
  <si>
    <t>Franchi - SPAS-15</t>
  </si>
  <si>
    <t>Franchi - SPAS-15 Close with buckshot</t>
  </si>
  <si>
    <t>Franchi - SPAS-15 Medium with buckshot (p200)</t>
  </si>
  <si>
    <t>G8 A1</t>
  </si>
  <si>
    <t>Galil - 99SR</t>
  </si>
  <si>
    <t>Galil - ACE</t>
  </si>
  <si>
    <t>Galil - ARM</t>
  </si>
  <si>
    <t>Galil - Galatz SR</t>
  </si>
  <si>
    <t>Galil - MAR</t>
  </si>
  <si>
    <t>Galil - SAR</t>
  </si>
  <si>
    <t>General Electric - M214 sans trepied</t>
  </si>
  <si>
    <t>General Electric - M214 sur trepied</t>
  </si>
  <si>
    <t>Glock - G17</t>
  </si>
  <si>
    <t>Glock - G21</t>
  </si>
  <si>
    <t>Glock - G22</t>
  </si>
  <si>
    <t>GM - M3A1</t>
  </si>
  <si>
    <t>GP35</t>
  </si>
  <si>
    <t>Hawk SA</t>
  </si>
  <si>
    <t>Heckler&amp;Koch - HK 21 A1</t>
  </si>
  <si>
    <t>Heckler&amp;Koch - HK 23E</t>
  </si>
  <si>
    <t>Heckler&amp;Koch - HK 33 A2</t>
  </si>
  <si>
    <t>Heckler&amp;Koch - HK 33 A3</t>
  </si>
  <si>
    <t>Heckler&amp;Koch - HK 33 K A1</t>
  </si>
  <si>
    <t>Heckler&amp;Koch - HK 33 SG/1</t>
  </si>
  <si>
    <t>Heckler&amp;Koch - HK 416</t>
  </si>
  <si>
    <t>Heckler&amp;Koch - HK 417 D20</t>
  </si>
  <si>
    <t>7,62 x 51</t>
  </si>
  <si>
    <t>Heckler&amp;Koch - HK 53</t>
  </si>
  <si>
    <t>Heckler&amp;Koch - HK 94 SG1</t>
  </si>
  <si>
    <t>Heckler&amp;Koch - HK CAWS</t>
  </si>
  <si>
    <t>Heckler&amp;Koch - HK D10RS</t>
  </si>
  <si>
    <t>Heckler&amp;Koch - HK G3 A3</t>
  </si>
  <si>
    <t>Heckler&amp;Koch - HK G3 A4</t>
  </si>
  <si>
    <t>Heckler&amp;Koch - HK G3 K</t>
  </si>
  <si>
    <t>Heckler&amp;Koch - HK G3 SG/1</t>
  </si>
  <si>
    <t>Heckler&amp;Koch - HK G36</t>
  </si>
  <si>
    <t>Heckler&amp;Koch - HK G36 K</t>
  </si>
  <si>
    <t>Heckler&amp;Koch - HK G41 A1</t>
  </si>
  <si>
    <t>Heckler&amp;Koch - HK G41 A2</t>
  </si>
  <si>
    <t>Heckler&amp;Koch - HK G41 K</t>
  </si>
  <si>
    <t>Heckler&amp;Koch - HK Mk23 Mod 0 S</t>
  </si>
  <si>
    <t>Heckler&amp;Koch - HK MP 2000</t>
  </si>
  <si>
    <t>Heckler&amp;Koch - HK MP5 A2</t>
  </si>
  <si>
    <t>Heckler&amp;Koch - HK MP5 A3</t>
  </si>
  <si>
    <t>Heckler&amp;Koch - HK MP5 A4</t>
  </si>
  <si>
    <t>Heckler&amp;Koch - HK MP5 A5</t>
  </si>
  <si>
    <t>Heckler&amp;Koch - HK MP5 K</t>
  </si>
  <si>
    <t>Heckler&amp;Koch - HK MP5 SD5</t>
  </si>
  <si>
    <t>Heckler&amp;Koch - HK MP5 SD6</t>
  </si>
  <si>
    <t>Heckler&amp;Koch - HK MP5/40</t>
  </si>
  <si>
    <t>Heckler&amp;Koch - HK MP7</t>
  </si>
  <si>
    <t>Heckler&amp;Koch - HK P2000</t>
  </si>
  <si>
    <t>Heckler&amp;Koch - HK P7M9-13</t>
  </si>
  <si>
    <t>Heckler&amp;Koch - HK P9S</t>
  </si>
  <si>
    <t>Heckler&amp;Koch - HK PSG1</t>
  </si>
  <si>
    <t>Heckler&amp;Koch - HK USP</t>
  </si>
  <si>
    <t>Heckler&amp;Koch - HK XM 8</t>
  </si>
  <si>
    <t>Heckler&amp;Koch - HK-4</t>
  </si>
  <si>
    <t>High Standart - HDM</t>
  </si>
  <si>
    <t>Hight Standart - Sharp Derringer</t>
  </si>
  <si>
    <t>Mendoza - HM-3</t>
  </si>
  <si>
    <t>Hotchkiss - Mle 1914</t>
  </si>
  <si>
    <t>8mm lebel</t>
  </si>
  <si>
    <t>IMBEL - 45 UC</t>
  </si>
  <si>
    <t>IMBEL - 9 GC</t>
  </si>
  <si>
    <t>IMBEL - MD2</t>
  </si>
  <si>
    <t>IMBEL - MD97LC</t>
  </si>
  <si>
    <t>IMI - M91 UZI</t>
  </si>
  <si>
    <t>IMI - Micro UZI</t>
  </si>
  <si>
    <t>IMI - Mini UZI</t>
  </si>
  <si>
    <t>IMI - MTAR-21 Micro Tavor</t>
  </si>
  <si>
    <t>IMI - TAR-21 Tavor</t>
  </si>
  <si>
    <t>IMI - X-95 Tavor</t>
  </si>
  <si>
    <t>Ingram - M 11</t>
  </si>
  <si>
    <t>Ingram - M10</t>
  </si>
  <si>
    <t>Ingram - M10 .45</t>
  </si>
  <si>
    <t>Ingram - M10 SD</t>
  </si>
  <si>
    <t>Ingram - M11/9 SD</t>
  </si>
  <si>
    <t>IWI - 941FS JERICHO</t>
  </si>
  <si>
    <t>Izhmash - SR-3M VIKHR</t>
  </si>
  <si>
    <t>Izhmash - SV-98</t>
  </si>
  <si>
    <t>Izhmash - SVD</t>
  </si>
  <si>
    <t>Izhmash - SVU-A</t>
  </si>
  <si>
    <t>Jati-Matic</t>
  </si>
  <si>
    <t>K11</t>
  </si>
  <si>
    <t>Kalashnikov - AK-104</t>
  </si>
  <si>
    <t>Kalashnikov - AK-105</t>
  </si>
  <si>
    <t>Kalashnikov - AK-107</t>
  </si>
  <si>
    <t>Kalashnikov - AK-108</t>
  </si>
  <si>
    <t>Kalashnikov - AK-12</t>
  </si>
  <si>
    <t>Kalashnikov - AK-15</t>
  </si>
  <si>
    <t>Kalashnikov - AK-47</t>
  </si>
  <si>
    <t>Kalashnikov - AK-74</t>
  </si>
  <si>
    <t>Kalashnikov - AK-9</t>
  </si>
  <si>
    <t>Kalashnikov - AKM</t>
  </si>
  <si>
    <t>Kalashnikov - AKMS</t>
  </si>
  <si>
    <t>Kalashnikov - AKR</t>
  </si>
  <si>
    <t>Kalashnikov - AKS-74U</t>
  </si>
  <si>
    <t>Kalashnikov - KR-9SBR</t>
  </si>
  <si>
    <t>Kalashnikov - KS-12T</t>
  </si>
  <si>
    <t>cal. 12 g</t>
  </si>
  <si>
    <t>12 gauge</t>
  </si>
  <si>
    <t>KPV</t>
  </si>
  <si>
    <t>Lee Einfield - L42 A1</t>
  </si>
  <si>
    <t>Lee Einfield - L85 A1</t>
  </si>
  <si>
    <t>Lee Einfield - L86 A1</t>
  </si>
  <si>
    <t>Lee Einfield - L96 A1</t>
  </si>
  <si>
    <t>Lebel-Berthier - mousqueton 1916</t>
  </si>
  <si>
    <t>Lee Einfield - Lee Einfield Mk4</t>
  </si>
  <si>
    <t>Lewis - Mk1</t>
  </si>
  <si>
    <t>Lithgow - SMG F1A1</t>
  </si>
  <si>
    <t>Llama - Large Frame Auto</t>
  </si>
  <si>
    <t>Luger - Luger P08</t>
  </si>
  <si>
    <t>M 45B</t>
  </si>
  <si>
    <t>M 45B SD</t>
  </si>
  <si>
    <t>M134 Minigun</t>
  </si>
  <si>
    <t>M14</t>
  </si>
  <si>
    <t>M40 A1</t>
  </si>
  <si>
    <t>M60</t>
  </si>
  <si>
    <t>M60 E3 L</t>
  </si>
  <si>
    <t>M60 E3 S</t>
  </si>
  <si>
    <t>M7A4</t>
  </si>
  <si>
    <t>M7A8</t>
  </si>
  <si>
    <t>MAB - Baby Browning</t>
  </si>
  <si>
    <t>MAB - Micro Unique</t>
  </si>
  <si>
    <t>MAC - AA-52</t>
  </si>
  <si>
    <t>MAC - PAMAC 50</t>
  </si>
  <si>
    <t>Magnum Research - Desert Eagle .50AE</t>
  </si>
  <si>
    <t>Magnum Research - Desert eagle 357</t>
  </si>
  <si>
    <t>Magnum Research - Desert eagle 44</t>
  </si>
  <si>
    <t>11,2x32,8</t>
  </si>
  <si>
    <t>Makarov - PM Makarov</t>
  </si>
  <si>
    <t>Mamba</t>
  </si>
  <si>
    <t>Manufacture d'armes de Bayonne - PA-15</t>
  </si>
  <si>
    <t>Manurhin - MR 88</t>
  </si>
  <si>
    <t>Manurhin - MR73</t>
  </si>
  <si>
    <t>Manurhin - Walther PPK</t>
  </si>
  <si>
    <t>Manurhin - Walther PPK/S</t>
  </si>
  <si>
    <t>MAS - Darne</t>
  </si>
  <si>
    <t>MAS - FA-MAS F1</t>
  </si>
  <si>
    <t>MAS - FAMAS Commando</t>
  </si>
  <si>
    <t>MAS - Famas Felin</t>
  </si>
  <si>
    <t>MAS - FAMAS G2</t>
  </si>
  <si>
    <t>MAS - FM 24/29</t>
  </si>
  <si>
    <t>MAS - FR F1</t>
  </si>
  <si>
    <t>MAS - FR F2</t>
  </si>
  <si>
    <t>MAS - MAS 36</t>
  </si>
  <si>
    <t>MAS - MAS 36 CR</t>
  </si>
  <si>
    <t>MAS - MAS 38</t>
  </si>
  <si>
    <t>7,5 L</t>
  </si>
  <si>
    <t>MAS - MAS-40</t>
  </si>
  <si>
    <t>MAS - MAS49-56 FSA</t>
  </si>
  <si>
    <t>MAS - MAS49/56 MSE</t>
  </si>
  <si>
    <t>MAS - Model 1892</t>
  </si>
  <si>
    <t>MAT - MAT 49</t>
  </si>
  <si>
    <t>Mauser - C96</t>
  </si>
  <si>
    <t>Mauser - C96 Mle 1916 "red nine"</t>
  </si>
  <si>
    <t>Mauser - C96 Schnellfeuer</t>
  </si>
  <si>
    <t>Mauser - K98</t>
  </si>
  <si>
    <t>8mm mauser</t>
  </si>
  <si>
    <t>Mauser - MG3 (MG 42/59)</t>
  </si>
  <si>
    <t>Mauser - SP66</t>
  </si>
  <si>
    <t>Mod 76</t>
  </si>
  <si>
    <t>Mosberg - 500 Special</t>
  </si>
  <si>
    <t>15,7x67</t>
  </si>
  <si>
    <t>Mosberg - 930</t>
  </si>
  <si>
    <t>Mosberg - Maverick</t>
  </si>
  <si>
    <t>MP-444</t>
  </si>
  <si>
    <t>9x19P</t>
  </si>
  <si>
    <t>MP-445</t>
  </si>
  <si>
    <t>MPi 81</t>
  </si>
  <si>
    <t>Neguev lmg</t>
  </si>
  <si>
    <t>Neostad Shotgun</t>
  </si>
  <si>
    <t>Nikonov - AN-94</t>
  </si>
  <si>
    <t>Norinco - QBB-95</t>
  </si>
  <si>
    <t>Norinco - QBU-88</t>
  </si>
  <si>
    <t>Norinco - QBZ-95</t>
  </si>
  <si>
    <t>Norinco - QBZ-97</t>
  </si>
  <si>
    <t>5,56X45</t>
  </si>
  <si>
    <t>Norinco - Type 64</t>
  </si>
  <si>
    <t>Norinco - Type 67</t>
  </si>
  <si>
    <t>Norinco - Type 85</t>
  </si>
  <si>
    <t>NSVS tu</t>
  </si>
  <si>
    <t>Ots-14-1A Groza-1</t>
  </si>
  <si>
    <t>OTs-14-4A Groza-4</t>
  </si>
  <si>
    <t>Ots-22</t>
  </si>
  <si>
    <t>P64</t>
  </si>
  <si>
    <t>PGM UR Commando</t>
  </si>
  <si>
    <t>PGM UR Hecate 2</t>
  </si>
  <si>
    <t>PGM UR Intervention</t>
  </si>
  <si>
    <t>PKM</t>
  </si>
  <si>
    <t>PP-19 Bizon II</t>
  </si>
  <si>
    <t>PPsH-41</t>
  </si>
  <si>
    <t>RAI model 300</t>
  </si>
  <si>
    <t>RAI model 500</t>
  </si>
  <si>
    <t>Remington - 870</t>
  </si>
  <si>
    <t>Remington - M24A3</t>
  </si>
  <si>
    <t>RPK-74</t>
  </si>
  <si>
    <t>Ruger - AC 556</t>
  </si>
  <si>
    <t>Ruger - AC 556 F</t>
  </si>
  <si>
    <t>Ruger - Mini 14</t>
  </si>
  <si>
    <t>Ruger - Ruger Blackhawk</t>
  </si>
  <si>
    <t>.44 Mag</t>
  </si>
  <si>
    <t>Ruger - Ruger P-85</t>
  </si>
  <si>
    <t>Saab-Bofors - CBJ MS</t>
  </si>
  <si>
    <t>6,5x25</t>
  </si>
  <si>
    <t>SACM - PA35A</t>
  </si>
  <si>
    <t>Saiga 12K</t>
  </si>
  <si>
    <t>SAR 80</t>
  </si>
  <si>
    <t>Sauer&amp;Sohn - Sig P230</t>
  </si>
  <si>
    <t>Sauer&amp;Sohn - SIG P230</t>
  </si>
  <si>
    <t>Sauer&amp;Sohn - SIG P239</t>
  </si>
  <si>
    <t>Savage 311-R</t>
  </si>
  <si>
    <t>Savage 311-R Close with buckshot</t>
  </si>
  <si>
    <t>Savage 311-R Medium with buckshot (p200)</t>
  </si>
  <si>
    <t>SC 70</t>
  </si>
  <si>
    <t>SC 70 short</t>
  </si>
  <si>
    <t>SC 70/90</t>
  </si>
  <si>
    <t>SCAR H CQC</t>
  </si>
  <si>
    <t>SCAR H Standart</t>
  </si>
  <si>
    <t>SCAR H SV</t>
  </si>
  <si>
    <t>SCAR L CQC</t>
  </si>
  <si>
    <t>SCAR L standart</t>
  </si>
  <si>
    <t>SCS 70/90</t>
  </si>
  <si>
    <t>Sig-Manurhin - SIG 540</t>
  </si>
  <si>
    <t>Sig-Manurhin - SIG 542</t>
  </si>
  <si>
    <t>Sig-Manurhin - SIG 543</t>
  </si>
  <si>
    <t>Sigsauer - SIG 2000 300</t>
  </si>
  <si>
    <t>Sigsauer - SIG 2000 7</t>
  </si>
  <si>
    <t>Sigsauer - SIG 2000 7,5</t>
  </si>
  <si>
    <t>7,5x55</t>
  </si>
  <si>
    <t>Sigsauer - SIG 510</t>
  </si>
  <si>
    <t>SKS Simonov</t>
  </si>
  <si>
    <t>Smith&amp;Wesson - MP45</t>
  </si>
  <si>
    <t>Smith&amp;Wesson - MP9</t>
  </si>
  <si>
    <t>Smith&amp;Wesson - S&amp;W model 29/16.5</t>
  </si>
  <si>
    <t>Smith&amp;Wesson - S&amp;W model 29/21</t>
  </si>
  <si>
    <t>Smith&amp;Wesson - S&amp;W model 36</t>
  </si>
  <si>
    <t>Smith&amp;Wesson - S&amp;W model 439</t>
  </si>
  <si>
    <t>Smith&amp;Wesson - S&amp;W model 459</t>
  </si>
  <si>
    <t>Spectre M4</t>
  </si>
  <si>
    <t>Springfield - Garand M1</t>
  </si>
  <si>
    <t>Springfield Armory - M21</t>
  </si>
  <si>
    <t>Sterling - L2A3</t>
  </si>
  <si>
    <t>Sterling - L34A1</t>
  </si>
  <si>
    <t>Steyr - AUG A1</t>
  </si>
  <si>
    <t>Steyr - AUG HBar</t>
  </si>
  <si>
    <t>Steyr - AUG LMG</t>
  </si>
  <si>
    <t>Steyr - AUG Para</t>
  </si>
  <si>
    <t>Steyr - GB80</t>
  </si>
  <si>
    <t>Steyr - MP-40</t>
  </si>
  <si>
    <t>Steyr - MPi 69</t>
  </si>
  <si>
    <t>Steyr - SSG 69</t>
  </si>
  <si>
    <t>Swiss Arms - SIG 550</t>
  </si>
  <si>
    <t>Swiss Arms - SIG 551</t>
  </si>
  <si>
    <t>Swiss Arms - SIG 552</t>
  </si>
  <si>
    <t>Swiss Arms - Sig P210</t>
  </si>
  <si>
    <t>Swiss Arms - Sig P226</t>
  </si>
  <si>
    <t>Tokarev - SVT40</t>
  </si>
  <si>
    <t>Tokarev - Tokarev TT-33</t>
  </si>
  <si>
    <t>7.62x25</t>
  </si>
  <si>
    <t>TsNIItochMash - AS VAL</t>
  </si>
  <si>
    <t>TsNIITochMash - VSS Vintorez</t>
  </si>
  <si>
    <t>Tula Arms Plant - TOZ 194</t>
  </si>
  <si>
    <t>Type 62</t>
  </si>
  <si>
    <t>Type 89</t>
  </si>
  <si>
    <t>Ultimax 100 M3</t>
  </si>
  <si>
    <t>UZI</t>
  </si>
  <si>
    <t>V-94</t>
  </si>
  <si>
    <t>Valmet - RK71 / M71S</t>
  </si>
  <si>
    <t>Vickers - Mk I Tripod</t>
  </si>
  <si>
    <t>Viking systems Inc - SMG</t>
  </si>
  <si>
    <t>Voere - 180 M-2</t>
  </si>
  <si>
    <t>VSK94</t>
  </si>
  <si>
    <t>Walther - G41W</t>
  </si>
  <si>
    <t>Walther - WA 2000</t>
  </si>
  <si>
    <t>Walther - Walter MP K</t>
  </si>
  <si>
    <t>Walther - Walter MP L</t>
  </si>
  <si>
    <t>Walther - Walther P-38</t>
  </si>
  <si>
    <t>Z 62/70B</t>
  </si>
  <si>
    <t>Z 84 long</t>
  </si>
  <si>
    <t>Z 84 short</t>
  </si>
  <si>
    <t>ZVI - Falcon OP99</t>
  </si>
  <si>
    <t>Knight Armement Company - M110A2</t>
  </si>
  <si>
    <t>Sous-type d'arme</t>
  </si>
  <si>
    <t>Range Med</t>
  </si>
  <si>
    <t>Range Long</t>
  </si>
  <si>
    <t>Range Extrem</t>
  </si>
  <si>
    <t>dégat</t>
  </si>
  <si>
    <t>Compétence associée</t>
  </si>
  <si>
    <t>Folder</t>
  </si>
  <si>
    <t>Armes à feu\Pistolet auto</t>
  </si>
  <si>
    <t>Armes à feu\Fusil Sniper</t>
  </si>
  <si>
    <t>Armes à feu\Fusil</t>
  </si>
  <si>
    <t>Armes à feu\Mitrailleuse</t>
  </si>
  <si>
    <t>Armes à feu\Fusil d'assaut</t>
  </si>
  <si>
    <t>Armes à feu\Fusil pompe</t>
  </si>
  <si>
    <t>Armes à feu\Pistolet Mitrailleur</t>
  </si>
  <si>
    <t>Armes à feu\Pistolet</t>
  </si>
  <si>
    <t>Armes à feu\fusil</t>
  </si>
  <si>
    <t>Armes à feu\revolver</t>
  </si>
  <si>
    <t>Armes à feu\Fusil sniper</t>
  </si>
  <si>
    <t>Armes à feu\mitrailleuse</t>
  </si>
  <si>
    <t>Armes à feu\Revolver</t>
  </si>
  <si>
    <t>Munition\5,45x39\BO</t>
  </si>
  <si>
    <t>Munition\5,45x39\AP</t>
  </si>
  <si>
    <t>Munition\5,56x45\BO</t>
  </si>
  <si>
    <t>Munition\5,56x45\AP</t>
  </si>
  <si>
    <t>Munition\5,56x45\Sniper</t>
  </si>
  <si>
    <t>Munition\5,56x15\BO</t>
  </si>
  <si>
    <t>Munition\5,56x15\Expansion</t>
  </si>
  <si>
    <t>Munition\5,56x15\Sniper</t>
  </si>
  <si>
    <t>Munition\5,56x15\Subsonique</t>
  </si>
  <si>
    <t>Munition\6,35x16\BO</t>
  </si>
  <si>
    <t>Munition\7,5x54\BO</t>
  </si>
  <si>
    <t>Munition\7,5x54\AP</t>
  </si>
  <si>
    <t>Munition\7,62x25\BO</t>
  </si>
  <si>
    <t>Munition\7,62x25\Expansion</t>
  </si>
  <si>
    <t>Munition\7,62x39\BO</t>
  </si>
  <si>
    <t>Munition\7,62x39\AP</t>
  </si>
  <si>
    <t>Munition\7,62x33\BO</t>
  </si>
  <si>
    <t>Munition\7,8x52\BO</t>
  </si>
  <si>
    <t>Munition\7,8x34\BO</t>
  </si>
  <si>
    <t>Munition\7,8x34\AP</t>
  </si>
  <si>
    <t>Munition\7,8x34\Sub</t>
  </si>
  <si>
    <t>Munition\.303\BO</t>
  </si>
  <si>
    <t>Munition\7,62x51\BO</t>
  </si>
  <si>
    <t>Munition\7,62x51\Sniper</t>
  </si>
  <si>
    <t>Munition\7,62x51\Sniper AP</t>
  </si>
  <si>
    <t>Munition\7,62x51\AP</t>
  </si>
  <si>
    <t>Munition\7,62x63\BO</t>
  </si>
  <si>
    <t>Munition\7,62x63\AP</t>
  </si>
  <si>
    <t>Munition\7,62x54\AP</t>
  </si>
  <si>
    <t>Munition\7,62x54\BO</t>
  </si>
  <si>
    <t>Munition\7,65x17\BO</t>
  </si>
  <si>
    <t>Munition\7,92x33\BO</t>
  </si>
  <si>
    <t>Munition\7,92x57\BO</t>
  </si>
  <si>
    <t>Munition\8x51\BO</t>
  </si>
  <si>
    <t>Munition\8x22\BO</t>
  </si>
  <si>
    <t>Munition\9x17\BO</t>
  </si>
  <si>
    <t>Munition\9x18\BO</t>
  </si>
  <si>
    <t>Munition\9x18\AP</t>
  </si>
  <si>
    <t>Munition\9x18\Expansion</t>
  </si>
  <si>
    <t>Munition\9x19\BO</t>
  </si>
  <si>
    <t>Munition\9x19\AP</t>
  </si>
  <si>
    <t>Munition\9x19\Expansion</t>
  </si>
  <si>
    <t>Munition\9x19\Subsonique</t>
  </si>
  <si>
    <t>Munition\9x29\BO</t>
  </si>
  <si>
    <t>Munition\9X29\JHP+P</t>
  </si>
  <si>
    <t>Munition\9x33\BO</t>
  </si>
  <si>
    <t>Munition\9x33\AP</t>
  </si>
  <si>
    <t>Munition\11,43x23\BO</t>
  </si>
  <si>
    <t>Munition\10,74x33\BO</t>
  </si>
  <si>
    <t>Munition\10x22\BO</t>
  </si>
  <si>
    <t>Munition\11,43x23\AP</t>
  </si>
  <si>
    <t>Munition\11,43x23\Expansion</t>
  </si>
  <si>
    <t>Munition\9x39\AP</t>
  </si>
  <si>
    <t>Munition\9x39\BO</t>
  </si>
  <si>
    <t>Munition\7.62x41\Subsonique</t>
  </si>
  <si>
    <t>Munition\9x21\BO</t>
  </si>
  <si>
    <t>Munition\9x21\AP</t>
  </si>
  <si>
    <t>Munition\5,7x28\BO</t>
  </si>
  <si>
    <t>Munition\5,7x28\Subsonique</t>
  </si>
  <si>
    <t>Munition\5,7x28\Expansion</t>
  </si>
  <si>
    <t>Munition\5,8x42\BO</t>
  </si>
  <si>
    <t>Munition\5,8x42\AP</t>
  </si>
  <si>
    <t>Munition\12,7x99\BO</t>
  </si>
  <si>
    <t>Munition\12,7x99\Sniper</t>
  </si>
  <si>
    <t>Munition\12,7x99\AP</t>
  </si>
  <si>
    <t>Munition\14,5x114\Expansion</t>
  </si>
  <si>
    <t>Munition\14,5x114\AP</t>
  </si>
  <si>
    <t>Munition\7,92x57\AP</t>
  </si>
  <si>
    <t>Munition\7,92x94\AP</t>
  </si>
  <si>
    <t>Munition\7,92x107\AP</t>
  </si>
  <si>
    <t>Munition\12,7x108\BO</t>
  </si>
  <si>
    <t>Munition\12,7x108\AP</t>
  </si>
  <si>
    <t>Munition\13x92\AP</t>
  </si>
  <si>
    <t>Munition\13,9x99\AP</t>
  </si>
  <si>
    <t>Munition\15,2x114\AP</t>
  </si>
  <si>
    <t>Munition\7,62x51\Subsonique</t>
  </si>
  <si>
    <t>Munition\4,6x30\BO</t>
  </si>
  <si>
    <t>Munition\18,5x70\Grenaille</t>
  </si>
  <si>
    <t>Munition\18,5x70\Brenneke</t>
  </si>
  <si>
    <t>Munition\18,5x70\Expansion</t>
  </si>
  <si>
    <t>Munition\16,8x70\Grenaille</t>
  </si>
  <si>
    <t>Munition\16,8x70\Brenneke</t>
  </si>
  <si>
    <t>Munition\15,6x67\Grenaille</t>
  </si>
  <si>
    <t>Munition\15,6x67\Expansion</t>
  </si>
  <si>
    <t>Munition\15,6x67\Brenneke</t>
  </si>
  <si>
    <t>Munition\7,62x66\BO</t>
  </si>
  <si>
    <t>Munition\8,58x71\BO</t>
  </si>
  <si>
    <t>Munition\7,62x42\BO</t>
  </si>
  <si>
    <t>Munition\12,7 x 32,6\BO</t>
  </si>
  <si>
    <t>Munition\12,7x55\BO</t>
  </si>
  <si>
    <t>Munition\12,7x55\AP</t>
  </si>
  <si>
    <t>Munition\7,65x20\BO</t>
  </si>
  <si>
    <t>Munition\8x27\BO</t>
  </si>
  <si>
    <t>Munition\9x29</t>
  </si>
  <si>
    <t>Munition\9x33</t>
  </si>
  <si>
    <t>Munition\5,45x39</t>
  </si>
  <si>
    <t>bullet</t>
  </si>
  <si>
    <t>powder_projectiles</t>
  </si>
  <si>
    <t>6,5x52</t>
  </si>
  <si>
    <t>6,5 Carcano</t>
  </si>
  <si>
    <t>Munition\6,5x52\BO</t>
  </si>
  <si>
    <t>STG 44</t>
  </si>
  <si>
    <t>Beretta - Model 42</t>
  </si>
  <si>
    <t>Carcano - M91/38</t>
  </si>
  <si>
    <t>Mauser - MG-34</t>
  </si>
  <si>
    <t>Mauser - MG-42</t>
  </si>
  <si>
    <t>4D6</t>
  </si>
  <si>
    <t>Range Short</t>
  </si>
  <si>
    <t>Recul C/C</t>
  </si>
  <si>
    <t>Recul Burst</t>
  </si>
  <si>
    <t>ROF mode</t>
  </si>
  <si>
    <t>ROF limited</t>
  </si>
  <si>
    <t>1/50</t>
  </si>
  <si>
    <t>8 Kurtz</t>
  </si>
  <si>
    <t>2D6</t>
  </si>
  <si>
    <t>Breda - Modello 30</t>
  </si>
  <si>
    <t>Chargeur</t>
  </si>
  <si>
    <t>BA</t>
  </si>
  <si>
    <t>Beretta - M35</t>
  </si>
  <si>
    <t>1D6</t>
  </si>
  <si>
    <t>SA</t>
  </si>
  <si>
    <t>PA</t>
  </si>
  <si>
    <t>PA/SA</t>
  </si>
  <si>
    <t>S A</t>
  </si>
  <si>
    <t>DAR</t>
  </si>
  <si>
    <t>10/100</t>
  </si>
  <si>
    <t>1/(55)</t>
  </si>
  <si>
    <t>1/(75)</t>
  </si>
  <si>
    <t>1/(65)</t>
  </si>
  <si>
    <t>1/15/100</t>
  </si>
  <si>
    <t>1/15/95</t>
  </si>
  <si>
    <t>B A</t>
  </si>
  <si>
    <t>125/160</t>
  </si>
  <si>
    <t>SA/BA</t>
  </si>
  <si>
    <t>1/55</t>
  </si>
  <si>
    <t>1/65</t>
  </si>
  <si>
    <t>1/3</t>
  </si>
  <si>
    <t>1/7</t>
  </si>
  <si>
    <t>1/3/50</t>
  </si>
  <si>
    <t>1/45</t>
  </si>
  <si>
    <t>1/5/40</t>
  </si>
  <si>
    <t>1/10/20</t>
  </si>
  <si>
    <t>1/10/60</t>
  </si>
  <si>
    <t>9/85</t>
  </si>
  <si>
    <t>1/60</t>
  </si>
  <si>
    <t>1/3/65</t>
  </si>
  <si>
    <t>1/3/21</t>
  </si>
  <si>
    <t>1/3/60</t>
  </si>
  <si>
    <t>1/5/50</t>
  </si>
  <si>
    <t>1/10/75</t>
  </si>
  <si>
    <t>4/50</t>
  </si>
  <si>
    <t>1/3/90</t>
  </si>
  <si>
    <t>1/3/55</t>
  </si>
  <si>
    <t>1/5/55</t>
  </si>
  <si>
    <t>9/75</t>
  </si>
  <si>
    <t>9/70</t>
  </si>
  <si>
    <t>1/68</t>
  </si>
  <si>
    <t>1/9</t>
  </si>
  <si>
    <t>1/4/75</t>
  </si>
  <si>
    <t>1/75</t>
  </si>
  <si>
    <t>1/3/70</t>
  </si>
  <si>
    <t>1/3/80</t>
  </si>
  <si>
    <t>1/3/40</t>
  </si>
  <si>
    <t>1/80</t>
  </si>
  <si>
    <t>1/10/1990</t>
  </si>
  <si>
    <t>1/10/90</t>
  </si>
  <si>
    <t>1/8</t>
  </si>
  <si>
    <t>1/3/10</t>
  </si>
  <si>
    <t>1/4/50</t>
  </si>
  <si>
    <t>1/10/55</t>
  </si>
  <si>
    <t>1/12</t>
  </si>
  <si>
    <t>1/10/65</t>
  </si>
  <si>
    <t>10/50</t>
  </si>
  <si>
    <t>5/50</t>
  </si>
  <si>
    <t>5/45</t>
  </si>
  <si>
    <t>1/5/45</t>
  </si>
  <si>
    <t>1/90</t>
  </si>
  <si>
    <t>1/10/80</t>
  </si>
  <si>
    <t>1/5/60</t>
  </si>
  <si>
    <t>1/2/50</t>
  </si>
  <si>
    <t>1/70</t>
  </si>
  <si>
    <t>1/10/70</t>
  </si>
  <si>
    <t>1/10/1950</t>
  </si>
  <si>
    <t>1/66</t>
  </si>
  <si>
    <t>Nom photo</t>
  </si>
  <si>
    <t>Beretta M42</t>
  </si>
  <si>
    <t>carcano M91-38</t>
  </si>
  <si>
    <t>Breda modello 30</t>
  </si>
  <si>
    <t>MG34</t>
  </si>
  <si>
    <t>MG42</t>
  </si>
  <si>
    <t>STG44</t>
  </si>
  <si>
    <t>Beretta M35</t>
  </si>
  <si>
    <t>VSS Vintorez</t>
  </si>
  <si>
    <t>SVT40</t>
  </si>
  <si>
    <t>TT33</t>
  </si>
  <si>
    <t>SACM35A</t>
  </si>
  <si>
    <t>K98</t>
  </si>
  <si>
    <t>Mauser C96</t>
  </si>
  <si>
    <t>Mle1892</t>
  </si>
  <si>
    <t>MAS49-56</t>
  </si>
  <si>
    <t>MAS40</t>
  </si>
  <si>
    <t>MAS38</t>
  </si>
  <si>
    <t>MAS36CR</t>
  </si>
  <si>
    <t>Luger P08</t>
  </si>
  <si>
    <t>Lebel1916</t>
  </si>
  <si>
    <t>Sten</t>
  </si>
  <si>
    <t>Beretta M12</t>
  </si>
  <si>
    <t>Beretta CX-4</t>
  </si>
  <si>
    <t>Beretta 93R</t>
  </si>
  <si>
    <t>Beretta 92FS</t>
  </si>
  <si>
    <t>AA-12</t>
  </si>
  <si>
    <t>MP40</t>
  </si>
  <si>
    <t>Walter G41</t>
  </si>
  <si>
    <t>Welrod MkI</t>
  </si>
  <si>
    <t>Darne</t>
  </si>
  <si>
    <t>FM24-29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</si>
</sst>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0" borderId="0" xfId="0" applyFill="1" applyBorder="1"/>
    <xf numFmtId="0" fontId="0" fillId="0" borderId="0" xfId="0" applyFont="1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1" fillId="0" borderId="0" xfId="0" applyFont="1" applyFill="1" applyBorder="1" applyAlignment="1">
      <alignment horizontal="center" wrapText="1"/>
    </xf>
    <xf numFmtId="0" fontId="2" fillId="0" borderId="0" xfId="0" applyFont="1" applyFill="1" applyBorder="1" applyAlignment="1">
      <alignment horizontal="center"/>
    </xf>
    <xf numFmtId="17" fontId="1" fillId="0" borderId="0" xfId="0" quotePrefix="1" applyNumberFormat="1" applyFont="1" applyFill="1" applyBorder="1" applyAlignment="1">
      <alignment horizontal="center" wrapText="1"/>
    </xf>
    <xf numFmtId="16" fontId="1" fillId="0" borderId="0" xfId="0" quotePrefix="1" applyNumberFormat="1" applyFont="1" applyFill="1" applyBorder="1" applyAlignment="1">
      <alignment horizontal="center" wrapText="1"/>
    </xf>
    <xf numFmtId="14" fontId="1" fillId="0" borderId="0" xfId="0" quotePrefix="1" applyNumberFormat="1" applyFont="1" applyFill="1" applyBorder="1" applyAlignment="1">
      <alignment horizontal="center" wrapText="1"/>
    </xf>
    <xf numFmtId="14" fontId="1" fillId="0" borderId="0" xfId="0" applyNumberFormat="1" applyFont="1" applyFill="1" applyBorder="1" applyAlignment="1">
      <alignment horizontal="center" wrapText="1"/>
    </xf>
    <xf numFmtId="0" fontId="1" fillId="0" borderId="0" xfId="0" applyNumberFormat="1" applyFont="1" applyFill="1" applyBorder="1" applyAlignment="1">
      <alignment horizontal="center"/>
    </xf>
    <xf numFmtId="0" fontId="2" fillId="0" borderId="0" xfId="0" applyNumberFormat="1" applyFont="1" applyFill="1" applyBorder="1" applyAlignment="1">
      <alignment horizontal="center"/>
    </xf>
    <xf numFmtId="0" fontId="0" fillId="0" borderId="0" xfId="0" quotePrefix="1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5"/>
  <sheetViews>
    <sheetView workbookViewId="0">
      <pane ySplit="1" topLeftCell="A31" activePane="bottomLeft" state="frozen"/>
      <selection pane="bottomLeft" activeCell="B40" sqref="B40"/>
    </sheetView>
  </sheetViews>
  <sheetFormatPr baseColWidth="10" defaultRowHeight="15" x14ac:dyDescent="0.25"/>
  <cols>
    <col min="1" max="1" width="26" customWidth="1"/>
    <col min="2" max="2" width="25" customWidth="1"/>
    <col min="3" max="3" width="16.5703125" customWidth="1"/>
    <col min="4" max="4" width="22.7109375" customWidth="1"/>
    <col min="5" max="5" width="15.7109375" customWidth="1"/>
    <col min="6" max="6" width="14.140625" customWidth="1"/>
    <col min="7" max="7" width="17.7109375" bestFit="1" customWidth="1"/>
    <col min="8" max="8" width="17.85546875" customWidth="1"/>
    <col min="9" max="9" width="18.140625" bestFit="1" customWidth="1"/>
    <col min="10" max="10" width="15.42578125" bestFit="1" customWidth="1"/>
    <col min="11" max="11" width="14.42578125" customWidth="1"/>
    <col min="12" max="12" width="19.5703125" bestFit="1" customWidth="1"/>
    <col min="13" max="13" width="18.5703125" customWidth="1"/>
  </cols>
  <sheetData>
    <row r="1" spans="1:13" x14ac:dyDescent="0.25">
      <c r="A1" t="s">
        <v>618</v>
      </c>
      <c r="B1" t="s">
        <v>0</v>
      </c>
      <c r="C1" t="s">
        <v>212</v>
      </c>
      <c r="D1" t="s">
        <v>219</v>
      </c>
      <c r="E1" t="s">
        <v>1</v>
      </c>
      <c r="F1" t="s">
        <v>2</v>
      </c>
      <c r="G1" t="s">
        <v>213</v>
      </c>
      <c r="H1" t="s">
        <v>3</v>
      </c>
      <c r="I1" t="s">
        <v>214</v>
      </c>
      <c r="J1" t="s">
        <v>215</v>
      </c>
      <c r="K1" t="s">
        <v>216</v>
      </c>
      <c r="L1" t="s">
        <v>217</v>
      </c>
      <c r="M1" t="s">
        <v>4</v>
      </c>
    </row>
    <row r="2" spans="1:13" x14ac:dyDescent="0.25">
      <c r="A2" t="s">
        <v>632</v>
      </c>
      <c r="B2" t="s">
        <v>5</v>
      </c>
      <c r="C2" t="s">
        <v>728</v>
      </c>
      <c r="D2" t="str">
        <f>IF(F2&lt;&gt;"",_xlfn.CONCAT(E2," - ",F2),E2)</f>
        <v>5,45x39 - BO</v>
      </c>
      <c r="E2" t="s">
        <v>6</v>
      </c>
      <c r="F2" t="s">
        <v>7</v>
      </c>
      <c r="G2">
        <v>3.43</v>
      </c>
      <c r="H2">
        <v>900</v>
      </c>
      <c r="I2">
        <v>1</v>
      </c>
      <c r="J2">
        <v>1</v>
      </c>
      <c r="K2">
        <v>0</v>
      </c>
      <c r="L2">
        <v>0</v>
      </c>
      <c r="M2">
        <v>10.5</v>
      </c>
    </row>
    <row r="3" spans="1:13" x14ac:dyDescent="0.25">
      <c r="A3" t="s">
        <v>633</v>
      </c>
      <c r="B3" t="s">
        <v>10</v>
      </c>
      <c r="C3" t="s">
        <v>728</v>
      </c>
      <c r="D3" t="str">
        <f t="shared" ref="D3:D66" si="0">IF(F3&lt;&gt;"",_xlfn.CONCAT(E3," - ",F3),E3)</f>
        <v>5,45x39 - AP</v>
      </c>
      <c r="E3" t="s">
        <v>6</v>
      </c>
      <c r="F3" t="s">
        <v>11</v>
      </c>
      <c r="G3">
        <v>4.0999999999999996</v>
      </c>
      <c r="H3">
        <v>880</v>
      </c>
      <c r="I3" t="s">
        <v>12</v>
      </c>
      <c r="J3" t="s">
        <v>12</v>
      </c>
      <c r="K3" t="s">
        <v>13</v>
      </c>
      <c r="L3">
        <v>0</v>
      </c>
      <c r="M3">
        <v>11.2</v>
      </c>
    </row>
    <row r="4" spans="1:13" x14ac:dyDescent="0.25">
      <c r="A4" t="s">
        <v>634</v>
      </c>
      <c r="B4" t="s">
        <v>15</v>
      </c>
      <c r="C4" t="s">
        <v>728</v>
      </c>
      <c r="D4" t="str">
        <f t="shared" si="0"/>
        <v>5,56x45 - BO</v>
      </c>
      <c r="E4" t="s">
        <v>16</v>
      </c>
      <c r="F4" t="s">
        <v>7</v>
      </c>
      <c r="G4">
        <v>3.56</v>
      </c>
      <c r="H4">
        <v>878</v>
      </c>
      <c r="I4" t="s">
        <v>17</v>
      </c>
      <c r="J4" t="s">
        <v>17</v>
      </c>
      <c r="K4">
        <v>0</v>
      </c>
      <c r="L4">
        <v>0</v>
      </c>
      <c r="M4">
        <v>11.2</v>
      </c>
    </row>
    <row r="5" spans="1:13" x14ac:dyDescent="0.25">
      <c r="A5" t="s">
        <v>634</v>
      </c>
      <c r="B5" t="s">
        <v>18</v>
      </c>
      <c r="C5" t="s">
        <v>728</v>
      </c>
      <c r="D5" t="str">
        <f t="shared" si="0"/>
        <v>5,56x45 - BO</v>
      </c>
      <c r="E5" t="s">
        <v>16</v>
      </c>
      <c r="F5" t="s">
        <v>7</v>
      </c>
      <c r="G5">
        <v>4</v>
      </c>
      <c r="H5">
        <v>922</v>
      </c>
      <c r="I5">
        <v>1</v>
      </c>
      <c r="J5">
        <v>1</v>
      </c>
      <c r="K5" t="s">
        <v>17</v>
      </c>
      <c r="L5">
        <v>2</v>
      </c>
      <c r="M5">
        <v>12</v>
      </c>
    </row>
    <row r="6" spans="1:13" x14ac:dyDescent="0.25">
      <c r="A6" t="s">
        <v>635</v>
      </c>
      <c r="B6" t="s">
        <v>19</v>
      </c>
      <c r="C6" t="s">
        <v>728</v>
      </c>
      <c r="D6" t="str">
        <f t="shared" si="0"/>
        <v>5,56x45 - AP</v>
      </c>
      <c r="E6" t="s">
        <v>16</v>
      </c>
      <c r="F6" t="s">
        <v>11</v>
      </c>
      <c r="G6">
        <v>4.5</v>
      </c>
      <c r="H6">
        <v>1050</v>
      </c>
      <c r="I6" t="s">
        <v>12</v>
      </c>
      <c r="J6" t="s">
        <v>12</v>
      </c>
      <c r="K6">
        <v>1</v>
      </c>
      <c r="L6" t="s">
        <v>17</v>
      </c>
      <c r="M6">
        <v>13</v>
      </c>
    </row>
    <row r="7" spans="1:13" x14ac:dyDescent="0.25">
      <c r="A7" t="s">
        <v>636</v>
      </c>
      <c r="B7" t="s">
        <v>22</v>
      </c>
      <c r="C7" t="s">
        <v>728</v>
      </c>
      <c r="D7" t="str">
        <f t="shared" si="0"/>
        <v>5,56x45 - Sniper</v>
      </c>
      <c r="E7" t="s">
        <v>16</v>
      </c>
      <c r="F7" t="s">
        <v>23</v>
      </c>
      <c r="G7">
        <v>4</v>
      </c>
      <c r="H7">
        <v>960</v>
      </c>
      <c r="I7" t="s">
        <v>12</v>
      </c>
      <c r="J7" t="s">
        <v>12</v>
      </c>
      <c r="K7">
        <v>1</v>
      </c>
      <c r="L7">
        <v>2</v>
      </c>
      <c r="M7">
        <v>12</v>
      </c>
    </row>
    <row r="8" spans="1:13" x14ac:dyDescent="0.25">
      <c r="A8" t="s">
        <v>634</v>
      </c>
      <c r="B8" t="s">
        <v>24</v>
      </c>
      <c r="C8" t="s">
        <v>728</v>
      </c>
      <c r="D8" t="str">
        <f t="shared" si="0"/>
        <v>5,56x45 - BO</v>
      </c>
      <c r="E8" t="s">
        <v>16</v>
      </c>
      <c r="F8" t="s">
        <v>7</v>
      </c>
      <c r="G8">
        <v>5</v>
      </c>
      <c r="H8">
        <v>892</v>
      </c>
      <c r="I8">
        <v>1</v>
      </c>
      <c r="J8">
        <v>1</v>
      </c>
      <c r="K8" t="s">
        <v>17</v>
      </c>
      <c r="L8">
        <v>0</v>
      </c>
      <c r="M8">
        <v>13</v>
      </c>
    </row>
    <row r="9" spans="1:13" x14ac:dyDescent="0.25">
      <c r="A9" t="s">
        <v>637</v>
      </c>
      <c r="B9" t="s">
        <v>26</v>
      </c>
      <c r="C9" t="s">
        <v>728</v>
      </c>
      <c r="D9" t="str">
        <f t="shared" si="0"/>
        <v>5,56x15 - BO</v>
      </c>
      <c r="E9" t="s">
        <v>27</v>
      </c>
      <c r="F9" t="s">
        <v>7</v>
      </c>
      <c r="G9">
        <v>2.59</v>
      </c>
      <c r="H9">
        <v>345</v>
      </c>
      <c r="I9">
        <v>0</v>
      </c>
      <c r="J9">
        <v>0</v>
      </c>
      <c r="K9">
        <v>0</v>
      </c>
      <c r="L9">
        <v>0</v>
      </c>
      <c r="M9">
        <v>7</v>
      </c>
    </row>
    <row r="10" spans="1:13" x14ac:dyDescent="0.25">
      <c r="A10" t="s">
        <v>638</v>
      </c>
      <c r="B10" t="s">
        <v>30</v>
      </c>
      <c r="C10" t="s">
        <v>728</v>
      </c>
      <c r="D10" t="str">
        <f t="shared" si="0"/>
        <v>5,56x15 - Expansion</v>
      </c>
      <c r="E10" t="s">
        <v>27</v>
      </c>
      <c r="F10" t="s">
        <v>31</v>
      </c>
      <c r="G10">
        <v>2.0699999999999998</v>
      </c>
      <c r="H10">
        <v>330</v>
      </c>
      <c r="I10">
        <v>0</v>
      </c>
      <c r="J10">
        <v>0</v>
      </c>
      <c r="K10">
        <v>0</v>
      </c>
      <c r="L10">
        <v>0</v>
      </c>
      <c r="M10">
        <v>6.5</v>
      </c>
    </row>
    <row r="11" spans="1:13" x14ac:dyDescent="0.25">
      <c r="A11" t="s">
        <v>639</v>
      </c>
      <c r="B11" t="s">
        <v>32</v>
      </c>
      <c r="C11" t="s">
        <v>728</v>
      </c>
      <c r="D11" t="str">
        <f t="shared" si="0"/>
        <v>5,56x15 - Sniper</v>
      </c>
      <c r="E11" t="s">
        <v>27</v>
      </c>
      <c r="F11" t="s">
        <v>23</v>
      </c>
      <c r="G11">
        <v>2.46</v>
      </c>
      <c r="H11">
        <v>405</v>
      </c>
      <c r="I11">
        <v>1</v>
      </c>
      <c r="J11">
        <v>1</v>
      </c>
      <c r="K11">
        <v>0</v>
      </c>
      <c r="L11">
        <v>0</v>
      </c>
      <c r="M11">
        <v>7</v>
      </c>
    </row>
    <row r="12" spans="1:13" x14ac:dyDescent="0.25">
      <c r="A12" t="s">
        <v>639</v>
      </c>
      <c r="B12" t="s">
        <v>34</v>
      </c>
      <c r="C12" t="s">
        <v>728</v>
      </c>
      <c r="D12" t="str">
        <f t="shared" si="0"/>
        <v>5,56x15 - Sniper</v>
      </c>
      <c r="E12" t="s">
        <v>27</v>
      </c>
      <c r="F12" t="s">
        <v>23</v>
      </c>
      <c r="G12">
        <v>2.0699999999999998</v>
      </c>
      <c r="H12">
        <v>500</v>
      </c>
      <c r="I12">
        <v>0</v>
      </c>
      <c r="J12">
        <v>0</v>
      </c>
      <c r="K12">
        <v>0</v>
      </c>
      <c r="L12">
        <v>0</v>
      </c>
      <c r="M12">
        <v>6.5</v>
      </c>
    </row>
    <row r="13" spans="1:13" x14ac:dyDescent="0.25">
      <c r="A13" t="s">
        <v>638</v>
      </c>
      <c r="B13" t="s">
        <v>35</v>
      </c>
      <c r="C13" t="s">
        <v>728</v>
      </c>
      <c r="D13" t="str">
        <f t="shared" si="0"/>
        <v>5,56x15 - Expansion</v>
      </c>
      <c r="E13" t="s">
        <v>27</v>
      </c>
      <c r="F13" t="s">
        <v>31</v>
      </c>
      <c r="G13">
        <v>2.58</v>
      </c>
      <c r="H13">
        <v>360</v>
      </c>
      <c r="I13">
        <v>0</v>
      </c>
      <c r="J13">
        <v>0</v>
      </c>
      <c r="K13">
        <v>0</v>
      </c>
      <c r="L13">
        <v>0</v>
      </c>
      <c r="M13">
        <v>7</v>
      </c>
    </row>
    <row r="14" spans="1:13" x14ac:dyDescent="0.25">
      <c r="A14" t="s">
        <v>640</v>
      </c>
      <c r="B14" t="s">
        <v>36</v>
      </c>
      <c r="C14" t="s">
        <v>728</v>
      </c>
      <c r="D14" t="str">
        <f t="shared" si="0"/>
        <v>5,56x15 - Subsonique</v>
      </c>
      <c r="E14" t="s">
        <v>27</v>
      </c>
      <c r="F14" t="s">
        <v>37</v>
      </c>
      <c r="G14">
        <v>3.9</v>
      </c>
      <c r="H14">
        <v>330</v>
      </c>
      <c r="I14">
        <v>0</v>
      </c>
      <c r="J14">
        <v>0</v>
      </c>
      <c r="K14">
        <v>0</v>
      </c>
      <c r="L14">
        <v>0</v>
      </c>
      <c r="M14">
        <v>8.5</v>
      </c>
    </row>
    <row r="15" spans="1:13" x14ac:dyDescent="0.25">
      <c r="A15" t="s">
        <v>641</v>
      </c>
      <c r="B15" t="s">
        <v>38</v>
      </c>
      <c r="C15" t="s">
        <v>728</v>
      </c>
      <c r="D15" t="str">
        <f t="shared" si="0"/>
        <v>6,35x16 - BO</v>
      </c>
      <c r="E15" t="s">
        <v>39</v>
      </c>
      <c r="F15" t="s">
        <v>7</v>
      </c>
      <c r="G15">
        <v>3.23</v>
      </c>
      <c r="H15">
        <v>250</v>
      </c>
      <c r="I15">
        <v>0</v>
      </c>
      <c r="J15">
        <v>0</v>
      </c>
      <c r="K15">
        <v>0</v>
      </c>
      <c r="L15">
        <v>0</v>
      </c>
      <c r="M15">
        <v>7</v>
      </c>
    </row>
    <row r="16" spans="1:13" x14ac:dyDescent="0.25">
      <c r="A16" t="s">
        <v>642</v>
      </c>
      <c r="B16" t="s">
        <v>40</v>
      </c>
      <c r="C16" t="s">
        <v>728</v>
      </c>
      <c r="D16" t="str">
        <f t="shared" si="0"/>
        <v>7,5x54 - BO</v>
      </c>
      <c r="E16" t="s">
        <v>41</v>
      </c>
      <c r="F16" t="s">
        <v>7</v>
      </c>
      <c r="G16">
        <v>10</v>
      </c>
      <c r="H16">
        <v>850</v>
      </c>
      <c r="I16" t="s">
        <v>17</v>
      </c>
      <c r="J16" t="s">
        <v>17</v>
      </c>
      <c r="K16" t="s">
        <v>42</v>
      </c>
      <c r="L16">
        <v>0</v>
      </c>
      <c r="M16">
        <v>23.5</v>
      </c>
    </row>
    <row r="17" spans="1:13" x14ac:dyDescent="0.25">
      <c r="A17" t="s">
        <v>642</v>
      </c>
      <c r="B17" t="s">
        <v>45</v>
      </c>
      <c r="C17" t="s">
        <v>728</v>
      </c>
      <c r="D17" t="str">
        <f t="shared" si="0"/>
        <v>7,5x54 - BO</v>
      </c>
      <c r="E17" t="s">
        <v>41</v>
      </c>
      <c r="F17" t="s">
        <v>7</v>
      </c>
      <c r="G17">
        <v>12.4</v>
      </c>
      <c r="H17">
        <v>830</v>
      </c>
      <c r="I17">
        <v>1</v>
      </c>
      <c r="J17">
        <v>1</v>
      </c>
      <c r="K17">
        <v>2</v>
      </c>
      <c r="L17">
        <v>0</v>
      </c>
      <c r="M17">
        <v>27</v>
      </c>
    </row>
    <row r="18" spans="1:13" x14ac:dyDescent="0.25">
      <c r="A18" t="s">
        <v>643</v>
      </c>
      <c r="B18" t="s">
        <v>48</v>
      </c>
      <c r="C18" t="s">
        <v>728</v>
      </c>
      <c r="D18" t="str">
        <f t="shared" si="0"/>
        <v>7,5x54 - AP</v>
      </c>
      <c r="E18" t="s">
        <v>41</v>
      </c>
      <c r="F18" t="s">
        <v>11</v>
      </c>
      <c r="G18">
        <v>10.4</v>
      </c>
      <c r="H18">
        <v>894</v>
      </c>
      <c r="I18">
        <v>1</v>
      </c>
      <c r="J18">
        <v>1</v>
      </c>
      <c r="K18" t="s">
        <v>17</v>
      </c>
      <c r="L18">
        <v>0</v>
      </c>
      <c r="M18">
        <v>24</v>
      </c>
    </row>
    <row r="19" spans="1:13" x14ac:dyDescent="0.25">
      <c r="A19" t="s">
        <v>644</v>
      </c>
      <c r="B19" t="s">
        <v>49</v>
      </c>
      <c r="C19" t="s">
        <v>728</v>
      </c>
      <c r="D19" t="str">
        <f t="shared" si="0"/>
        <v>7,62x25 - BO</v>
      </c>
      <c r="E19" t="s">
        <v>50</v>
      </c>
      <c r="F19" t="s">
        <v>7</v>
      </c>
      <c r="G19">
        <v>5.5</v>
      </c>
      <c r="H19">
        <v>488</v>
      </c>
      <c r="I19">
        <v>1</v>
      </c>
      <c r="J19">
        <v>1</v>
      </c>
      <c r="K19">
        <v>0</v>
      </c>
      <c r="L19">
        <v>0</v>
      </c>
      <c r="M19">
        <v>9</v>
      </c>
    </row>
    <row r="20" spans="1:13" x14ac:dyDescent="0.25">
      <c r="A20" t="s">
        <v>645</v>
      </c>
      <c r="B20" t="s">
        <v>53</v>
      </c>
      <c r="C20" t="s">
        <v>728</v>
      </c>
      <c r="D20" t="str">
        <f t="shared" si="0"/>
        <v>7,62x25 - Expansion</v>
      </c>
      <c r="E20" t="s">
        <v>50</v>
      </c>
      <c r="F20" t="s">
        <v>31</v>
      </c>
      <c r="G20">
        <v>5.5</v>
      </c>
      <c r="H20">
        <v>525</v>
      </c>
      <c r="I20">
        <v>0</v>
      </c>
      <c r="J20">
        <v>0</v>
      </c>
      <c r="K20">
        <v>0</v>
      </c>
      <c r="L20">
        <v>0</v>
      </c>
      <c r="M20">
        <v>9</v>
      </c>
    </row>
    <row r="21" spans="1:13" x14ac:dyDescent="0.25">
      <c r="A21" t="s">
        <v>644</v>
      </c>
      <c r="B21" t="s">
        <v>55</v>
      </c>
      <c r="C21" t="s">
        <v>728</v>
      </c>
      <c r="D21" t="str">
        <f t="shared" si="0"/>
        <v>7,62x25 - BO</v>
      </c>
      <c r="E21" t="s">
        <v>50</v>
      </c>
      <c r="F21" t="s">
        <v>7</v>
      </c>
      <c r="G21">
        <v>5.5</v>
      </c>
      <c r="H21">
        <v>500</v>
      </c>
      <c r="I21">
        <v>0</v>
      </c>
      <c r="J21">
        <v>0</v>
      </c>
      <c r="K21">
        <v>0</v>
      </c>
      <c r="L21">
        <v>0</v>
      </c>
      <c r="M21">
        <v>9</v>
      </c>
    </row>
    <row r="22" spans="1:13" x14ac:dyDescent="0.25">
      <c r="A22" t="s">
        <v>644</v>
      </c>
      <c r="B22" t="s">
        <v>56</v>
      </c>
      <c r="C22" t="s">
        <v>728</v>
      </c>
      <c r="D22" t="str">
        <f t="shared" si="0"/>
        <v>7,62x25 - BO</v>
      </c>
      <c r="E22" t="s">
        <v>50</v>
      </c>
      <c r="F22" t="s">
        <v>7</v>
      </c>
      <c r="G22">
        <v>5.5</v>
      </c>
      <c r="H22">
        <v>300</v>
      </c>
      <c r="I22">
        <v>0</v>
      </c>
      <c r="J22">
        <v>0</v>
      </c>
      <c r="K22">
        <v>0</v>
      </c>
      <c r="L22">
        <v>0</v>
      </c>
      <c r="M22">
        <v>9</v>
      </c>
    </row>
    <row r="23" spans="1:13" x14ac:dyDescent="0.25">
      <c r="A23" t="s">
        <v>646</v>
      </c>
      <c r="B23" t="s">
        <v>57</v>
      </c>
      <c r="C23" t="s">
        <v>728</v>
      </c>
      <c r="D23" t="str">
        <f t="shared" si="0"/>
        <v>7,62x39 - BO</v>
      </c>
      <c r="E23" t="s">
        <v>58</v>
      </c>
      <c r="F23" t="s">
        <v>7</v>
      </c>
      <c r="G23">
        <v>7.9</v>
      </c>
      <c r="H23">
        <v>725</v>
      </c>
      <c r="I23">
        <v>2</v>
      </c>
      <c r="J23">
        <v>2</v>
      </c>
      <c r="K23">
        <v>0</v>
      </c>
      <c r="L23">
        <v>0</v>
      </c>
      <c r="M23">
        <v>16.3</v>
      </c>
    </row>
    <row r="24" spans="1:13" x14ac:dyDescent="0.25">
      <c r="A24" t="s">
        <v>647</v>
      </c>
      <c r="B24" t="s">
        <v>59</v>
      </c>
      <c r="C24" t="s">
        <v>728</v>
      </c>
      <c r="D24" t="str">
        <f t="shared" si="0"/>
        <v>7,62x39 - AP</v>
      </c>
      <c r="E24" t="s">
        <v>58</v>
      </c>
      <c r="F24" t="s">
        <v>11</v>
      </c>
      <c r="G24">
        <v>8</v>
      </c>
      <c r="H24">
        <v>740</v>
      </c>
      <c r="I24">
        <v>1</v>
      </c>
      <c r="J24">
        <v>1</v>
      </c>
      <c r="K24">
        <v>2</v>
      </c>
      <c r="L24">
        <v>0</v>
      </c>
      <c r="M24">
        <v>16.2</v>
      </c>
    </row>
    <row r="25" spans="1:13" x14ac:dyDescent="0.25">
      <c r="A25" t="s">
        <v>648</v>
      </c>
      <c r="B25" t="s">
        <v>60</v>
      </c>
      <c r="C25" t="s">
        <v>728</v>
      </c>
      <c r="D25" t="str">
        <f t="shared" si="0"/>
        <v>7,62x33 - BO</v>
      </c>
      <c r="E25" t="s">
        <v>61</v>
      </c>
      <c r="F25" t="s">
        <v>7</v>
      </c>
      <c r="G25">
        <v>7.1</v>
      </c>
      <c r="H25">
        <v>670</v>
      </c>
      <c r="I25">
        <v>0</v>
      </c>
      <c r="J25">
        <v>0</v>
      </c>
      <c r="K25">
        <v>0</v>
      </c>
      <c r="L25">
        <v>0</v>
      </c>
      <c r="M25">
        <v>16</v>
      </c>
    </row>
    <row r="26" spans="1:13" x14ac:dyDescent="0.25">
      <c r="A26" t="s">
        <v>649</v>
      </c>
      <c r="B26" t="s">
        <v>62</v>
      </c>
      <c r="C26" t="s">
        <v>728</v>
      </c>
      <c r="D26" t="str">
        <f t="shared" si="0"/>
        <v>7,8x52 - BO</v>
      </c>
      <c r="E26" t="s">
        <v>63</v>
      </c>
      <c r="F26" t="s">
        <v>7</v>
      </c>
      <c r="G26">
        <v>10</v>
      </c>
      <c r="H26">
        <v>730</v>
      </c>
      <c r="I26">
        <v>2</v>
      </c>
      <c r="J26">
        <v>2</v>
      </c>
      <c r="K26">
        <v>0</v>
      </c>
      <c r="L26">
        <v>0</v>
      </c>
      <c r="M26">
        <v>18</v>
      </c>
    </row>
    <row r="27" spans="1:13" x14ac:dyDescent="0.25">
      <c r="A27" t="s">
        <v>650</v>
      </c>
      <c r="B27" t="s">
        <v>65</v>
      </c>
      <c r="C27" t="s">
        <v>728</v>
      </c>
      <c r="D27" t="str">
        <f t="shared" si="0"/>
        <v>7,8x34 - BO</v>
      </c>
      <c r="E27" t="s">
        <v>66</v>
      </c>
      <c r="F27" t="s">
        <v>7</v>
      </c>
      <c r="G27">
        <v>8</v>
      </c>
      <c r="H27">
        <v>675</v>
      </c>
      <c r="I27" s="1">
        <v>2</v>
      </c>
      <c r="J27" s="1">
        <v>2</v>
      </c>
      <c r="K27" s="1" t="s">
        <v>42</v>
      </c>
      <c r="L27">
        <v>0</v>
      </c>
      <c r="M27">
        <v>15</v>
      </c>
    </row>
    <row r="28" spans="1:13" x14ac:dyDescent="0.25">
      <c r="A28" t="s">
        <v>651</v>
      </c>
      <c r="B28" t="s">
        <v>67</v>
      </c>
      <c r="C28" t="s">
        <v>728</v>
      </c>
      <c r="D28" t="str">
        <f t="shared" si="0"/>
        <v>7,8x34 - AP</v>
      </c>
      <c r="E28" t="s">
        <v>66</v>
      </c>
      <c r="F28" t="s">
        <v>11</v>
      </c>
      <c r="G28">
        <v>5</v>
      </c>
      <c r="H28">
        <v>900</v>
      </c>
      <c r="I28" s="1">
        <v>1</v>
      </c>
      <c r="J28" s="1">
        <v>1</v>
      </c>
      <c r="K28" s="1" t="s">
        <v>17</v>
      </c>
      <c r="L28">
        <v>0</v>
      </c>
      <c r="M28">
        <v>12</v>
      </c>
    </row>
    <row r="29" spans="1:13" x14ac:dyDescent="0.25">
      <c r="A29" t="s">
        <v>652</v>
      </c>
      <c r="B29" t="s">
        <v>68</v>
      </c>
      <c r="C29" t="s">
        <v>728</v>
      </c>
      <c r="D29" t="str">
        <f t="shared" si="0"/>
        <v>7,8x34 - Sub</v>
      </c>
      <c r="E29" t="s">
        <v>66</v>
      </c>
      <c r="F29" t="s">
        <v>69</v>
      </c>
      <c r="G29">
        <v>14</v>
      </c>
      <c r="H29">
        <v>310</v>
      </c>
      <c r="I29">
        <v>2</v>
      </c>
      <c r="J29">
        <v>2</v>
      </c>
      <c r="K29">
        <v>0</v>
      </c>
      <c r="L29">
        <v>0</v>
      </c>
      <c r="M29">
        <v>24</v>
      </c>
    </row>
    <row r="30" spans="1:13" x14ac:dyDescent="0.25">
      <c r="A30" t="s">
        <v>653</v>
      </c>
      <c r="B30" t="s">
        <v>70</v>
      </c>
      <c r="C30" t="s">
        <v>728</v>
      </c>
      <c r="D30" t="str">
        <f t="shared" si="0"/>
        <v>.303 - BO</v>
      </c>
      <c r="E30" t="s">
        <v>71</v>
      </c>
      <c r="F30" t="s">
        <v>7</v>
      </c>
      <c r="G30">
        <v>11.3</v>
      </c>
      <c r="H30">
        <v>735</v>
      </c>
      <c r="I30">
        <v>0</v>
      </c>
      <c r="J30">
        <v>0</v>
      </c>
      <c r="K30">
        <v>0</v>
      </c>
      <c r="L30">
        <v>0</v>
      </c>
      <c r="M30">
        <v>21</v>
      </c>
    </row>
    <row r="31" spans="1:13" x14ac:dyDescent="0.25">
      <c r="A31" t="s">
        <v>654</v>
      </c>
      <c r="B31" t="s">
        <v>72</v>
      </c>
      <c r="C31" t="s">
        <v>728</v>
      </c>
      <c r="D31" t="str">
        <f t="shared" si="0"/>
        <v>7,62x51 - BO</v>
      </c>
      <c r="E31" t="s">
        <v>73</v>
      </c>
      <c r="F31" t="s">
        <v>7</v>
      </c>
      <c r="G31">
        <v>9.4499999999999993</v>
      </c>
      <c r="H31">
        <v>832</v>
      </c>
      <c r="I31" t="s">
        <v>13</v>
      </c>
      <c r="J31" t="s">
        <v>13</v>
      </c>
      <c r="K31" t="s">
        <v>74</v>
      </c>
      <c r="L31">
        <v>0</v>
      </c>
      <c r="M31">
        <v>25.4</v>
      </c>
    </row>
    <row r="32" spans="1:13" x14ac:dyDescent="0.25">
      <c r="A32" t="s">
        <v>655</v>
      </c>
      <c r="B32" t="s">
        <v>75</v>
      </c>
      <c r="C32" t="s">
        <v>728</v>
      </c>
      <c r="D32" t="str">
        <f t="shared" si="0"/>
        <v>7,62x51 - Sniper</v>
      </c>
      <c r="E32" t="s">
        <v>73</v>
      </c>
      <c r="F32" t="s">
        <v>23</v>
      </c>
      <c r="G32">
        <v>9</v>
      </c>
      <c r="H32">
        <v>860</v>
      </c>
      <c r="I32">
        <v>1</v>
      </c>
      <c r="J32">
        <v>1</v>
      </c>
      <c r="K32" t="s">
        <v>74</v>
      </c>
      <c r="L32">
        <v>0</v>
      </c>
      <c r="M32">
        <v>25</v>
      </c>
    </row>
    <row r="33" spans="1:13" x14ac:dyDescent="0.25">
      <c r="A33" t="s">
        <v>656</v>
      </c>
      <c r="B33" t="s">
        <v>76</v>
      </c>
      <c r="C33" t="s">
        <v>728</v>
      </c>
      <c r="D33" t="str">
        <f t="shared" si="0"/>
        <v>7,62x51 - Sniper AP</v>
      </c>
      <c r="E33" t="s">
        <v>73</v>
      </c>
      <c r="F33" t="s">
        <v>77</v>
      </c>
      <c r="G33">
        <v>11.3</v>
      </c>
      <c r="H33">
        <v>960</v>
      </c>
      <c r="I33">
        <v>1</v>
      </c>
      <c r="J33">
        <v>1</v>
      </c>
      <c r="K33" t="s">
        <v>17</v>
      </c>
      <c r="L33" t="s">
        <v>42</v>
      </c>
      <c r="M33">
        <v>27</v>
      </c>
    </row>
    <row r="34" spans="1:13" x14ac:dyDescent="0.25">
      <c r="A34" t="s">
        <v>657</v>
      </c>
      <c r="B34" t="s">
        <v>78</v>
      </c>
      <c r="C34" t="s">
        <v>728</v>
      </c>
      <c r="D34" t="str">
        <f t="shared" si="0"/>
        <v>7,62x51 - AP</v>
      </c>
      <c r="E34" t="s">
        <v>73</v>
      </c>
      <c r="F34" t="s">
        <v>11</v>
      </c>
      <c r="G34">
        <v>10.9</v>
      </c>
      <c r="H34">
        <v>960</v>
      </c>
      <c r="I34" t="s">
        <v>12</v>
      </c>
      <c r="J34" t="s">
        <v>12</v>
      </c>
      <c r="K34" t="s">
        <v>13</v>
      </c>
      <c r="L34">
        <v>2</v>
      </c>
      <c r="M34">
        <v>26</v>
      </c>
    </row>
    <row r="35" spans="1:13" x14ac:dyDescent="0.25">
      <c r="A35" t="s">
        <v>658</v>
      </c>
      <c r="B35" t="s">
        <v>79</v>
      </c>
      <c r="C35" t="s">
        <v>728</v>
      </c>
      <c r="D35" t="str">
        <f t="shared" si="0"/>
        <v>7,62x63 - BO</v>
      </c>
      <c r="E35" t="s">
        <v>80</v>
      </c>
      <c r="F35" t="s">
        <v>7</v>
      </c>
      <c r="G35">
        <v>8</v>
      </c>
      <c r="H35">
        <v>810</v>
      </c>
      <c r="I35">
        <v>2</v>
      </c>
      <c r="J35">
        <v>2</v>
      </c>
      <c r="K35">
        <v>3</v>
      </c>
      <c r="L35">
        <v>0</v>
      </c>
      <c r="M35">
        <v>15</v>
      </c>
    </row>
    <row r="36" spans="1:13" x14ac:dyDescent="0.25">
      <c r="A36" t="s">
        <v>659</v>
      </c>
      <c r="B36" t="s">
        <v>81</v>
      </c>
      <c r="C36" t="s">
        <v>728</v>
      </c>
      <c r="D36" t="str">
        <f t="shared" si="0"/>
        <v>7,62x63 - AP</v>
      </c>
      <c r="E36" t="s">
        <v>80</v>
      </c>
      <c r="F36" t="s">
        <v>11</v>
      </c>
      <c r="G36">
        <v>11</v>
      </c>
      <c r="H36">
        <v>855</v>
      </c>
      <c r="I36" t="s">
        <v>13</v>
      </c>
      <c r="J36" t="s">
        <v>13</v>
      </c>
      <c r="K36" t="s">
        <v>74</v>
      </c>
      <c r="L36">
        <v>0</v>
      </c>
      <c r="M36">
        <v>18</v>
      </c>
    </row>
    <row r="37" spans="1:13" x14ac:dyDescent="0.25">
      <c r="A37" t="s">
        <v>660</v>
      </c>
      <c r="B37" t="s">
        <v>82</v>
      </c>
      <c r="C37" t="s">
        <v>728</v>
      </c>
      <c r="D37" t="str">
        <f t="shared" si="0"/>
        <v>7,62x54 - AP</v>
      </c>
      <c r="E37" t="s">
        <v>83</v>
      </c>
      <c r="F37" t="s">
        <v>11</v>
      </c>
      <c r="G37">
        <v>9.75</v>
      </c>
      <c r="H37">
        <v>870</v>
      </c>
      <c r="I37" t="s">
        <v>12</v>
      </c>
      <c r="J37" t="s">
        <v>12</v>
      </c>
      <c r="K37" t="s">
        <v>17</v>
      </c>
      <c r="L37" t="s">
        <v>74</v>
      </c>
      <c r="M37">
        <v>18</v>
      </c>
    </row>
    <row r="38" spans="1:13" x14ac:dyDescent="0.25">
      <c r="A38" t="s">
        <v>661</v>
      </c>
      <c r="B38" t="s">
        <v>84</v>
      </c>
      <c r="C38" t="s">
        <v>728</v>
      </c>
      <c r="D38" t="str">
        <f t="shared" si="0"/>
        <v>7,62x54 - BO</v>
      </c>
      <c r="E38" t="s">
        <v>83</v>
      </c>
      <c r="F38" t="s">
        <v>7</v>
      </c>
      <c r="G38">
        <v>11</v>
      </c>
      <c r="H38">
        <v>786</v>
      </c>
      <c r="I38" t="s">
        <v>13</v>
      </c>
      <c r="J38" t="s">
        <v>13</v>
      </c>
      <c r="K38" t="s">
        <v>74</v>
      </c>
      <c r="L38">
        <v>0</v>
      </c>
      <c r="M38">
        <v>20</v>
      </c>
    </row>
    <row r="39" spans="1:13" x14ac:dyDescent="0.25">
      <c r="A39" t="s">
        <v>660</v>
      </c>
      <c r="B39" t="s">
        <v>85</v>
      </c>
      <c r="C39" t="s">
        <v>728</v>
      </c>
      <c r="D39" t="str">
        <f t="shared" si="0"/>
        <v>7,62x54 - AP</v>
      </c>
      <c r="E39" t="s">
        <v>83</v>
      </c>
      <c r="F39" t="s">
        <v>11</v>
      </c>
      <c r="G39">
        <v>11.79</v>
      </c>
      <c r="H39">
        <v>800</v>
      </c>
      <c r="I39">
        <v>1</v>
      </c>
      <c r="J39">
        <v>1</v>
      </c>
      <c r="K39">
        <v>2</v>
      </c>
      <c r="L39">
        <v>0</v>
      </c>
      <c r="M39">
        <v>21</v>
      </c>
    </row>
    <row r="40" spans="1:13" x14ac:dyDescent="0.25">
      <c r="A40" t="s">
        <v>662</v>
      </c>
      <c r="B40" t="s">
        <v>86</v>
      </c>
      <c r="C40" t="s">
        <v>728</v>
      </c>
      <c r="D40" t="str">
        <f t="shared" si="0"/>
        <v>7,65x17 - BO</v>
      </c>
      <c r="E40" t="s">
        <v>87</v>
      </c>
      <c r="F40" t="s">
        <v>7</v>
      </c>
      <c r="G40">
        <v>4.7</v>
      </c>
      <c r="H40">
        <v>318</v>
      </c>
      <c r="I40">
        <v>0</v>
      </c>
      <c r="J40">
        <v>0</v>
      </c>
      <c r="K40">
        <v>0</v>
      </c>
      <c r="L40">
        <v>0</v>
      </c>
      <c r="M40">
        <v>8</v>
      </c>
    </row>
    <row r="41" spans="1:13" x14ac:dyDescent="0.25">
      <c r="A41" t="s">
        <v>663</v>
      </c>
      <c r="B41" t="s">
        <v>745</v>
      </c>
      <c r="C41" t="s">
        <v>728</v>
      </c>
      <c r="D41" t="str">
        <f t="shared" si="0"/>
        <v>7,92x33 - BO</v>
      </c>
      <c r="E41" t="s">
        <v>88</v>
      </c>
      <c r="F41" t="s">
        <v>7</v>
      </c>
      <c r="G41">
        <v>8</v>
      </c>
      <c r="H41">
        <v>710</v>
      </c>
      <c r="I41">
        <v>2</v>
      </c>
      <c r="J41">
        <v>0</v>
      </c>
      <c r="K41">
        <v>0</v>
      </c>
      <c r="L41">
        <v>0</v>
      </c>
      <c r="M41">
        <v>15</v>
      </c>
    </row>
    <row r="42" spans="1:13" x14ac:dyDescent="0.25">
      <c r="A42" t="s">
        <v>664</v>
      </c>
      <c r="B42" t="s">
        <v>89</v>
      </c>
      <c r="C42" t="s">
        <v>728</v>
      </c>
      <c r="D42" t="str">
        <f t="shared" si="0"/>
        <v>7,92x57 - BO</v>
      </c>
      <c r="E42" t="s">
        <v>90</v>
      </c>
      <c r="F42" t="s">
        <v>7</v>
      </c>
      <c r="G42">
        <v>13.4</v>
      </c>
      <c r="H42">
        <v>740</v>
      </c>
      <c r="I42">
        <v>2</v>
      </c>
      <c r="J42">
        <v>2</v>
      </c>
      <c r="K42">
        <v>3</v>
      </c>
      <c r="L42">
        <v>0</v>
      </c>
      <c r="M42">
        <v>23</v>
      </c>
    </row>
    <row r="43" spans="1:13" x14ac:dyDescent="0.25">
      <c r="A43" t="s">
        <v>665</v>
      </c>
      <c r="B43" t="s">
        <v>91</v>
      </c>
      <c r="C43" t="s">
        <v>728</v>
      </c>
      <c r="D43" t="str">
        <f t="shared" si="0"/>
        <v>8x51 - BO</v>
      </c>
      <c r="E43" t="s">
        <v>92</v>
      </c>
      <c r="F43" t="s">
        <v>7</v>
      </c>
      <c r="G43">
        <v>12.5</v>
      </c>
      <c r="H43">
        <v>735</v>
      </c>
      <c r="I43">
        <v>2</v>
      </c>
      <c r="J43">
        <v>2</v>
      </c>
      <c r="K43">
        <v>3</v>
      </c>
      <c r="L43">
        <v>0</v>
      </c>
      <c r="M43">
        <v>21</v>
      </c>
    </row>
    <row r="44" spans="1:13" x14ac:dyDescent="0.25">
      <c r="A44" t="s">
        <v>666</v>
      </c>
      <c r="B44" t="s">
        <v>93</v>
      </c>
      <c r="C44" t="s">
        <v>728</v>
      </c>
      <c r="D44" t="str">
        <f t="shared" si="0"/>
        <v>8x22 - BO</v>
      </c>
      <c r="E44" t="s">
        <v>94</v>
      </c>
      <c r="F44" t="s">
        <v>7</v>
      </c>
      <c r="G44">
        <v>7</v>
      </c>
      <c r="H44">
        <v>315</v>
      </c>
      <c r="I44">
        <v>0</v>
      </c>
      <c r="J44">
        <v>0</v>
      </c>
      <c r="K44">
        <v>0</v>
      </c>
      <c r="L44">
        <v>0</v>
      </c>
      <c r="M44">
        <v>10.199999999999999</v>
      </c>
    </row>
    <row r="45" spans="1:13" x14ac:dyDescent="0.25">
      <c r="A45" t="s">
        <v>667</v>
      </c>
      <c r="B45" t="s">
        <v>96</v>
      </c>
      <c r="C45" t="s">
        <v>728</v>
      </c>
      <c r="D45" t="str">
        <f t="shared" si="0"/>
        <v>9x17 - BO</v>
      </c>
      <c r="E45" t="s">
        <v>97</v>
      </c>
      <c r="F45" t="s">
        <v>7</v>
      </c>
      <c r="G45">
        <v>5.68</v>
      </c>
      <c r="H45">
        <v>297</v>
      </c>
      <c r="I45">
        <v>0</v>
      </c>
      <c r="J45">
        <v>0</v>
      </c>
      <c r="K45">
        <v>0</v>
      </c>
      <c r="L45">
        <v>0</v>
      </c>
      <c r="M45">
        <v>9</v>
      </c>
    </row>
    <row r="46" spans="1:13" x14ac:dyDescent="0.25">
      <c r="A46" t="s">
        <v>668</v>
      </c>
      <c r="B46" t="s">
        <v>98</v>
      </c>
      <c r="C46" t="s">
        <v>728</v>
      </c>
      <c r="D46" t="str">
        <f t="shared" si="0"/>
        <v>9x18 - BO</v>
      </c>
      <c r="E46" t="s">
        <v>99</v>
      </c>
      <c r="F46" t="s">
        <v>7</v>
      </c>
      <c r="G46">
        <v>6.1</v>
      </c>
      <c r="H46">
        <v>314</v>
      </c>
      <c r="I46">
        <v>0</v>
      </c>
      <c r="J46">
        <v>0</v>
      </c>
      <c r="K46">
        <v>0</v>
      </c>
      <c r="L46">
        <v>0</v>
      </c>
      <c r="M46">
        <v>10</v>
      </c>
    </row>
    <row r="47" spans="1:13" x14ac:dyDescent="0.25">
      <c r="A47" t="s">
        <v>669</v>
      </c>
      <c r="B47" t="s">
        <v>100</v>
      </c>
      <c r="C47" t="s">
        <v>728</v>
      </c>
      <c r="D47" t="str">
        <f t="shared" si="0"/>
        <v>9x18 - AP</v>
      </c>
      <c r="E47" t="s">
        <v>99</v>
      </c>
      <c r="F47" t="s">
        <v>11</v>
      </c>
      <c r="G47">
        <v>3.7</v>
      </c>
      <c r="H47">
        <v>519</v>
      </c>
      <c r="I47" s="1">
        <v>1</v>
      </c>
      <c r="J47">
        <v>0</v>
      </c>
      <c r="K47">
        <v>0</v>
      </c>
      <c r="L47">
        <v>0</v>
      </c>
      <c r="M47">
        <v>7.4</v>
      </c>
    </row>
    <row r="48" spans="1:13" x14ac:dyDescent="0.25">
      <c r="A48" t="s">
        <v>670</v>
      </c>
      <c r="B48" t="s">
        <v>101</v>
      </c>
      <c r="C48" t="s">
        <v>728</v>
      </c>
      <c r="D48" t="str">
        <f t="shared" si="0"/>
        <v>9x18 - Expansion</v>
      </c>
      <c r="E48" t="s">
        <v>99</v>
      </c>
      <c r="F48" t="s">
        <v>31</v>
      </c>
      <c r="G48">
        <v>6.1</v>
      </c>
      <c r="H48">
        <v>325</v>
      </c>
      <c r="I48">
        <v>0</v>
      </c>
      <c r="J48">
        <v>0</v>
      </c>
      <c r="K48">
        <v>0</v>
      </c>
      <c r="L48">
        <v>0</v>
      </c>
      <c r="M48">
        <v>8</v>
      </c>
    </row>
    <row r="49" spans="1:13" x14ac:dyDescent="0.25">
      <c r="A49" t="s">
        <v>671</v>
      </c>
      <c r="B49" t="s">
        <v>218</v>
      </c>
      <c r="C49" t="s">
        <v>728</v>
      </c>
      <c r="D49" t="str">
        <f t="shared" si="0"/>
        <v>9x19 - BO</v>
      </c>
      <c r="E49" t="s">
        <v>102</v>
      </c>
      <c r="F49" t="s">
        <v>7</v>
      </c>
      <c r="G49">
        <v>6.75</v>
      </c>
      <c r="H49">
        <v>450</v>
      </c>
      <c r="I49">
        <v>0</v>
      </c>
      <c r="J49">
        <v>0</v>
      </c>
      <c r="K49">
        <v>0</v>
      </c>
      <c r="L49">
        <v>0</v>
      </c>
      <c r="M49">
        <v>11</v>
      </c>
    </row>
    <row r="50" spans="1:13" x14ac:dyDescent="0.25">
      <c r="A50" t="s">
        <v>672</v>
      </c>
      <c r="B50" t="s">
        <v>103</v>
      </c>
      <c r="C50" t="s">
        <v>728</v>
      </c>
      <c r="D50" t="str">
        <f t="shared" si="0"/>
        <v>9x19 - AP</v>
      </c>
      <c r="E50" t="s">
        <v>102</v>
      </c>
      <c r="F50" t="s">
        <v>11</v>
      </c>
      <c r="G50">
        <v>6.75</v>
      </c>
      <c r="H50">
        <v>460</v>
      </c>
      <c r="I50" s="1">
        <v>1</v>
      </c>
      <c r="J50">
        <v>0</v>
      </c>
      <c r="K50">
        <v>0</v>
      </c>
      <c r="L50">
        <v>0</v>
      </c>
      <c r="M50">
        <v>11</v>
      </c>
    </row>
    <row r="51" spans="1:13" x14ac:dyDescent="0.25">
      <c r="A51" t="s">
        <v>673</v>
      </c>
      <c r="B51" t="s">
        <v>104</v>
      </c>
      <c r="C51" t="s">
        <v>728</v>
      </c>
      <c r="D51" t="str">
        <f t="shared" si="0"/>
        <v>9x19 - Expansion</v>
      </c>
      <c r="E51" t="s">
        <v>102</v>
      </c>
      <c r="F51" t="s">
        <v>31</v>
      </c>
      <c r="G51">
        <v>6.5</v>
      </c>
      <c r="H51">
        <v>410</v>
      </c>
      <c r="I51">
        <v>0</v>
      </c>
      <c r="J51">
        <v>0</v>
      </c>
      <c r="K51">
        <v>0</v>
      </c>
      <c r="L51">
        <v>0</v>
      </c>
      <c r="M51">
        <v>11</v>
      </c>
    </row>
    <row r="52" spans="1:13" x14ac:dyDescent="0.25">
      <c r="A52" t="s">
        <v>674</v>
      </c>
      <c r="B52" t="s">
        <v>105</v>
      </c>
      <c r="C52" t="s">
        <v>728</v>
      </c>
      <c r="D52" t="str">
        <f t="shared" si="0"/>
        <v>9x19 - Subsonique</v>
      </c>
      <c r="E52" t="s">
        <v>102</v>
      </c>
      <c r="F52" t="s">
        <v>37</v>
      </c>
      <c r="G52">
        <v>8</v>
      </c>
      <c r="H52">
        <v>300</v>
      </c>
      <c r="I52">
        <v>0</v>
      </c>
      <c r="J52">
        <v>0</v>
      </c>
      <c r="K52">
        <v>0</v>
      </c>
      <c r="L52">
        <v>0</v>
      </c>
      <c r="M52">
        <v>13</v>
      </c>
    </row>
    <row r="53" spans="1:13" x14ac:dyDescent="0.25">
      <c r="A53" t="s">
        <v>675</v>
      </c>
      <c r="B53" t="s">
        <v>106</v>
      </c>
      <c r="C53" t="s">
        <v>728</v>
      </c>
      <c r="D53" t="str">
        <f t="shared" si="0"/>
        <v>9x29 - BO</v>
      </c>
      <c r="E53" t="s">
        <v>107</v>
      </c>
      <c r="F53" t="s">
        <v>7</v>
      </c>
      <c r="G53">
        <v>10.6</v>
      </c>
      <c r="H53">
        <v>260</v>
      </c>
      <c r="I53">
        <v>0</v>
      </c>
      <c r="J53">
        <v>0</v>
      </c>
      <c r="K53">
        <v>0</v>
      </c>
      <c r="L53">
        <v>0</v>
      </c>
      <c r="M53">
        <v>20</v>
      </c>
    </row>
    <row r="54" spans="1:13" x14ac:dyDescent="0.25">
      <c r="A54" t="s">
        <v>725</v>
      </c>
      <c r="B54" t="s">
        <v>108</v>
      </c>
      <c r="C54" t="s">
        <v>728</v>
      </c>
      <c r="D54" t="e">
        <f ca="1">IF(F54&lt;&gt;"",_xlfn.CONCAT(E54," - ",F54),E54)</f>
        <v>#NAME?</v>
      </c>
      <c r="E54" t="s">
        <v>107</v>
      </c>
      <c r="F54" s="1" t="s">
        <v>11</v>
      </c>
      <c r="G54">
        <v>10.199999999999999</v>
      </c>
      <c r="H54">
        <v>230</v>
      </c>
      <c r="I54">
        <v>0</v>
      </c>
      <c r="J54">
        <v>0</v>
      </c>
      <c r="K54">
        <v>0</v>
      </c>
      <c r="L54">
        <v>0</v>
      </c>
      <c r="M54">
        <v>20</v>
      </c>
    </row>
    <row r="55" spans="1:13" x14ac:dyDescent="0.25">
      <c r="A55" t="s">
        <v>725</v>
      </c>
      <c r="B55" t="s">
        <v>109</v>
      </c>
      <c r="C55" t="s">
        <v>728</v>
      </c>
      <c r="D55" t="e">
        <f t="shared" ca="1" si="0"/>
        <v>#NAME?</v>
      </c>
      <c r="E55" t="s">
        <v>107</v>
      </c>
      <c r="F55" s="1" t="s">
        <v>31</v>
      </c>
      <c r="G55">
        <v>7.1</v>
      </c>
      <c r="H55">
        <v>390</v>
      </c>
      <c r="I55">
        <v>0</v>
      </c>
      <c r="J55">
        <v>0</v>
      </c>
      <c r="K55">
        <v>0</v>
      </c>
      <c r="L55">
        <v>0</v>
      </c>
    </row>
    <row r="56" spans="1:13" x14ac:dyDescent="0.25">
      <c r="A56" t="s">
        <v>725</v>
      </c>
      <c r="B56" t="s">
        <v>110</v>
      </c>
      <c r="C56" t="s">
        <v>728</v>
      </c>
      <c r="D56" t="str">
        <f t="shared" si="0"/>
        <v>9x29</v>
      </c>
      <c r="E56" t="s">
        <v>107</v>
      </c>
      <c r="G56">
        <v>8.06</v>
      </c>
      <c r="H56">
        <v>308</v>
      </c>
      <c r="I56">
        <v>0</v>
      </c>
      <c r="J56">
        <v>0</v>
      </c>
      <c r="K56">
        <v>0</v>
      </c>
      <c r="L56">
        <v>0</v>
      </c>
    </row>
    <row r="57" spans="1:13" x14ac:dyDescent="0.25">
      <c r="A57" t="s">
        <v>725</v>
      </c>
      <c r="B57" t="s">
        <v>111</v>
      </c>
      <c r="C57" t="s">
        <v>728</v>
      </c>
      <c r="D57" t="str">
        <f t="shared" si="0"/>
        <v>9x29</v>
      </c>
      <c r="E57" t="s">
        <v>107</v>
      </c>
      <c r="G57">
        <v>10.19</v>
      </c>
      <c r="H57">
        <v>370</v>
      </c>
      <c r="I57">
        <v>0</v>
      </c>
      <c r="J57">
        <v>0</v>
      </c>
      <c r="K57">
        <v>0</v>
      </c>
      <c r="L57">
        <v>0</v>
      </c>
    </row>
    <row r="58" spans="1:13" x14ac:dyDescent="0.25">
      <c r="A58" t="s">
        <v>676</v>
      </c>
      <c r="B58" t="s">
        <v>112</v>
      </c>
      <c r="C58" t="s">
        <v>728</v>
      </c>
      <c r="D58" t="str">
        <f t="shared" si="0"/>
        <v>9X29 - JHP+P</v>
      </c>
      <c r="E58" t="s">
        <v>113</v>
      </c>
      <c r="F58" t="s">
        <v>114</v>
      </c>
      <c r="G58">
        <v>10.24</v>
      </c>
      <c r="H58">
        <v>297</v>
      </c>
      <c r="I58">
        <v>0</v>
      </c>
      <c r="J58">
        <v>0</v>
      </c>
      <c r="K58">
        <v>0</v>
      </c>
      <c r="L58">
        <v>0</v>
      </c>
      <c r="M58">
        <v>15.8</v>
      </c>
    </row>
    <row r="59" spans="1:13" x14ac:dyDescent="0.25">
      <c r="A59" t="s">
        <v>725</v>
      </c>
      <c r="B59" t="s">
        <v>115</v>
      </c>
      <c r="C59" t="s">
        <v>728</v>
      </c>
      <c r="D59" t="str">
        <f t="shared" si="0"/>
        <v>9x29</v>
      </c>
      <c r="E59" t="s">
        <v>107</v>
      </c>
      <c r="G59">
        <v>7.1</v>
      </c>
      <c r="H59">
        <v>340</v>
      </c>
      <c r="I59">
        <v>0</v>
      </c>
      <c r="J59">
        <v>0</v>
      </c>
      <c r="K59">
        <v>0</v>
      </c>
      <c r="L59">
        <v>0</v>
      </c>
      <c r="M59">
        <v>11</v>
      </c>
    </row>
    <row r="60" spans="1:13" x14ac:dyDescent="0.25">
      <c r="A60" t="s">
        <v>725</v>
      </c>
      <c r="B60" t="s">
        <v>116</v>
      </c>
      <c r="C60" t="s">
        <v>728</v>
      </c>
      <c r="D60" t="str">
        <f t="shared" si="0"/>
        <v>9x29</v>
      </c>
      <c r="E60" t="s">
        <v>107</v>
      </c>
      <c r="G60">
        <v>13</v>
      </c>
      <c r="H60">
        <v>205</v>
      </c>
      <c r="I60">
        <v>0</v>
      </c>
      <c r="J60">
        <v>0</v>
      </c>
      <c r="K60">
        <v>0</v>
      </c>
      <c r="L60">
        <v>0</v>
      </c>
      <c r="M60">
        <v>20</v>
      </c>
    </row>
    <row r="61" spans="1:13" x14ac:dyDescent="0.25">
      <c r="A61" t="s">
        <v>725</v>
      </c>
      <c r="B61" t="s">
        <v>117</v>
      </c>
      <c r="C61" t="s">
        <v>728</v>
      </c>
      <c r="D61" t="str">
        <f t="shared" si="0"/>
        <v>9x29</v>
      </c>
      <c r="E61" t="s">
        <v>107</v>
      </c>
      <c r="G61">
        <v>9.5299999999999994</v>
      </c>
      <c r="H61">
        <v>270</v>
      </c>
      <c r="I61">
        <v>0</v>
      </c>
      <c r="J61">
        <v>0</v>
      </c>
      <c r="K61">
        <v>0</v>
      </c>
      <c r="L61">
        <v>0</v>
      </c>
      <c r="M61">
        <v>14.7</v>
      </c>
    </row>
    <row r="62" spans="1:13" x14ac:dyDescent="0.25">
      <c r="A62" t="s">
        <v>677</v>
      </c>
      <c r="B62" t="s">
        <v>118</v>
      </c>
      <c r="C62" t="s">
        <v>728</v>
      </c>
      <c r="D62" t="str">
        <f t="shared" si="0"/>
        <v>9x33 - BO</v>
      </c>
      <c r="E62" t="s">
        <v>119</v>
      </c>
      <c r="F62" t="s">
        <v>7</v>
      </c>
      <c r="G62">
        <v>10.199999999999999</v>
      </c>
      <c r="H62">
        <v>395</v>
      </c>
      <c r="I62">
        <v>0</v>
      </c>
      <c r="J62">
        <v>0</v>
      </c>
      <c r="K62">
        <v>0</v>
      </c>
      <c r="L62">
        <v>0</v>
      </c>
      <c r="M62">
        <v>17</v>
      </c>
    </row>
    <row r="63" spans="1:13" x14ac:dyDescent="0.25">
      <c r="A63" t="s">
        <v>678</v>
      </c>
      <c r="B63" t="s">
        <v>120</v>
      </c>
      <c r="C63" t="s">
        <v>728</v>
      </c>
      <c r="D63" t="str">
        <f t="shared" si="0"/>
        <v>9x33 - AP</v>
      </c>
      <c r="E63" t="s">
        <v>119</v>
      </c>
      <c r="F63" t="s">
        <v>11</v>
      </c>
      <c r="G63">
        <v>8.1</v>
      </c>
      <c r="H63">
        <v>395</v>
      </c>
      <c r="I63">
        <v>1</v>
      </c>
      <c r="J63">
        <v>1</v>
      </c>
      <c r="K63">
        <v>0</v>
      </c>
      <c r="L63">
        <v>0</v>
      </c>
      <c r="M63">
        <v>13.5</v>
      </c>
    </row>
    <row r="64" spans="1:13" x14ac:dyDescent="0.25">
      <c r="A64" t="s">
        <v>726</v>
      </c>
      <c r="B64" t="s">
        <v>121</v>
      </c>
      <c r="C64" t="s">
        <v>728</v>
      </c>
      <c r="D64" t="e">
        <f ca="1">IF(F64&lt;&gt;"",_xlfn.CONCAT(E64," - ",F64),E64)</f>
        <v>#NAME?</v>
      </c>
      <c r="E64" t="s">
        <v>119</v>
      </c>
      <c r="F64" s="1" t="s">
        <v>11</v>
      </c>
      <c r="G64">
        <v>10.199999999999999</v>
      </c>
      <c r="H64">
        <v>344</v>
      </c>
      <c r="I64">
        <v>1</v>
      </c>
      <c r="J64">
        <v>1</v>
      </c>
      <c r="K64">
        <v>0</v>
      </c>
      <c r="L64">
        <v>0</v>
      </c>
    </row>
    <row r="65" spans="1:13" x14ac:dyDescent="0.25">
      <c r="A65" t="s">
        <v>726</v>
      </c>
      <c r="B65" t="s">
        <v>122</v>
      </c>
      <c r="C65" t="s">
        <v>728</v>
      </c>
      <c r="D65" t="e">
        <f t="shared" ca="1" si="0"/>
        <v>#NAME?</v>
      </c>
      <c r="E65" t="s">
        <v>119</v>
      </c>
      <c r="F65" s="1" t="s">
        <v>31</v>
      </c>
      <c r="G65">
        <v>7.1</v>
      </c>
      <c r="H65">
        <v>368</v>
      </c>
      <c r="I65">
        <v>0</v>
      </c>
      <c r="J65">
        <v>0</v>
      </c>
      <c r="K65">
        <v>0</v>
      </c>
      <c r="L65">
        <v>0</v>
      </c>
    </row>
    <row r="66" spans="1:13" x14ac:dyDescent="0.25">
      <c r="A66" t="s">
        <v>726</v>
      </c>
      <c r="B66" t="s">
        <v>123</v>
      </c>
      <c r="C66" t="s">
        <v>728</v>
      </c>
      <c r="D66" t="str">
        <f t="shared" si="0"/>
        <v>9x33</v>
      </c>
      <c r="E66" t="s">
        <v>119</v>
      </c>
      <c r="G66">
        <v>8.06</v>
      </c>
      <c r="H66">
        <v>435</v>
      </c>
      <c r="I66">
        <v>0</v>
      </c>
      <c r="J66">
        <v>0</v>
      </c>
      <c r="K66">
        <v>0</v>
      </c>
      <c r="L66">
        <v>0</v>
      </c>
    </row>
    <row r="67" spans="1:13" x14ac:dyDescent="0.25">
      <c r="A67" t="s">
        <v>726</v>
      </c>
      <c r="B67" t="s">
        <v>124</v>
      </c>
      <c r="C67" t="s">
        <v>728</v>
      </c>
      <c r="D67" t="str">
        <f t="shared" ref="D67:D125" si="1">IF(F67&lt;&gt;"",_xlfn.CONCAT(E67," - ",F67),E67)</f>
        <v>9x33</v>
      </c>
      <c r="E67" t="s">
        <v>119</v>
      </c>
      <c r="G67">
        <v>7.1</v>
      </c>
      <c r="H67">
        <v>465</v>
      </c>
      <c r="I67">
        <v>0</v>
      </c>
      <c r="J67">
        <v>0</v>
      </c>
      <c r="K67">
        <v>0</v>
      </c>
      <c r="L67">
        <v>0</v>
      </c>
    </row>
    <row r="68" spans="1:13" x14ac:dyDescent="0.25">
      <c r="A68" t="s">
        <v>679</v>
      </c>
      <c r="B68" t="s">
        <v>125</v>
      </c>
      <c r="C68" t="s">
        <v>728</v>
      </c>
      <c r="D68" t="str">
        <f t="shared" si="1"/>
        <v>11,43x23 - BO</v>
      </c>
      <c r="E68" t="s">
        <v>127</v>
      </c>
      <c r="F68" t="s">
        <v>7</v>
      </c>
      <c r="G68">
        <v>13</v>
      </c>
      <c r="H68">
        <v>460</v>
      </c>
      <c r="I68">
        <v>0</v>
      </c>
      <c r="J68">
        <v>0</v>
      </c>
      <c r="K68">
        <v>0</v>
      </c>
      <c r="L68">
        <v>0</v>
      </c>
      <c r="M68">
        <v>23</v>
      </c>
    </row>
    <row r="69" spans="1:13" x14ac:dyDescent="0.25">
      <c r="A69" t="s">
        <v>679</v>
      </c>
      <c r="B69" t="s">
        <v>126</v>
      </c>
      <c r="C69" t="s">
        <v>728</v>
      </c>
      <c r="D69" t="str">
        <f t="shared" si="1"/>
        <v>11,43x23 - BO</v>
      </c>
      <c r="E69" t="s">
        <v>127</v>
      </c>
      <c r="F69" t="s">
        <v>7</v>
      </c>
      <c r="G69">
        <v>19</v>
      </c>
      <c r="H69">
        <v>450</v>
      </c>
      <c r="I69">
        <v>2</v>
      </c>
      <c r="J69">
        <v>2</v>
      </c>
      <c r="K69">
        <v>0</v>
      </c>
      <c r="L69">
        <v>0</v>
      </c>
      <c r="M69">
        <v>31</v>
      </c>
    </row>
    <row r="70" spans="1:13" x14ac:dyDescent="0.25">
      <c r="A70" t="s">
        <v>680</v>
      </c>
      <c r="B70" t="s">
        <v>128</v>
      </c>
      <c r="C70" t="s">
        <v>728</v>
      </c>
      <c r="D70" t="str">
        <f t="shared" si="1"/>
        <v>10,74x33 - BO</v>
      </c>
      <c r="E70" t="s">
        <v>129</v>
      </c>
      <c r="F70" t="s">
        <v>7</v>
      </c>
      <c r="G70">
        <v>19</v>
      </c>
      <c r="H70">
        <v>500</v>
      </c>
      <c r="I70">
        <v>0</v>
      </c>
      <c r="J70">
        <v>0</v>
      </c>
      <c r="K70">
        <v>0</v>
      </c>
      <c r="L70">
        <v>0</v>
      </c>
      <c r="M70">
        <v>32</v>
      </c>
    </row>
    <row r="71" spans="1:13" x14ac:dyDescent="0.25">
      <c r="A71" t="s">
        <v>681</v>
      </c>
      <c r="B71" t="s">
        <v>130</v>
      </c>
      <c r="C71" t="s">
        <v>728</v>
      </c>
      <c r="D71" t="str">
        <f t="shared" si="1"/>
        <v>10x22 - BO</v>
      </c>
      <c r="E71" t="s">
        <v>131</v>
      </c>
      <c r="F71" t="s">
        <v>7</v>
      </c>
      <c r="G71">
        <v>11.7</v>
      </c>
      <c r="H71">
        <v>340</v>
      </c>
      <c r="I71">
        <v>1</v>
      </c>
      <c r="J71">
        <v>1</v>
      </c>
      <c r="K71">
        <v>0</v>
      </c>
      <c r="L71">
        <v>0</v>
      </c>
      <c r="M71">
        <v>21</v>
      </c>
    </row>
    <row r="72" spans="1:13" x14ac:dyDescent="0.25">
      <c r="A72" t="s">
        <v>679</v>
      </c>
      <c r="B72" t="s">
        <v>132</v>
      </c>
      <c r="C72" t="s">
        <v>728</v>
      </c>
      <c r="D72" t="str">
        <f t="shared" si="1"/>
        <v>11,43x23 - BO</v>
      </c>
      <c r="E72" t="s">
        <v>127</v>
      </c>
      <c r="F72" t="s">
        <v>7</v>
      </c>
      <c r="G72">
        <v>14.84</v>
      </c>
      <c r="H72">
        <v>285</v>
      </c>
      <c r="I72">
        <v>1</v>
      </c>
      <c r="J72">
        <v>1</v>
      </c>
      <c r="K72">
        <v>0</v>
      </c>
      <c r="L72">
        <v>0</v>
      </c>
      <c r="M72">
        <v>28</v>
      </c>
    </row>
    <row r="73" spans="1:13" x14ac:dyDescent="0.25">
      <c r="A73" t="s">
        <v>682</v>
      </c>
      <c r="B73" t="s">
        <v>133</v>
      </c>
      <c r="C73" t="s">
        <v>728</v>
      </c>
      <c r="D73" t="str">
        <f t="shared" si="1"/>
        <v>11,43x23 - AP</v>
      </c>
      <c r="E73" t="s">
        <v>127</v>
      </c>
      <c r="F73" t="s">
        <v>11</v>
      </c>
      <c r="G73">
        <v>14.5</v>
      </c>
      <c r="H73">
        <v>245</v>
      </c>
      <c r="I73" s="1" t="s">
        <v>12</v>
      </c>
      <c r="J73" s="1" t="s">
        <v>12</v>
      </c>
      <c r="K73" s="1" t="s">
        <v>17</v>
      </c>
      <c r="L73">
        <v>0</v>
      </c>
    </row>
    <row r="74" spans="1:13" x14ac:dyDescent="0.25">
      <c r="A74" t="s">
        <v>683</v>
      </c>
      <c r="B74" t="s">
        <v>134</v>
      </c>
      <c r="C74" t="s">
        <v>728</v>
      </c>
      <c r="D74" t="str">
        <f t="shared" si="1"/>
        <v>11,43x23 - Expansion</v>
      </c>
      <c r="E74" t="s">
        <v>127</v>
      </c>
      <c r="F74" t="s">
        <v>31</v>
      </c>
      <c r="G74">
        <v>12</v>
      </c>
      <c r="H74">
        <v>266</v>
      </c>
      <c r="I74">
        <v>0</v>
      </c>
      <c r="J74">
        <v>0</v>
      </c>
      <c r="K74">
        <v>0</v>
      </c>
      <c r="L74">
        <v>0</v>
      </c>
    </row>
    <row r="75" spans="1:13" x14ac:dyDescent="0.25">
      <c r="A75" t="s">
        <v>684</v>
      </c>
      <c r="B75" t="s">
        <v>136</v>
      </c>
      <c r="C75" t="s">
        <v>728</v>
      </c>
      <c r="D75" t="str">
        <f t="shared" si="1"/>
        <v>9x39 - AP</v>
      </c>
      <c r="E75" t="s">
        <v>137</v>
      </c>
      <c r="F75" t="s">
        <v>11</v>
      </c>
      <c r="G75">
        <v>16</v>
      </c>
      <c r="H75">
        <v>310</v>
      </c>
      <c r="I75" s="1" t="s">
        <v>12</v>
      </c>
      <c r="J75" s="1" t="s">
        <v>12</v>
      </c>
      <c r="K75" s="1" t="s">
        <v>17</v>
      </c>
      <c r="L75">
        <v>0</v>
      </c>
      <c r="M75">
        <v>23</v>
      </c>
    </row>
    <row r="76" spans="1:13" x14ac:dyDescent="0.25">
      <c r="A76" t="s">
        <v>685</v>
      </c>
      <c r="B76" t="s">
        <v>138</v>
      </c>
      <c r="C76" t="s">
        <v>728</v>
      </c>
      <c r="D76" t="str">
        <f t="shared" si="1"/>
        <v>9x39 - BO</v>
      </c>
      <c r="E76" t="s">
        <v>137</v>
      </c>
      <c r="F76" t="s">
        <v>7</v>
      </c>
      <c r="G76">
        <v>16.8</v>
      </c>
      <c r="H76">
        <v>280</v>
      </c>
      <c r="I76">
        <v>1</v>
      </c>
      <c r="J76">
        <v>1</v>
      </c>
      <c r="K76">
        <v>0</v>
      </c>
      <c r="L76">
        <v>0</v>
      </c>
      <c r="M76">
        <v>23</v>
      </c>
    </row>
    <row r="77" spans="1:13" x14ac:dyDescent="0.25">
      <c r="A77" t="s">
        <v>684</v>
      </c>
      <c r="B77" t="s">
        <v>139</v>
      </c>
      <c r="C77" t="s">
        <v>728</v>
      </c>
      <c r="D77" t="str">
        <f t="shared" si="1"/>
        <v>9x39 - AP</v>
      </c>
      <c r="E77" t="s">
        <v>137</v>
      </c>
      <c r="F77" t="s">
        <v>11</v>
      </c>
      <c r="G77">
        <v>17.3</v>
      </c>
      <c r="H77">
        <v>327</v>
      </c>
      <c r="I77" t="s">
        <v>12</v>
      </c>
      <c r="J77" t="s">
        <v>12</v>
      </c>
      <c r="K77" t="s">
        <v>13</v>
      </c>
      <c r="L77">
        <v>0</v>
      </c>
      <c r="M77">
        <v>23</v>
      </c>
    </row>
    <row r="78" spans="1:13" x14ac:dyDescent="0.25">
      <c r="A78" t="s">
        <v>686</v>
      </c>
      <c r="B78" t="s">
        <v>140</v>
      </c>
      <c r="C78" t="s">
        <v>728</v>
      </c>
      <c r="D78" t="str">
        <f t="shared" si="1"/>
        <v>7.62x41 - Subsonique</v>
      </c>
      <c r="E78" t="s">
        <v>141</v>
      </c>
      <c r="F78" t="s">
        <v>37</v>
      </c>
      <c r="G78">
        <v>9.3000000000000007</v>
      </c>
      <c r="H78">
        <v>265</v>
      </c>
      <c r="I78">
        <v>0</v>
      </c>
      <c r="J78">
        <v>0</v>
      </c>
      <c r="K78">
        <v>0</v>
      </c>
      <c r="L78">
        <v>0</v>
      </c>
      <c r="M78">
        <v>14</v>
      </c>
    </row>
    <row r="79" spans="1:13" x14ac:dyDescent="0.25">
      <c r="A79" t="s">
        <v>672</v>
      </c>
      <c r="B79" t="s">
        <v>142</v>
      </c>
      <c r="C79" t="s">
        <v>728</v>
      </c>
      <c r="D79" t="str">
        <f t="shared" si="1"/>
        <v>9x19 - AP</v>
      </c>
      <c r="E79" t="s">
        <v>102</v>
      </c>
      <c r="F79" t="s">
        <v>11</v>
      </c>
      <c r="G79">
        <v>4.0999999999999996</v>
      </c>
      <c r="H79">
        <v>600</v>
      </c>
      <c r="I79" s="1">
        <v>1</v>
      </c>
      <c r="J79" s="1">
        <v>1</v>
      </c>
      <c r="K79">
        <v>0</v>
      </c>
      <c r="L79">
        <v>0</v>
      </c>
      <c r="M79">
        <v>8.1999999999999993</v>
      </c>
    </row>
    <row r="80" spans="1:13" x14ac:dyDescent="0.25">
      <c r="A80" t="s">
        <v>672</v>
      </c>
      <c r="B80" t="s">
        <v>143</v>
      </c>
      <c r="C80" t="s">
        <v>728</v>
      </c>
      <c r="D80" t="str">
        <f t="shared" si="1"/>
        <v>9x19 - AP</v>
      </c>
      <c r="E80" t="s">
        <v>102</v>
      </c>
      <c r="F80" t="s">
        <v>11</v>
      </c>
      <c r="G80">
        <v>5.3</v>
      </c>
      <c r="H80">
        <v>460</v>
      </c>
      <c r="I80" s="1">
        <v>1</v>
      </c>
      <c r="J80" s="1">
        <v>1</v>
      </c>
      <c r="K80">
        <v>0</v>
      </c>
      <c r="L80">
        <v>0</v>
      </c>
    </row>
    <row r="81" spans="1:13" x14ac:dyDescent="0.25">
      <c r="A81" t="s">
        <v>672</v>
      </c>
      <c r="B81" t="s">
        <v>144</v>
      </c>
      <c r="C81" t="s">
        <v>728</v>
      </c>
      <c r="D81" t="str">
        <f t="shared" si="1"/>
        <v>9x19 - AP</v>
      </c>
      <c r="E81" t="s">
        <v>102</v>
      </c>
      <c r="F81" t="s">
        <v>11</v>
      </c>
      <c r="G81">
        <v>4.2</v>
      </c>
      <c r="H81">
        <v>600</v>
      </c>
      <c r="I81" s="1">
        <v>1</v>
      </c>
      <c r="J81" s="1">
        <v>1</v>
      </c>
      <c r="K81">
        <v>0</v>
      </c>
      <c r="L81">
        <v>0</v>
      </c>
    </row>
    <row r="82" spans="1:13" x14ac:dyDescent="0.25">
      <c r="A82" t="s">
        <v>687</v>
      </c>
      <c r="B82" t="s">
        <v>145</v>
      </c>
      <c r="C82" t="s">
        <v>728</v>
      </c>
      <c r="D82" t="str">
        <f t="shared" si="1"/>
        <v>9x21 - BO</v>
      </c>
      <c r="E82" t="s">
        <v>146</v>
      </c>
      <c r="F82" t="s">
        <v>7</v>
      </c>
      <c r="G82">
        <v>7.9</v>
      </c>
      <c r="H82">
        <v>390</v>
      </c>
      <c r="I82">
        <v>0</v>
      </c>
      <c r="J82">
        <v>0</v>
      </c>
      <c r="K82">
        <v>0</v>
      </c>
      <c r="L82">
        <v>0</v>
      </c>
    </row>
    <row r="83" spans="1:13" x14ac:dyDescent="0.25">
      <c r="A83" t="s">
        <v>688</v>
      </c>
      <c r="B83" t="s">
        <v>147</v>
      </c>
      <c r="C83" t="s">
        <v>728</v>
      </c>
      <c r="D83" t="str">
        <f t="shared" si="1"/>
        <v>9x21 - AP</v>
      </c>
      <c r="E83" t="s">
        <v>146</v>
      </c>
      <c r="F83" t="s">
        <v>11</v>
      </c>
      <c r="G83">
        <v>6.7</v>
      </c>
      <c r="H83">
        <v>430</v>
      </c>
      <c r="I83" s="1">
        <v>1</v>
      </c>
      <c r="J83" s="1">
        <v>1</v>
      </c>
      <c r="K83">
        <v>0</v>
      </c>
      <c r="L83">
        <v>0</v>
      </c>
    </row>
    <row r="84" spans="1:13" x14ac:dyDescent="0.25">
      <c r="A84" t="s">
        <v>727</v>
      </c>
      <c r="B84" t="s">
        <v>148</v>
      </c>
      <c r="C84" t="s">
        <v>728</v>
      </c>
      <c r="D84" t="str">
        <f t="shared" si="1"/>
        <v>5,45x39</v>
      </c>
      <c r="E84" t="s">
        <v>6</v>
      </c>
      <c r="G84">
        <v>2.5</v>
      </c>
      <c r="H84">
        <v>315</v>
      </c>
      <c r="I84">
        <v>0</v>
      </c>
      <c r="J84">
        <v>0</v>
      </c>
      <c r="K84">
        <v>0</v>
      </c>
      <c r="L84">
        <v>0</v>
      </c>
      <c r="M84">
        <v>5</v>
      </c>
    </row>
    <row r="85" spans="1:13" x14ac:dyDescent="0.25">
      <c r="A85" t="s">
        <v>689</v>
      </c>
      <c r="B85" t="s">
        <v>149</v>
      </c>
      <c r="C85" t="s">
        <v>728</v>
      </c>
      <c r="D85" t="str">
        <f t="shared" si="1"/>
        <v>5,7x28 - BO</v>
      </c>
      <c r="E85" t="s">
        <v>150</v>
      </c>
      <c r="F85" t="s">
        <v>7</v>
      </c>
      <c r="G85">
        <v>2.1</v>
      </c>
      <c r="H85">
        <v>715</v>
      </c>
      <c r="I85">
        <v>1</v>
      </c>
      <c r="J85">
        <v>1</v>
      </c>
      <c r="K85">
        <v>0</v>
      </c>
      <c r="L85">
        <v>0</v>
      </c>
      <c r="M85">
        <v>5</v>
      </c>
    </row>
    <row r="86" spans="1:13" x14ac:dyDescent="0.25">
      <c r="A86" t="s">
        <v>690</v>
      </c>
      <c r="B86" t="s">
        <v>151</v>
      </c>
      <c r="C86" t="s">
        <v>728</v>
      </c>
      <c r="D86" t="str">
        <f t="shared" si="1"/>
        <v>5,7x28 - Subsonique</v>
      </c>
      <c r="E86" t="s">
        <v>150</v>
      </c>
      <c r="F86" t="s">
        <v>37</v>
      </c>
      <c r="G86">
        <v>3.6</v>
      </c>
      <c r="H86">
        <v>320</v>
      </c>
      <c r="I86">
        <v>0</v>
      </c>
      <c r="J86">
        <v>0</v>
      </c>
      <c r="K86">
        <v>0</v>
      </c>
      <c r="L86">
        <v>0</v>
      </c>
      <c r="M86">
        <v>7</v>
      </c>
    </row>
    <row r="87" spans="1:13" x14ac:dyDescent="0.25">
      <c r="A87" t="s">
        <v>691</v>
      </c>
      <c r="B87" t="s">
        <v>152</v>
      </c>
      <c r="C87" t="s">
        <v>728</v>
      </c>
      <c r="D87" t="str">
        <f t="shared" si="1"/>
        <v>5,7x28 - Expansion</v>
      </c>
      <c r="E87" t="s">
        <v>150</v>
      </c>
      <c r="F87" t="s">
        <v>31</v>
      </c>
      <c r="G87">
        <v>1.8</v>
      </c>
      <c r="H87">
        <v>705</v>
      </c>
      <c r="I87">
        <v>0</v>
      </c>
      <c r="J87">
        <v>0</v>
      </c>
      <c r="K87">
        <v>0</v>
      </c>
      <c r="L87">
        <v>0</v>
      </c>
      <c r="M87">
        <v>6</v>
      </c>
    </row>
    <row r="88" spans="1:13" x14ac:dyDescent="0.25">
      <c r="A88" t="s">
        <v>692</v>
      </c>
      <c r="B88" t="s">
        <v>153</v>
      </c>
      <c r="C88" t="s">
        <v>728</v>
      </c>
      <c r="D88" t="str">
        <f t="shared" si="1"/>
        <v>5,8x42 - BO</v>
      </c>
      <c r="E88" t="s">
        <v>154</v>
      </c>
      <c r="F88" t="s">
        <v>7</v>
      </c>
      <c r="G88">
        <v>4.1500000000000004</v>
      </c>
      <c r="H88">
        <v>970</v>
      </c>
      <c r="I88">
        <v>1</v>
      </c>
      <c r="J88">
        <v>1</v>
      </c>
      <c r="K88">
        <v>0</v>
      </c>
      <c r="L88">
        <v>0</v>
      </c>
      <c r="M88">
        <v>8</v>
      </c>
    </row>
    <row r="89" spans="1:13" x14ac:dyDescent="0.25">
      <c r="A89" t="s">
        <v>693</v>
      </c>
      <c r="B89" t="s">
        <v>155</v>
      </c>
      <c r="C89" t="s">
        <v>728</v>
      </c>
      <c r="D89" t="str">
        <f t="shared" si="1"/>
        <v>5,8x42 - AP</v>
      </c>
      <c r="E89" t="s">
        <v>154</v>
      </c>
      <c r="F89" t="s">
        <v>11</v>
      </c>
      <c r="G89">
        <v>4.8</v>
      </c>
      <c r="H89">
        <v>890</v>
      </c>
      <c r="I89">
        <v>1</v>
      </c>
      <c r="J89">
        <v>1</v>
      </c>
      <c r="K89" t="s">
        <v>17</v>
      </c>
      <c r="L89">
        <v>0</v>
      </c>
      <c r="M89">
        <v>8.5</v>
      </c>
    </row>
    <row r="90" spans="1:13" x14ac:dyDescent="0.25">
      <c r="A90" t="s">
        <v>694</v>
      </c>
      <c r="B90" t="s">
        <v>156</v>
      </c>
      <c r="C90" t="s">
        <v>728</v>
      </c>
      <c r="D90" t="str">
        <f t="shared" si="1"/>
        <v>12,7x99 - BO</v>
      </c>
      <c r="E90" t="s">
        <v>157</v>
      </c>
      <c r="F90" t="s">
        <v>7</v>
      </c>
      <c r="G90">
        <v>42</v>
      </c>
      <c r="H90">
        <v>903</v>
      </c>
      <c r="I90">
        <v>2</v>
      </c>
      <c r="J90">
        <v>2</v>
      </c>
      <c r="K90">
        <v>2</v>
      </c>
      <c r="L90">
        <v>3</v>
      </c>
      <c r="M90">
        <v>75</v>
      </c>
    </row>
    <row r="91" spans="1:13" x14ac:dyDescent="0.25">
      <c r="A91" t="s">
        <v>695</v>
      </c>
      <c r="B91" t="s">
        <v>159</v>
      </c>
      <c r="C91" t="s">
        <v>728</v>
      </c>
      <c r="D91" t="str">
        <f t="shared" si="1"/>
        <v>12,7x99 - Sniper</v>
      </c>
      <c r="E91" t="s">
        <v>157</v>
      </c>
      <c r="F91" t="s">
        <v>23</v>
      </c>
      <c r="G91">
        <v>46</v>
      </c>
      <c r="H91">
        <v>903</v>
      </c>
      <c r="I91">
        <v>2</v>
      </c>
      <c r="J91">
        <v>2</v>
      </c>
      <c r="K91">
        <v>2</v>
      </c>
      <c r="L91">
        <v>3</v>
      </c>
      <c r="M91">
        <v>76</v>
      </c>
    </row>
    <row r="92" spans="1:13" x14ac:dyDescent="0.25">
      <c r="A92" t="s">
        <v>696</v>
      </c>
      <c r="B92" t="s">
        <v>161</v>
      </c>
      <c r="C92" t="s">
        <v>728</v>
      </c>
      <c r="D92" t="str">
        <f t="shared" si="1"/>
        <v>12,7x99 - AP</v>
      </c>
      <c r="E92" t="s">
        <v>157</v>
      </c>
      <c r="F92" t="s">
        <v>11</v>
      </c>
      <c r="G92">
        <v>47</v>
      </c>
      <c r="H92">
        <v>893</v>
      </c>
      <c r="I92">
        <v>1</v>
      </c>
      <c r="J92">
        <v>1</v>
      </c>
      <c r="K92">
        <v>1</v>
      </c>
      <c r="L92">
        <v>2</v>
      </c>
      <c r="M92">
        <v>80</v>
      </c>
    </row>
    <row r="93" spans="1:13" x14ac:dyDescent="0.25">
      <c r="A93" t="s">
        <v>697</v>
      </c>
      <c r="B93" t="s">
        <v>162</v>
      </c>
      <c r="C93" t="s">
        <v>728</v>
      </c>
      <c r="D93" t="str">
        <f t="shared" si="1"/>
        <v>14,5x114 - Expansion</v>
      </c>
      <c r="E93" t="s">
        <v>163</v>
      </c>
      <c r="F93" t="s">
        <v>31</v>
      </c>
      <c r="G93">
        <v>59.68</v>
      </c>
      <c r="H93">
        <v>1000</v>
      </c>
      <c r="I93">
        <v>3</v>
      </c>
      <c r="J93">
        <v>3</v>
      </c>
      <c r="K93">
        <v>3</v>
      </c>
      <c r="L93">
        <v>4</v>
      </c>
      <c r="M93">
        <v>100</v>
      </c>
    </row>
    <row r="94" spans="1:13" x14ac:dyDescent="0.25">
      <c r="A94" t="s">
        <v>698</v>
      </c>
      <c r="B94" t="s">
        <v>164</v>
      </c>
      <c r="C94" t="s">
        <v>728</v>
      </c>
      <c r="D94" t="str">
        <f t="shared" si="1"/>
        <v>14,5x114 - AP</v>
      </c>
      <c r="E94" t="s">
        <v>163</v>
      </c>
      <c r="F94" t="s">
        <v>11</v>
      </c>
      <c r="G94">
        <v>65.5</v>
      </c>
      <c r="H94">
        <v>1000</v>
      </c>
      <c r="I94">
        <v>2</v>
      </c>
      <c r="J94">
        <v>2</v>
      </c>
      <c r="K94">
        <v>2</v>
      </c>
      <c r="L94">
        <v>3</v>
      </c>
      <c r="M94">
        <v>110</v>
      </c>
    </row>
    <row r="95" spans="1:13" x14ac:dyDescent="0.25">
      <c r="A95" t="s">
        <v>698</v>
      </c>
      <c r="B95" t="s">
        <v>166</v>
      </c>
      <c r="C95" t="s">
        <v>728</v>
      </c>
      <c r="D95" t="str">
        <f t="shared" si="1"/>
        <v>14,5x114 - AP</v>
      </c>
      <c r="E95" t="s">
        <v>163</v>
      </c>
      <c r="F95" t="s">
        <v>11</v>
      </c>
      <c r="G95">
        <v>59.56</v>
      </c>
      <c r="H95">
        <v>1000</v>
      </c>
      <c r="I95">
        <v>2</v>
      </c>
      <c r="J95">
        <v>2</v>
      </c>
      <c r="K95">
        <v>2</v>
      </c>
      <c r="L95">
        <v>3</v>
      </c>
      <c r="M95">
        <v>100</v>
      </c>
    </row>
    <row r="96" spans="1:13" x14ac:dyDescent="0.25">
      <c r="A96" t="s">
        <v>699</v>
      </c>
      <c r="B96" t="s">
        <v>167</v>
      </c>
      <c r="C96" t="s">
        <v>728</v>
      </c>
      <c r="D96" t="str">
        <f t="shared" si="1"/>
        <v>7,92x57 - AP</v>
      </c>
      <c r="E96" t="s">
        <v>90</v>
      </c>
      <c r="F96" t="s">
        <v>11</v>
      </c>
      <c r="G96">
        <v>12.7</v>
      </c>
      <c r="H96">
        <v>710</v>
      </c>
      <c r="I96" s="1">
        <v>1</v>
      </c>
      <c r="J96" s="1">
        <v>1</v>
      </c>
      <c r="K96" s="1">
        <v>2</v>
      </c>
      <c r="L96" s="1">
        <v>3</v>
      </c>
      <c r="M96">
        <v>20</v>
      </c>
    </row>
    <row r="97" spans="1:13" x14ac:dyDescent="0.25">
      <c r="A97" t="s">
        <v>700</v>
      </c>
      <c r="B97" t="s">
        <v>168</v>
      </c>
      <c r="C97" t="s">
        <v>728</v>
      </c>
      <c r="D97" t="str">
        <f t="shared" si="1"/>
        <v>7,92x94 - AP</v>
      </c>
      <c r="E97" t="s">
        <v>168</v>
      </c>
      <c r="F97" t="s">
        <v>11</v>
      </c>
      <c r="G97">
        <v>14.3</v>
      </c>
      <c r="H97">
        <v>1209</v>
      </c>
      <c r="I97" s="1">
        <v>1</v>
      </c>
      <c r="J97" s="1">
        <v>1</v>
      </c>
      <c r="K97" s="1">
        <v>2</v>
      </c>
      <c r="L97" s="1">
        <v>3</v>
      </c>
      <c r="M97">
        <v>21</v>
      </c>
    </row>
    <row r="98" spans="1:13" x14ac:dyDescent="0.25">
      <c r="A98" t="s">
        <v>701</v>
      </c>
      <c r="B98" t="s">
        <v>169</v>
      </c>
      <c r="C98" t="s">
        <v>728</v>
      </c>
      <c r="D98" t="str">
        <f t="shared" si="1"/>
        <v>7,92x107 - AP</v>
      </c>
      <c r="E98" t="s">
        <v>170</v>
      </c>
      <c r="F98" t="s">
        <v>11</v>
      </c>
      <c r="G98">
        <v>14.2</v>
      </c>
      <c r="H98">
        <v>1275</v>
      </c>
      <c r="I98">
        <v>0</v>
      </c>
      <c r="J98">
        <v>0</v>
      </c>
      <c r="K98">
        <v>0</v>
      </c>
      <c r="L98">
        <v>0</v>
      </c>
      <c r="M98">
        <v>21</v>
      </c>
    </row>
    <row r="99" spans="1:13" x14ac:dyDescent="0.25">
      <c r="A99" t="s">
        <v>702</v>
      </c>
      <c r="B99" t="s">
        <v>171</v>
      </c>
      <c r="C99" t="s">
        <v>728</v>
      </c>
      <c r="D99" t="str">
        <f t="shared" si="1"/>
        <v>12,7x108 - BO</v>
      </c>
      <c r="E99" t="s">
        <v>172</v>
      </c>
      <c r="F99" t="s">
        <v>7</v>
      </c>
      <c r="G99">
        <v>52</v>
      </c>
      <c r="H99">
        <v>859</v>
      </c>
      <c r="I99">
        <v>0</v>
      </c>
      <c r="J99">
        <v>0</v>
      </c>
      <c r="K99">
        <v>0</v>
      </c>
      <c r="L99">
        <v>0</v>
      </c>
      <c r="M99">
        <v>100</v>
      </c>
    </row>
    <row r="100" spans="1:13" x14ac:dyDescent="0.25">
      <c r="A100" t="s">
        <v>703</v>
      </c>
      <c r="B100" t="s">
        <v>174</v>
      </c>
      <c r="C100" t="s">
        <v>728</v>
      </c>
      <c r="D100" t="str">
        <f t="shared" si="1"/>
        <v>12,7x108 - AP</v>
      </c>
      <c r="E100" t="s">
        <v>172</v>
      </c>
      <c r="F100" t="s">
        <v>11</v>
      </c>
      <c r="G100">
        <v>45.6</v>
      </c>
      <c r="H100">
        <v>859</v>
      </c>
      <c r="I100" s="1">
        <v>1</v>
      </c>
      <c r="J100" s="1">
        <v>1</v>
      </c>
      <c r="K100" s="1">
        <v>1</v>
      </c>
      <c r="L100" s="1">
        <v>2</v>
      </c>
      <c r="M100">
        <v>100</v>
      </c>
    </row>
    <row r="101" spans="1:13" x14ac:dyDescent="0.25">
      <c r="A101" t="s">
        <v>704</v>
      </c>
      <c r="B101" t="s">
        <v>175</v>
      </c>
      <c r="C101" t="s">
        <v>728</v>
      </c>
      <c r="D101" t="str">
        <f t="shared" si="1"/>
        <v>13x92 - AP</v>
      </c>
      <c r="E101" t="s">
        <v>176</v>
      </c>
      <c r="F101" t="s">
        <v>11</v>
      </c>
      <c r="G101">
        <v>51.5</v>
      </c>
      <c r="H101">
        <v>785</v>
      </c>
      <c r="I101" s="1">
        <v>1</v>
      </c>
      <c r="J101" s="1" t="s">
        <v>17</v>
      </c>
      <c r="K101" s="1">
        <v>2</v>
      </c>
      <c r="L101" s="1">
        <v>3</v>
      </c>
      <c r="M101">
        <v>100</v>
      </c>
    </row>
    <row r="102" spans="1:13" x14ac:dyDescent="0.25">
      <c r="A102" t="s">
        <v>705</v>
      </c>
      <c r="B102" t="s">
        <v>177</v>
      </c>
      <c r="C102" t="s">
        <v>728</v>
      </c>
      <c r="D102" t="str">
        <f t="shared" si="1"/>
        <v>13,9x99 - AP</v>
      </c>
      <c r="E102" t="s">
        <v>178</v>
      </c>
      <c r="F102" t="s">
        <v>11</v>
      </c>
      <c r="G102">
        <v>47.6</v>
      </c>
      <c r="H102">
        <v>884</v>
      </c>
      <c r="I102">
        <v>2</v>
      </c>
      <c r="J102">
        <v>2</v>
      </c>
      <c r="K102">
        <v>3</v>
      </c>
      <c r="L102">
        <v>5</v>
      </c>
      <c r="M102">
        <v>95</v>
      </c>
    </row>
    <row r="103" spans="1:13" x14ac:dyDescent="0.25">
      <c r="A103" t="s">
        <v>706</v>
      </c>
      <c r="B103" t="s">
        <v>179</v>
      </c>
      <c r="C103" t="s">
        <v>728</v>
      </c>
      <c r="D103" t="str">
        <f t="shared" si="1"/>
        <v>15,2x114 - AP</v>
      </c>
      <c r="E103" t="s">
        <v>179</v>
      </c>
      <c r="F103" t="s">
        <v>11</v>
      </c>
      <c r="G103">
        <v>76.5</v>
      </c>
      <c r="H103">
        <v>1100</v>
      </c>
      <c r="I103">
        <v>0</v>
      </c>
      <c r="J103">
        <v>0</v>
      </c>
      <c r="K103">
        <v>0</v>
      </c>
      <c r="L103">
        <v>0</v>
      </c>
      <c r="M103">
        <v>125</v>
      </c>
    </row>
    <row r="104" spans="1:13" x14ac:dyDescent="0.25">
      <c r="A104" t="s">
        <v>654</v>
      </c>
      <c r="B104" t="s">
        <v>180</v>
      </c>
      <c r="C104" t="s">
        <v>728</v>
      </c>
      <c r="D104" t="str">
        <f t="shared" si="1"/>
        <v>7,62x51 - BO</v>
      </c>
      <c r="E104" t="s">
        <v>73</v>
      </c>
      <c r="F104" t="s">
        <v>7</v>
      </c>
      <c r="G104">
        <v>12</v>
      </c>
      <c r="H104">
        <v>760</v>
      </c>
      <c r="I104" t="s">
        <v>13</v>
      </c>
      <c r="J104" t="s">
        <v>13</v>
      </c>
      <c r="K104" t="s">
        <v>74</v>
      </c>
      <c r="L104">
        <v>0</v>
      </c>
      <c r="M104">
        <v>21</v>
      </c>
    </row>
    <row r="105" spans="1:13" x14ac:dyDescent="0.25">
      <c r="A105" t="s">
        <v>657</v>
      </c>
      <c r="B105" t="s">
        <v>181</v>
      </c>
      <c r="C105" t="s">
        <v>728</v>
      </c>
      <c r="D105" t="str">
        <f t="shared" si="1"/>
        <v>7,62x51 - AP</v>
      </c>
      <c r="E105" t="s">
        <v>73</v>
      </c>
      <c r="F105" t="s">
        <v>11</v>
      </c>
      <c r="G105">
        <v>10.7</v>
      </c>
      <c r="H105">
        <v>870</v>
      </c>
      <c r="I105">
        <v>1</v>
      </c>
      <c r="J105">
        <v>1</v>
      </c>
      <c r="K105">
        <v>2</v>
      </c>
      <c r="L105">
        <v>3</v>
      </c>
      <c r="M105">
        <v>19</v>
      </c>
    </row>
    <row r="106" spans="1:13" x14ac:dyDescent="0.25">
      <c r="A106" t="s">
        <v>707</v>
      </c>
      <c r="B106" t="s">
        <v>182</v>
      </c>
      <c r="C106" t="s">
        <v>728</v>
      </c>
      <c r="D106" t="str">
        <f t="shared" si="1"/>
        <v>7,62x51 - Subsonique</v>
      </c>
      <c r="E106" t="s">
        <v>73</v>
      </c>
      <c r="F106" t="s">
        <v>37</v>
      </c>
      <c r="G106">
        <v>13</v>
      </c>
      <c r="H106">
        <v>325</v>
      </c>
      <c r="I106">
        <v>2</v>
      </c>
      <c r="J106">
        <v>2</v>
      </c>
      <c r="K106">
        <v>0</v>
      </c>
      <c r="L106">
        <v>0</v>
      </c>
      <c r="M106">
        <v>22</v>
      </c>
    </row>
    <row r="107" spans="1:13" x14ac:dyDescent="0.25">
      <c r="A107" t="s">
        <v>708</v>
      </c>
      <c r="B107" t="s">
        <v>183</v>
      </c>
      <c r="C107" t="s">
        <v>728</v>
      </c>
      <c r="D107" t="str">
        <f t="shared" si="1"/>
        <v>4,6x30 - BO</v>
      </c>
      <c r="E107" t="s">
        <v>183</v>
      </c>
      <c r="F107" t="s">
        <v>7</v>
      </c>
      <c r="G107">
        <v>1.6</v>
      </c>
      <c r="H107">
        <v>725</v>
      </c>
      <c r="I107">
        <v>1</v>
      </c>
      <c r="J107">
        <v>1</v>
      </c>
      <c r="K107">
        <v>0</v>
      </c>
      <c r="L107">
        <v>0</v>
      </c>
      <c r="M107">
        <v>3.8</v>
      </c>
    </row>
    <row r="108" spans="1:13" x14ac:dyDescent="0.25">
      <c r="A108" t="s">
        <v>709</v>
      </c>
      <c r="B108" t="s">
        <v>184</v>
      </c>
      <c r="C108" t="s">
        <v>728</v>
      </c>
      <c r="D108" t="str">
        <f t="shared" si="1"/>
        <v>18,5x70 - Grenaille</v>
      </c>
      <c r="E108" t="s">
        <v>185</v>
      </c>
      <c r="F108" t="s">
        <v>186</v>
      </c>
      <c r="G108">
        <v>38</v>
      </c>
      <c r="H108">
        <v>408</v>
      </c>
      <c r="I108">
        <v>0</v>
      </c>
      <c r="J108">
        <v>0</v>
      </c>
      <c r="K108">
        <v>0</v>
      </c>
      <c r="L108">
        <v>0</v>
      </c>
      <c r="M108">
        <v>50</v>
      </c>
    </row>
    <row r="109" spans="1:13" x14ac:dyDescent="0.25">
      <c r="A109" t="s">
        <v>709</v>
      </c>
      <c r="B109" t="s">
        <v>187</v>
      </c>
      <c r="C109" t="s">
        <v>728</v>
      </c>
      <c r="D109" t="str">
        <f t="shared" si="1"/>
        <v>18,5x70 - Grenaille</v>
      </c>
      <c r="E109" t="s">
        <v>185</v>
      </c>
      <c r="F109" t="s">
        <v>186</v>
      </c>
      <c r="G109">
        <v>42</v>
      </c>
      <c r="H109">
        <v>420</v>
      </c>
      <c r="I109">
        <v>0</v>
      </c>
      <c r="J109">
        <v>0</v>
      </c>
      <c r="K109">
        <v>0</v>
      </c>
      <c r="L109">
        <v>0</v>
      </c>
      <c r="M109">
        <v>54</v>
      </c>
    </row>
    <row r="110" spans="1:13" x14ac:dyDescent="0.25">
      <c r="A110" t="s">
        <v>710</v>
      </c>
      <c r="B110" t="s">
        <v>188</v>
      </c>
      <c r="C110" t="s">
        <v>728</v>
      </c>
      <c r="D110" t="str">
        <f t="shared" si="1"/>
        <v>18,5x70 - Brenneke</v>
      </c>
      <c r="E110" t="s">
        <v>185</v>
      </c>
      <c r="F110" t="s">
        <v>189</v>
      </c>
      <c r="G110">
        <v>24</v>
      </c>
      <c r="H110">
        <v>600</v>
      </c>
      <c r="I110">
        <v>2</v>
      </c>
      <c r="J110">
        <v>2</v>
      </c>
      <c r="K110">
        <v>0</v>
      </c>
      <c r="L110">
        <v>0</v>
      </c>
      <c r="M110">
        <v>36</v>
      </c>
    </row>
    <row r="111" spans="1:13" x14ac:dyDescent="0.25">
      <c r="A111" t="s">
        <v>711</v>
      </c>
      <c r="B111" t="s">
        <v>190</v>
      </c>
      <c r="C111" t="s">
        <v>728</v>
      </c>
      <c r="D111" t="str">
        <f t="shared" si="1"/>
        <v>18,5x70 - Expansion</v>
      </c>
      <c r="E111" t="s">
        <v>185</v>
      </c>
      <c r="F111" t="s">
        <v>31</v>
      </c>
      <c r="G111">
        <v>19.5</v>
      </c>
      <c r="H111">
        <v>450</v>
      </c>
      <c r="I111">
        <v>0</v>
      </c>
      <c r="J111">
        <v>0</v>
      </c>
      <c r="K111">
        <v>0</v>
      </c>
      <c r="L111">
        <v>0</v>
      </c>
      <c r="M111">
        <v>31</v>
      </c>
    </row>
    <row r="112" spans="1:13" x14ac:dyDescent="0.25">
      <c r="A112" t="s">
        <v>712</v>
      </c>
      <c r="B112" t="s">
        <v>191</v>
      </c>
      <c r="C112" t="s">
        <v>728</v>
      </c>
      <c r="D112" t="str">
        <f t="shared" si="1"/>
        <v>16,8x70 - Grenaille</v>
      </c>
      <c r="E112" t="s">
        <v>192</v>
      </c>
      <c r="F112" t="s">
        <v>186</v>
      </c>
      <c r="G112">
        <v>32</v>
      </c>
      <c r="H112">
        <v>380</v>
      </c>
      <c r="I112">
        <v>0</v>
      </c>
      <c r="J112">
        <v>0</v>
      </c>
      <c r="K112">
        <v>0</v>
      </c>
      <c r="L112">
        <v>0</v>
      </c>
      <c r="M112">
        <v>44</v>
      </c>
    </row>
    <row r="113" spans="1:13" x14ac:dyDescent="0.25">
      <c r="A113" t="s">
        <v>713</v>
      </c>
      <c r="B113" t="s">
        <v>193</v>
      </c>
      <c r="C113" t="s">
        <v>728</v>
      </c>
      <c r="D113" t="str">
        <f t="shared" si="1"/>
        <v>16,8x70 - Brenneke</v>
      </c>
      <c r="E113" t="s">
        <v>192</v>
      </c>
      <c r="F113" t="s">
        <v>189</v>
      </c>
      <c r="G113">
        <v>23</v>
      </c>
      <c r="H113">
        <v>440</v>
      </c>
      <c r="I113">
        <v>2</v>
      </c>
      <c r="J113">
        <v>2</v>
      </c>
      <c r="K113">
        <v>0</v>
      </c>
      <c r="L113">
        <v>0</v>
      </c>
      <c r="M113">
        <v>35</v>
      </c>
    </row>
    <row r="114" spans="1:13" x14ac:dyDescent="0.25">
      <c r="A114" t="s">
        <v>714</v>
      </c>
      <c r="B114" t="s">
        <v>194</v>
      </c>
      <c r="C114" t="s">
        <v>728</v>
      </c>
      <c r="D114" t="str">
        <f t="shared" si="1"/>
        <v>15,6x67 - Grenaille</v>
      </c>
      <c r="E114" t="s">
        <v>195</v>
      </c>
      <c r="F114" t="s">
        <v>186</v>
      </c>
      <c r="G114">
        <v>30</v>
      </c>
      <c r="H114">
        <v>390</v>
      </c>
      <c r="I114">
        <v>0</v>
      </c>
      <c r="J114">
        <v>0</v>
      </c>
      <c r="K114">
        <v>0</v>
      </c>
      <c r="L114">
        <v>0</v>
      </c>
      <c r="M114">
        <v>42</v>
      </c>
    </row>
    <row r="115" spans="1:13" x14ac:dyDescent="0.25">
      <c r="A115" t="s">
        <v>715</v>
      </c>
      <c r="B115" t="s">
        <v>196</v>
      </c>
      <c r="C115" t="s">
        <v>728</v>
      </c>
      <c r="D115" t="str">
        <f t="shared" si="1"/>
        <v>15,6x67 - Expansion</v>
      </c>
      <c r="E115" t="s">
        <v>195</v>
      </c>
      <c r="F115" t="s">
        <v>31</v>
      </c>
      <c r="G115">
        <v>19.5</v>
      </c>
      <c r="H115">
        <v>450</v>
      </c>
      <c r="I115">
        <v>0</v>
      </c>
      <c r="J115">
        <v>0</v>
      </c>
      <c r="K115">
        <v>0</v>
      </c>
      <c r="L115">
        <v>0</v>
      </c>
      <c r="M115">
        <v>31</v>
      </c>
    </row>
    <row r="116" spans="1:13" x14ac:dyDescent="0.25">
      <c r="A116" t="s">
        <v>716</v>
      </c>
      <c r="B116" t="s">
        <v>197</v>
      </c>
      <c r="C116" t="s">
        <v>728</v>
      </c>
      <c r="D116" t="str">
        <f t="shared" si="1"/>
        <v>15,6x67 - Brenneke</v>
      </c>
      <c r="E116" t="s">
        <v>195</v>
      </c>
      <c r="F116" t="s">
        <v>189</v>
      </c>
      <c r="G116">
        <v>24</v>
      </c>
      <c r="H116">
        <v>445</v>
      </c>
      <c r="I116">
        <v>2</v>
      </c>
      <c r="J116">
        <v>2</v>
      </c>
      <c r="K116">
        <v>0</v>
      </c>
      <c r="L116">
        <v>0</v>
      </c>
      <c r="M116">
        <v>36</v>
      </c>
    </row>
    <row r="117" spans="1:13" x14ac:dyDescent="0.25">
      <c r="A117" t="s">
        <v>717</v>
      </c>
      <c r="B117" t="s">
        <v>198</v>
      </c>
      <c r="C117" t="s">
        <v>728</v>
      </c>
      <c r="D117" t="str">
        <f t="shared" si="1"/>
        <v>7,62x66 - BO</v>
      </c>
      <c r="E117" t="s">
        <v>199</v>
      </c>
      <c r="F117" t="s">
        <v>7</v>
      </c>
      <c r="G117">
        <v>10.69</v>
      </c>
      <c r="H117">
        <v>900</v>
      </c>
      <c r="I117">
        <v>2</v>
      </c>
      <c r="J117">
        <v>2</v>
      </c>
      <c r="K117">
        <v>3</v>
      </c>
      <c r="L117">
        <v>0</v>
      </c>
      <c r="M117">
        <v>18</v>
      </c>
    </row>
    <row r="118" spans="1:13" x14ac:dyDescent="0.25">
      <c r="A118" t="s">
        <v>718</v>
      </c>
      <c r="B118" t="s">
        <v>200</v>
      </c>
      <c r="C118" t="s">
        <v>728</v>
      </c>
      <c r="D118" t="str">
        <f t="shared" si="1"/>
        <v>8,58x71 - BO</v>
      </c>
      <c r="E118" t="s">
        <v>200</v>
      </c>
      <c r="F118" t="s">
        <v>7</v>
      </c>
      <c r="G118">
        <v>16.2</v>
      </c>
      <c r="H118">
        <v>914</v>
      </c>
      <c r="I118">
        <v>2</v>
      </c>
      <c r="J118">
        <v>2</v>
      </c>
      <c r="K118">
        <v>3</v>
      </c>
      <c r="L118">
        <v>0</v>
      </c>
      <c r="M118">
        <v>28</v>
      </c>
    </row>
    <row r="119" spans="1:13" x14ac:dyDescent="0.25">
      <c r="A119" t="s">
        <v>719</v>
      </c>
      <c r="B119" t="s">
        <v>140</v>
      </c>
      <c r="C119" t="s">
        <v>728</v>
      </c>
      <c r="D119" t="str">
        <f t="shared" si="1"/>
        <v>7,62x42 - BO</v>
      </c>
      <c r="E119" t="s">
        <v>202</v>
      </c>
      <c r="F119" t="s">
        <v>7</v>
      </c>
      <c r="G119">
        <v>9.3000000000000007</v>
      </c>
      <c r="H119">
        <v>205</v>
      </c>
      <c r="I119">
        <v>0</v>
      </c>
      <c r="J119">
        <v>0</v>
      </c>
      <c r="K119">
        <v>0</v>
      </c>
      <c r="L119">
        <v>0</v>
      </c>
      <c r="M119">
        <v>18</v>
      </c>
    </row>
    <row r="120" spans="1:13" x14ac:dyDescent="0.25">
      <c r="A120" t="s">
        <v>720</v>
      </c>
      <c r="B120" t="s">
        <v>203</v>
      </c>
      <c r="C120" t="s">
        <v>728</v>
      </c>
      <c r="D120" t="str">
        <f t="shared" si="1"/>
        <v>12,7 x 32,6 - BO</v>
      </c>
      <c r="E120" t="s">
        <v>204</v>
      </c>
      <c r="F120" t="s">
        <v>7</v>
      </c>
      <c r="G120">
        <v>21</v>
      </c>
      <c r="H120">
        <v>425</v>
      </c>
      <c r="I120">
        <v>0</v>
      </c>
      <c r="J120">
        <v>0</v>
      </c>
      <c r="K120">
        <v>0</v>
      </c>
      <c r="L120">
        <v>0</v>
      </c>
      <c r="M120">
        <v>39</v>
      </c>
    </row>
    <row r="121" spans="1:13" x14ac:dyDescent="0.25">
      <c r="A121" t="s">
        <v>721</v>
      </c>
      <c r="B121" t="s">
        <v>205</v>
      </c>
      <c r="C121" t="s">
        <v>728</v>
      </c>
      <c r="D121" t="str">
        <f t="shared" si="1"/>
        <v>12,7x55 - BO</v>
      </c>
      <c r="E121" t="s">
        <v>206</v>
      </c>
      <c r="F121" t="s">
        <v>7</v>
      </c>
      <c r="G121">
        <v>59</v>
      </c>
      <c r="H121">
        <v>295</v>
      </c>
      <c r="I121">
        <v>2</v>
      </c>
      <c r="J121">
        <v>2</v>
      </c>
      <c r="K121">
        <v>3</v>
      </c>
      <c r="L121">
        <v>0</v>
      </c>
      <c r="M121">
        <v>100</v>
      </c>
    </row>
    <row r="122" spans="1:13" x14ac:dyDescent="0.25">
      <c r="A122" t="s">
        <v>722</v>
      </c>
      <c r="B122" t="s">
        <v>207</v>
      </c>
      <c r="C122" t="s">
        <v>728</v>
      </c>
      <c r="D122" t="str">
        <f t="shared" si="1"/>
        <v>12,7x55 - AP</v>
      </c>
      <c r="E122" t="s">
        <v>206</v>
      </c>
      <c r="F122" t="s">
        <v>11</v>
      </c>
      <c r="G122">
        <v>18</v>
      </c>
      <c r="H122">
        <v>300</v>
      </c>
      <c r="I122">
        <v>1</v>
      </c>
      <c r="J122">
        <v>1</v>
      </c>
      <c r="K122">
        <v>2</v>
      </c>
      <c r="L122">
        <v>3</v>
      </c>
      <c r="M122">
        <v>70</v>
      </c>
    </row>
    <row r="123" spans="1:13" x14ac:dyDescent="0.25">
      <c r="A123" t="s">
        <v>723</v>
      </c>
      <c r="B123" t="s">
        <v>208</v>
      </c>
      <c r="C123" t="s">
        <v>728</v>
      </c>
      <c r="D123" t="str">
        <f t="shared" si="1"/>
        <v>7,65x20 - BO</v>
      </c>
      <c r="E123" t="s">
        <v>209</v>
      </c>
      <c r="F123" t="s">
        <v>7</v>
      </c>
      <c r="G123">
        <v>5.7</v>
      </c>
      <c r="H123">
        <v>340</v>
      </c>
      <c r="I123">
        <v>0</v>
      </c>
      <c r="J123">
        <v>0</v>
      </c>
      <c r="K123">
        <v>0</v>
      </c>
      <c r="L123">
        <v>0</v>
      </c>
      <c r="M123">
        <v>9</v>
      </c>
    </row>
    <row r="124" spans="1:13" x14ac:dyDescent="0.25">
      <c r="A124" t="s">
        <v>724</v>
      </c>
      <c r="B124" t="s">
        <v>210</v>
      </c>
      <c r="C124" t="s">
        <v>728</v>
      </c>
      <c r="D124" t="str">
        <f t="shared" si="1"/>
        <v>8x27 - BO</v>
      </c>
      <c r="E124" t="s">
        <v>211</v>
      </c>
      <c r="F124" t="s">
        <v>7</v>
      </c>
      <c r="G124">
        <v>7.8</v>
      </c>
      <c r="H124">
        <v>350</v>
      </c>
      <c r="I124">
        <v>0</v>
      </c>
      <c r="J124">
        <v>0</v>
      </c>
      <c r="K124">
        <v>0</v>
      </c>
      <c r="L124">
        <v>0</v>
      </c>
      <c r="M124">
        <v>12</v>
      </c>
    </row>
    <row r="125" spans="1:13" x14ac:dyDescent="0.25">
      <c r="A125" s="1" t="s">
        <v>732</v>
      </c>
      <c r="B125" s="1" t="s">
        <v>731</v>
      </c>
      <c r="C125" s="1" t="s">
        <v>728</v>
      </c>
      <c r="D125" s="1" t="e">
        <f t="shared" ca="1" si="1"/>
        <v>#NAME?</v>
      </c>
      <c r="E125" s="1" t="s">
        <v>730</v>
      </c>
      <c r="F125" s="1" t="s">
        <v>7</v>
      </c>
      <c r="G125" s="1">
        <v>9.4</v>
      </c>
      <c r="H125" s="1">
        <v>630</v>
      </c>
      <c r="I125" s="1">
        <v>2</v>
      </c>
      <c r="J125" s="1">
        <v>2</v>
      </c>
      <c r="K125" s="1">
        <v>0</v>
      </c>
      <c r="L125" s="1">
        <v>0</v>
      </c>
      <c r="M125" s="1">
        <v>17</v>
      </c>
    </row>
  </sheetData>
  <autoFilter ref="A1:M12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83"/>
  <sheetViews>
    <sheetView tabSelected="1" workbookViewId="0">
      <pane ySplit="1" topLeftCell="A221" activePane="bottomLeft" state="frozen"/>
      <selection pane="bottomLeft" activeCell="R243" sqref="R243"/>
    </sheetView>
  </sheetViews>
  <sheetFormatPr baseColWidth="10" defaultRowHeight="15" x14ac:dyDescent="0.25"/>
  <cols>
    <col min="1" max="1" width="34.5703125" style="2" customWidth="1"/>
    <col min="2" max="2" width="43.7109375" style="2" bestFit="1" customWidth="1"/>
    <col min="3" max="3" width="23.140625" style="2" customWidth="1"/>
    <col min="4" max="4" width="23" style="2" customWidth="1"/>
    <col min="5" max="5" width="20.28515625" style="2" customWidth="1"/>
    <col min="6" max="6" width="11.42578125" style="2"/>
    <col min="7" max="7" width="12" style="2" customWidth="1"/>
    <col min="8" max="8" width="11.42578125" style="2"/>
    <col min="9" max="12" width="11.42578125" style="6"/>
    <col min="13" max="17" width="11.42578125" style="4"/>
    <col min="18" max="18" width="34" style="2" customWidth="1"/>
    <col min="19" max="16384" width="11.42578125" style="2"/>
  </cols>
  <sheetData>
    <row r="1" spans="1:18" x14ac:dyDescent="0.25">
      <c r="A1" s="2" t="s">
        <v>618</v>
      </c>
      <c r="B1" s="2" t="s">
        <v>220</v>
      </c>
      <c r="C1" s="2" t="s">
        <v>612</v>
      </c>
      <c r="D1" s="2" t="s">
        <v>617</v>
      </c>
      <c r="E1" s="2" t="s">
        <v>0</v>
      </c>
      <c r="F1" s="2" t="s">
        <v>1</v>
      </c>
      <c r="G1" s="2" t="s">
        <v>221</v>
      </c>
      <c r="H1" s="2" t="s">
        <v>616</v>
      </c>
      <c r="I1" s="3" t="s">
        <v>739</v>
      </c>
      <c r="J1" s="3" t="s">
        <v>613</v>
      </c>
      <c r="K1" s="3" t="s">
        <v>614</v>
      </c>
      <c r="L1" s="3" t="s">
        <v>615</v>
      </c>
      <c r="M1" s="4" t="s">
        <v>740</v>
      </c>
      <c r="N1" s="4" t="s">
        <v>741</v>
      </c>
      <c r="O1" s="4" t="s">
        <v>748</v>
      </c>
      <c r="P1" s="4" t="s">
        <v>742</v>
      </c>
      <c r="Q1" s="4" t="s">
        <v>743</v>
      </c>
      <c r="R1" s="4" t="s">
        <v>816</v>
      </c>
    </row>
    <row r="2" spans="1:18" x14ac:dyDescent="0.25">
      <c r="A2" s="2" t="s">
        <v>619</v>
      </c>
      <c r="B2" s="2" t="s">
        <v>222</v>
      </c>
      <c r="C2" s="2" t="s">
        <v>729</v>
      </c>
      <c r="D2" s="2" t="s">
        <v>729</v>
      </c>
      <c r="E2" s="2" t="s">
        <v>140</v>
      </c>
      <c r="F2" s="2" t="s">
        <v>202</v>
      </c>
      <c r="G2" s="2">
        <v>0.7</v>
      </c>
      <c r="H2" s="2" t="s">
        <v>33</v>
      </c>
      <c r="I2" s="5">
        <v>4</v>
      </c>
      <c r="J2" s="6">
        <v>8</v>
      </c>
      <c r="K2" s="6">
        <v>25</v>
      </c>
      <c r="L2" s="6">
        <v>50</v>
      </c>
      <c r="M2" s="5">
        <v>3</v>
      </c>
      <c r="N2" s="5"/>
      <c r="O2" s="5">
        <v>6</v>
      </c>
      <c r="P2" s="5" t="s">
        <v>752</v>
      </c>
      <c r="Q2" s="5">
        <v>1</v>
      </c>
    </row>
    <row r="3" spans="1:18" x14ac:dyDescent="0.25">
      <c r="A3" s="2" t="s">
        <v>620</v>
      </c>
      <c r="B3" s="2" t="s">
        <v>223</v>
      </c>
      <c r="C3" s="2" t="s">
        <v>729</v>
      </c>
      <c r="D3" s="2" t="s">
        <v>729</v>
      </c>
      <c r="E3" s="2" t="s">
        <v>156</v>
      </c>
      <c r="F3" s="2" t="s">
        <v>157</v>
      </c>
      <c r="G3" s="2">
        <v>15</v>
      </c>
      <c r="H3" s="2" t="s">
        <v>158</v>
      </c>
      <c r="I3" s="5">
        <v>150</v>
      </c>
      <c r="J3" s="6">
        <v>300</v>
      </c>
      <c r="K3" s="6">
        <v>900</v>
      </c>
      <c r="L3" s="6">
        <v>1800</v>
      </c>
      <c r="M3" s="5">
        <v>2</v>
      </c>
      <c r="N3" s="5"/>
      <c r="O3" s="5">
        <v>5</v>
      </c>
      <c r="P3" s="5" t="s">
        <v>749</v>
      </c>
      <c r="Q3" s="5">
        <v>1</v>
      </c>
    </row>
    <row r="4" spans="1:18" x14ac:dyDescent="0.25">
      <c r="A4" s="2" t="s">
        <v>621</v>
      </c>
      <c r="B4" s="2" t="s">
        <v>224</v>
      </c>
      <c r="C4" s="2" t="s">
        <v>729</v>
      </c>
      <c r="D4" s="2" t="s">
        <v>729</v>
      </c>
      <c r="E4" s="2" t="s">
        <v>182</v>
      </c>
      <c r="F4" s="2" t="s">
        <v>73</v>
      </c>
      <c r="G4" s="2">
        <v>6.3</v>
      </c>
      <c r="H4" s="2" t="s">
        <v>51</v>
      </c>
      <c r="I4" s="5">
        <v>50</v>
      </c>
      <c r="J4" s="6">
        <v>100</v>
      </c>
      <c r="K4" s="6">
        <v>300</v>
      </c>
      <c r="L4" s="6">
        <v>600</v>
      </c>
      <c r="M4" s="5">
        <v>1</v>
      </c>
      <c r="N4" s="5"/>
      <c r="O4" s="5">
        <v>10</v>
      </c>
      <c r="P4" s="5" t="s">
        <v>749</v>
      </c>
      <c r="Q4" s="5">
        <v>1</v>
      </c>
    </row>
    <row r="5" spans="1:18" x14ac:dyDescent="0.25">
      <c r="A5" s="2" t="s">
        <v>622</v>
      </c>
      <c r="B5" s="2" t="s">
        <v>225</v>
      </c>
      <c r="C5" s="2" t="s">
        <v>729</v>
      </c>
      <c r="D5" s="2" t="s">
        <v>729</v>
      </c>
      <c r="E5" s="2" t="s">
        <v>15</v>
      </c>
      <c r="F5" s="2" t="s">
        <v>16</v>
      </c>
      <c r="G5" s="2">
        <v>5.7</v>
      </c>
      <c r="H5" s="2" t="s">
        <v>9</v>
      </c>
      <c r="I5" s="5">
        <v>100</v>
      </c>
      <c r="J5" s="6">
        <v>200</v>
      </c>
      <c r="K5" s="6">
        <v>600</v>
      </c>
      <c r="L5" s="6">
        <v>1200</v>
      </c>
      <c r="M5" s="5">
        <v>1</v>
      </c>
      <c r="N5" s="5">
        <v>5</v>
      </c>
      <c r="O5" s="5">
        <v>50</v>
      </c>
      <c r="P5" s="5">
        <v>50</v>
      </c>
      <c r="Q5" s="5">
        <v>10</v>
      </c>
    </row>
    <row r="6" spans="1:18" x14ac:dyDescent="0.25">
      <c r="A6" s="2" t="s">
        <v>619</v>
      </c>
      <c r="B6" s="2" t="s">
        <v>226</v>
      </c>
      <c r="C6" s="2" t="s">
        <v>729</v>
      </c>
      <c r="D6" s="2" t="s">
        <v>729</v>
      </c>
      <c r="E6" s="2" t="s">
        <v>218</v>
      </c>
      <c r="F6" s="2" t="s">
        <v>102</v>
      </c>
      <c r="G6" s="2">
        <v>1.8</v>
      </c>
      <c r="H6" s="2" t="s">
        <v>51</v>
      </c>
      <c r="I6" s="5">
        <v>16</v>
      </c>
      <c r="J6" s="6">
        <v>33</v>
      </c>
      <c r="K6" s="6">
        <v>100</v>
      </c>
      <c r="L6" s="6">
        <v>200</v>
      </c>
      <c r="M6" s="5">
        <v>2</v>
      </c>
      <c r="N6" s="5">
        <v>10</v>
      </c>
      <c r="O6" s="5">
        <v>28</v>
      </c>
      <c r="P6" s="7" t="s">
        <v>766</v>
      </c>
      <c r="Q6" s="5">
        <v>10</v>
      </c>
    </row>
    <row r="7" spans="1:18" x14ac:dyDescent="0.25">
      <c r="A7" s="2" t="s">
        <v>623</v>
      </c>
      <c r="B7" s="2" t="s">
        <v>227</v>
      </c>
      <c r="C7" s="2" t="s">
        <v>729</v>
      </c>
      <c r="D7" s="2" t="s">
        <v>729</v>
      </c>
      <c r="E7" s="2" t="s">
        <v>15</v>
      </c>
      <c r="F7" s="2" t="s">
        <v>16</v>
      </c>
      <c r="G7" s="2">
        <v>3.9</v>
      </c>
      <c r="H7" s="2" t="s">
        <v>9</v>
      </c>
      <c r="I7" s="5">
        <v>50</v>
      </c>
      <c r="J7" s="6">
        <v>100</v>
      </c>
      <c r="K7" s="6">
        <v>300</v>
      </c>
      <c r="L7" s="6">
        <v>600</v>
      </c>
      <c r="M7" s="5">
        <v>2</v>
      </c>
      <c r="N7" s="5">
        <v>10</v>
      </c>
      <c r="O7" s="5">
        <v>30</v>
      </c>
      <c r="P7" s="7" t="s">
        <v>767</v>
      </c>
      <c r="Q7" s="5">
        <v>10</v>
      </c>
    </row>
    <row r="8" spans="1:18" x14ac:dyDescent="0.25">
      <c r="A8" s="2" t="s">
        <v>623</v>
      </c>
      <c r="B8" s="2" t="s">
        <v>228</v>
      </c>
      <c r="C8" s="2" t="s">
        <v>729</v>
      </c>
      <c r="D8" s="2" t="s">
        <v>729</v>
      </c>
      <c r="E8" s="2" t="s">
        <v>72</v>
      </c>
      <c r="F8" s="2" t="s">
        <v>73</v>
      </c>
      <c r="G8" s="2">
        <v>3.96</v>
      </c>
      <c r="H8" s="2" t="s">
        <v>46</v>
      </c>
      <c r="I8" s="5">
        <v>50</v>
      </c>
      <c r="J8" s="6">
        <v>100</v>
      </c>
      <c r="K8" s="6">
        <v>300</v>
      </c>
      <c r="L8" s="6">
        <v>600</v>
      </c>
      <c r="M8" s="5">
        <v>2</v>
      </c>
      <c r="N8" s="5">
        <v>3</v>
      </c>
      <c r="O8" s="5">
        <v>20</v>
      </c>
      <c r="P8" s="8" t="s">
        <v>768</v>
      </c>
      <c r="Q8" s="5">
        <v>3</v>
      </c>
    </row>
    <row r="9" spans="1:18" x14ac:dyDescent="0.25">
      <c r="A9" s="2" t="s">
        <v>620</v>
      </c>
      <c r="B9" s="2" t="s">
        <v>229</v>
      </c>
      <c r="C9" s="2" t="s">
        <v>729</v>
      </c>
      <c r="D9" s="2" t="s">
        <v>729</v>
      </c>
      <c r="E9" s="2" t="s">
        <v>72</v>
      </c>
      <c r="F9" s="2" t="s">
        <v>73</v>
      </c>
      <c r="G9" s="2">
        <v>3.96</v>
      </c>
      <c r="H9" s="2" t="s">
        <v>46</v>
      </c>
      <c r="I9" s="5">
        <v>133</v>
      </c>
      <c r="J9" s="6">
        <v>266</v>
      </c>
      <c r="K9" s="6">
        <v>800</v>
      </c>
      <c r="L9" s="6">
        <v>1600</v>
      </c>
      <c r="M9" s="5">
        <v>2</v>
      </c>
      <c r="N9" s="5">
        <v>3</v>
      </c>
      <c r="O9" s="5">
        <v>20</v>
      </c>
      <c r="P9" s="8" t="s">
        <v>768</v>
      </c>
      <c r="Q9" s="5">
        <v>3</v>
      </c>
    </row>
    <row r="10" spans="1:18" x14ac:dyDescent="0.25">
      <c r="A10" s="2" t="s">
        <v>620</v>
      </c>
      <c r="B10" s="2" t="s">
        <v>230</v>
      </c>
      <c r="C10" s="2" t="s">
        <v>729</v>
      </c>
      <c r="D10" s="2" t="s">
        <v>729</v>
      </c>
      <c r="E10" s="2" t="s">
        <v>72</v>
      </c>
      <c r="F10" s="2" t="s">
        <v>73</v>
      </c>
      <c r="G10" s="2">
        <v>4.0999999999999996</v>
      </c>
      <c r="H10" s="2" t="s">
        <v>46</v>
      </c>
      <c r="I10" s="5">
        <v>83</v>
      </c>
      <c r="J10" s="6">
        <v>166</v>
      </c>
      <c r="K10" s="6">
        <v>500</v>
      </c>
      <c r="L10" s="6">
        <v>1000</v>
      </c>
      <c r="M10" s="5">
        <v>2</v>
      </c>
      <c r="N10" s="5">
        <v>3</v>
      </c>
      <c r="O10" s="5">
        <v>20</v>
      </c>
      <c r="P10" s="8" t="s">
        <v>768</v>
      </c>
      <c r="Q10" s="5">
        <v>3</v>
      </c>
    </row>
    <row r="11" spans="1:18" x14ac:dyDescent="0.25">
      <c r="A11" s="2" t="s">
        <v>624</v>
      </c>
      <c r="B11" s="2" t="s">
        <v>231</v>
      </c>
      <c r="C11" s="2" t="s">
        <v>729</v>
      </c>
      <c r="D11" s="2" t="s">
        <v>729</v>
      </c>
      <c r="E11" s="2" t="s">
        <v>184</v>
      </c>
      <c r="F11" s="2" t="s">
        <v>185</v>
      </c>
      <c r="G11" s="2">
        <v>5.2</v>
      </c>
      <c r="H11" s="2" t="s">
        <v>46</v>
      </c>
      <c r="I11" s="5">
        <v>6</v>
      </c>
      <c r="J11" s="6">
        <v>13</v>
      </c>
      <c r="K11" s="6">
        <v>40</v>
      </c>
      <c r="L11" s="6">
        <v>80</v>
      </c>
      <c r="M11" s="5">
        <v>1</v>
      </c>
      <c r="N11" s="5">
        <v>3</v>
      </c>
      <c r="O11" s="5">
        <v>32</v>
      </c>
      <c r="P11" s="8" t="s">
        <v>769</v>
      </c>
      <c r="Q11" s="5">
        <v>5</v>
      </c>
      <c r="R11" s="2" t="s">
        <v>842</v>
      </c>
    </row>
    <row r="12" spans="1:18" x14ac:dyDescent="0.25">
      <c r="A12" s="2" t="s">
        <v>619</v>
      </c>
      <c r="B12" s="2" t="s">
        <v>232</v>
      </c>
      <c r="C12" s="2" t="s">
        <v>729</v>
      </c>
      <c r="D12" s="2" t="s">
        <v>729</v>
      </c>
      <c r="E12" s="2" t="s">
        <v>128</v>
      </c>
      <c r="F12" s="2" t="s">
        <v>129</v>
      </c>
      <c r="G12" s="2">
        <v>1.8</v>
      </c>
      <c r="H12" s="2" t="s">
        <v>14</v>
      </c>
      <c r="I12" s="5">
        <v>8</v>
      </c>
      <c r="J12" s="6">
        <v>16</v>
      </c>
      <c r="K12" s="6">
        <v>50</v>
      </c>
      <c r="L12" s="6">
        <v>100</v>
      </c>
      <c r="M12" s="5">
        <v>3</v>
      </c>
      <c r="N12" s="5"/>
      <c r="O12" s="5">
        <v>7</v>
      </c>
      <c r="P12" s="5" t="s">
        <v>752</v>
      </c>
      <c r="Q12" s="5">
        <v>1</v>
      </c>
    </row>
    <row r="13" spans="1:18" x14ac:dyDescent="0.25">
      <c r="A13" s="2" t="s">
        <v>625</v>
      </c>
      <c r="B13" s="2" t="s">
        <v>233</v>
      </c>
      <c r="C13" s="2" t="s">
        <v>729</v>
      </c>
      <c r="D13" s="2" t="s">
        <v>729</v>
      </c>
      <c r="E13" s="2" t="s">
        <v>132</v>
      </c>
      <c r="F13" s="2" t="s">
        <v>127</v>
      </c>
      <c r="G13" s="2">
        <v>4.9000000000000004</v>
      </c>
      <c r="H13" s="2" t="s">
        <v>51</v>
      </c>
      <c r="I13" s="5">
        <v>8</v>
      </c>
      <c r="J13" s="6">
        <v>16</v>
      </c>
      <c r="K13" s="6">
        <v>50</v>
      </c>
      <c r="L13" s="6">
        <v>100</v>
      </c>
      <c r="M13" s="5">
        <v>1</v>
      </c>
      <c r="N13" s="5">
        <v>5</v>
      </c>
      <c r="O13" s="5">
        <v>50</v>
      </c>
      <c r="P13" s="5">
        <v>62</v>
      </c>
      <c r="Q13" s="5">
        <v>10</v>
      </c>
    </row>
    <row r="14" spans="1:18" x14ac:dyDescent="0.25">
      <c r="A14" s="2" t="s">
        <v>620</v>
      </c>
      <c r="B14" s="2" t="s">
        <v>234</v>
      </c>
      <c r="C14" s="2" t="s">
        <v>729</v>
      </c>
      <c r="D14" s="2" t="s">
        <v>729</v>
      </c>
      <c r="E14" s="2" t="s">
        <v>156</v>
      </c>
      <c r="F14" s="2" t="s">
        <v>157</v>
      </c>
      <c r="G14" s="2">
        <v>14.1</v>
      </c>
      <c r="H14" s="2" t="s">
        <v>158</v>
      </c>
      <c r="I14" s="5">
        <v>150</v>
      </c>
      <c r="J14" s="6">
        <v>300</v>
      </c>
      <c r="K14" s="6">
        <v>900</v>
      </c>
      <c r="L14" s="6">
        <v>1800</v>
      </c>
      <c r="M14" s="5">
        <v>2</v>
      </c>
      <c r="N14" s="5"/>
      <c r="O14" s="5">
        <v>10</v>
      </c>
      <c r="P14" s="5" t="s">
        <v>752</v>
      </c>
      <c r="Q14" s="5">
        <v>1</v>
      </c>
    </row>
    <row r="15" spans="1:18" x14ac:dyDescent="0.25">
      <c r="A15" s="2" t="s">
        <v>620</v>
      </c>
      <c r="B15" s="2" t="s">
        <v>235</v>
      </c>
      <c r="C15" s="2" t="s">
        <v>729</v>
      </c>
      <c r="D15" s="2" t="s">
        <v>729</v>
      </c>
      <c r="E15" s="2" t="s">
        <v>156</v>
      </c>
      <c r="F15" s="2" t="s">
        <v>157</v>
      </c>
      <c r="G15" s="2">
        <v>12.9</v>
      </c>
      <c r="H15" s="2" t="s">
        <v>158</v>
      </c>
      <c r="I15" s="5">
        <v>150</v>
      </c>
      <c r="J15" s="6">
        <v>300</v>
      </c>
      <c r="K15" s="6">
        <v>900</v>
      </c>
      <c r="L15" s="6">
        <v>1800</v>
      </c>
      <c r="M15" s="5">
        <v>2</v>
      </c>
      <c r="N15" s="5"/>
      <c r="O15" s="5">
        <v>10</v>
      </c>
      <c r="P15" s="5" t="s">
        <v>752</v>
      </c>
      <c r="Q15" s="5">
        <v>1</v>
      </c>
    </row>
    <row r="16" spans="1:18" x14ac:dyDescent="0.25">
      <c r="A16" s="2" t="s">
        <v>620</v>
      </c>
      <c r="B16" s="2" t="s">
        <v>236</v>
      </c>
      <c r="C16" s="2" t="s">
        <v>729</v>
      </c>
      <c r="D16" s="2" t="s">
        <v>729</v>
      </c>
      <c r="E16" s="2" t="s">
        <v>156</v>
      </c>
      <c r="F16" s="2" t="s">
        <v>157</v>
      </c>
      <c r="G16" s="2">
        <v>10</v>
      </c>
      <c r="H16" s="2" t="s">
        <v>158</v>
      </c>
      <c r="I16" s="5">
        <v>125</v>
      </c>
      <c r="J16" s="6">
        <v>250</v>
      </c>
      <c r="K16" s="6">
        <v>750</v>
      </c>
      <c r="L16" s="6">
        <v>1500</v>
      </c>
      <c r="M16" s="5">
        <v>2</v>
      </c>
      <c r="N16" s="5"/>
      <c r="O16" s="5">
        <v>5</v>
      </c>
      <c r="P16" s="5" t="s">
        <v>749</v>
      </c>
      <c r="Q16" s="5">
        <v>1</v>
      </c>
    </row>
    <row r="17" spans="1:18" x14ac:dyDescent="0.25">
      <c r="A17" s="2" t="s">
        <v>624</v>
      </c>
      <c r="B17" s="2" t="s">
        <v>237</v>
      </c>
      <c r="C17" s="2" t="s">
        <v>729</v>
      </c>
      <c r="D17" s="2" t="s">
        <v>729</v>
      </c>
      <c r="E17" s="2" t="s">
        <v>184</v>
      </c>
      <c r="F17" s="2" t="s">
        <v>185</v>
      </c>
      <c r="G17" s="2">
        <v>3.58</v>
      </c>
      <c r="H17" s="2" t="s">
        <v>46</v>
      </c>
      <c r="I17" s="5">
        <v>8</v>
      </c>
      <c r="J17" s="6">
        <v>16</v>
      </c>
      <c r="K17" s="6">
        <v>50</v>
      </c>
      <c r="L17" s="6">
        <v>100</v>
      </c>
      <c r="M17" s="5">
        <v>2</v>
      </c>
      <c r="N17" s="5"/>
      <c r="O17" s="5">
        <v>5</v>
      </c>
      <c r="P17" s="5" t="s">
        <v>753</v>
      </c>
      <c r="Q17" s="5">
        <v>1</v>
      </c>
    </row>
    <row r="18" spans="1:18" x14ac:dyDescent="0.25">
      <c r="A18" s="2" t="s">
        <v>621</v>
      </c>
      <c r="B18" s="2" t="s">
        <v>238</v>
      </c>
      <c r="C18" s="2" t="s">
        <v>729</v>
      </c>
      <c r="D18" s="2" t="s">
        <v>729</v>
      </c>
      <c r="E18" s="2" t="s">
        <v>184</v>
      </c>
      <c r="F18" s="2" t="s">
        <v>185</v>
      </c>
      <c r="G18" s="2">
        <v>3.26</v>
      </c>
      <c r="H18" s="2" t="s">
        <v>46</v>
      </c>
      <c r="I18" s="5">
        <v>8</v>
      </c>
      <c r="J18" s="6">
        <v>16</v>
      </c>
      <c r="K18" s="6">
        <v>50</v>
      </c>
      <c r="L18" s="6">
        <v>100</v>
      </c>
      <c r="M18" s="5">
        <v>2</v>
      </c>
      <c r="N18" s="5"/>
      <c r="O18" s="5">
        <v>7</v>
      </c>
      <c r="P18" s="5" t="s">
        <v>752</v>
      </c>
      <c r="Q18" s="5">
        <v>1</v>
      </c>
    </row>
    <row r="19" spans="1:18" x14ac:dyDescent="0.25">
      <c r="A19" s="2" t="s">
        <v>624</v>
      </c>
      <c r="B19" s="2" t="s">
        <v>239</v>
      </c>
      <c r="C19" s="2" t="s">
        <v>729</v>
      </c>
      <c r="D19" s="2" t="s">
        <v>729</v>
      </c>
      <c r="E19" s="2" t="s">
        <v>184</v>
      </c>
      <c r="F19" s="2" t="s">
        <v>185</v>
      </c>
      <c r="G19" s="2">
        <v>3.24</v>
      </c>
      <c r="H19" s="2" t="s">
        <v>46</v>
      </c>
      <c r="I19" s="5">
        <v>8</v>
      </c>
      <c r="J19" s="6">
        <v>16</v>
      </c>
      <c r="K19" s="6">
        <v>50</v>
      </c>
      <c r="L19" s="6">
        <v>100</v>
      </c>
      <c r="M19" s="5">
        <v>2</v>
      </c>
      <c r="N19" s="5"/>
      <c r="O19" s="5">
        <v>8</v>
      </c>
      <c r="P19" s="5" t="s">
        <v>754</v>
      </c>
      <c r="Q19" s="5">
        <v>1</v>
      </c>
    </row>
    <row r="20" spans="1:18" x14ac:dyDescent="0.25">
      <c r="A20" s="2" t="s">
        <v>623</v>
      </c>
      <c r="B20" s="2" t="s">
        <v>240</v>
      </c>
      <c r="C20" s="2" t="s">
        <v>729</v>
      </c>
      <c r="D20" s="2" t="s">
        <v>729</v>
      </c>
      <c r="E20" s="2" t="s">
        <v>15</v>
      </c>
      <c r="F20" s="2" t="s">
        <v>16</v>
      </c>
      <c r="G20" s="2">
        <v>3.5449999999999999</v>
      </c>
      <c r="H20" s="2" t="s">
        <v>9</v>
      </c>
      <c r="I20" s="5">
        <v>66</v>
      </c>
      <c r="J20" s="6">
        <v>133</v>
      </c>
      <c r="K20" s="6">
        <v>400</v>
      </c>
      <c r="L20" s="6">
        <v>800</v>
      </c>
      <c r="M20" s="5">
        <v>2</v>
      </c>
      <c r="N20" s="5">
        <v>5</v>
      </c>
      <c r="O20" s="5">
        <v>30</v>
      </c>
      <c r="P20" s="7" t="s">
        <v>766</v>
      </c>
      <c r="Q20" s="5">
        <v>5</v>
      </c>
    </row>
    <row r="21" spans="1:18" x14ac:dyDescent="0.25">
      <c r="A21" s="2" t="s">
        <v>619</v>
      </c>
      <c r="B21" s="2" t="s">
        <v>241</v>
      </c>
      <c r="C21" s="2" t="s">
        <v>729</v>
      </c>
      <c r="D21" s="2" t="s">
        <v>729</v>
      </c>
      <c r="E21" s="2" t="s">
        <v>218</v>
      </c>
      <c r="F21" s="2" t="s">
        <v>102</v>
      </c>
      <c r="G21" s="2">
        <v>0.97499999999999998</v>
      </c>
      <c r="H21" s="2" t="s">
        <v>51</v>
      </c>
      <c r="I21" s="5">
        <v>8</v>
      </c>
      <c r="J21" s="6">
        <v>16</v>
      </c>
      <c r="K21" s="6">
        <v>50</v>
      </c>
      <c r="L21" s="6">
        <v>100</v>
      </c>
      <c r="M21" s="5">
        <v>3</v>
      </c>
      <c r="N21" s="5"/>
      <c r="O21" s="5">
        <v>15</v>
      </c>
      <c r="P21" s="5" t="s">
        <v>752</v>
      </c>
      <c r="Q21" s="5">
        <v>1</v>
      </c>
      <c r="R21" s="2" t="s">
        <v>841</v>
      </c>
    </row>
    <row r="22" spans="1:18" x14ac:dyDescent="0.25">
      <c r="A22" s="2" t="s">
        <v>625</v>
      </c>
      <c r="B22" s="2" t="s">
        <v>242</v>
      </c>
      <c r="C22" s="2" t="s">
        <v>729</v>
      </c>
      <c r="D22" s="2" t="s">
        <v>729</v>
      </c>
      <c r="E22" s="2" t="s">
        <v>218</v>
      </c>
      <c r="F22" s="2" t="s">
        <v>102</v>
      </c>
      <c r="G22" s="2">
        <v>1.17</v>
      </c>
      <c r="H22" s="2" t="s">
        <v>51</v>
      </c>
      <c r="I22" s="5">
        <v>5</v>
      </c>
      <c r="J22" s="6">
        <v>10</v>
      </c>
      <c r="K22" s="6">
        <v>30</v>
      </c>
      <c r="L22" s="6">
        <v>60</v>
      </c>
      <c r="M22" s="5">
        <v>2</v>
      </c>
      <c r="N22" s="5">
        <v>3</v>
      </c>
      <c r="O22" s="5">
        <v>20</v>
      </c>
      <c r="P22" s="8" t="s">
        <v>768</v>
      </c>
      <c r="Q22" s="5">
        <v>3</v>
      </c>
      <c r="R22" s="2" t="s">
        <v>840</v>
      </c>
    </row>
    <row r="23" spans="1:18" x14ac:dyDescent="0.25">
      <c r="A23" s="2" t="s">
        <v>625</v>
      </c>
      <c r="B23" s="2" t="s">
        <v>243</v>
      </c>
      <c r="C23" s="2" t="s">
        <v>729</v>
      </c>
      <c r="D23" s="2" t="s">
        <v>729</v>
      </c>
      <c r="E23" s="2" t="s">
        <v>218</v>
      </c>
      <c r="F23" s="2" t="s">
        <v>102</v>
      </c>
      <c r="G23" s="2">
        <v>1.43</v>
      </c>
      <c r="H23" s="2" t="s">
        <v>51</v>
      </c>
      <c r="I23" s="5">
        <v>8</v>
      </c>
      <c r="J23" s="6">
        <v>16</v>
      </c>
      <c r="K23" s="6">
        <v>50</v>
      </c>
      <c r="L23" s="6">
        <v>100</v>
      </c>
      <c r="M23" s="5">
        <v>2</v>
      </c>
      <c r="N23" s="5">
        <v>3</v>
      </c>
      <c r="O23" s="5">
        <v>20</v>
      </c>
      <c r="P23" s="8" t="s">
        <v>768</v>
      </c>
      <c r="Q23" s="5">
        <v>3</v>
      </c>
    </row>
    <row r="24" spans="1:18" x14ac:dyDescent="0.25">
      <c r="A24" s="2" t="s">
        <v>619</v>
      </c>
      <c r="B24" s="2" t="s">
        <v>244</v>
      </c>
      <c r="C24" s="2" t="s">
        <v>729</v>
      </c>
      <c r="D24" s="2" t="s">
        <v>729</v>
      </c>
      <c r="E24" s="2" t="s">
        <v>130</v>
      </c>
      <c r="F24" s="2" t="s">
        <v>245</v>
      </c>
      <c r="G24" s="2">
        <v>1.135</v>
      </c>
      <c r="H24" s="2" t="s">
        <v>51</v>
      </c>
      <c r="I24" s="5">
        <v>8</v>
      </c>
      <c r="J24" s="6">
        <v>16</v>
      </c>
      <c r="K24" s="6">
        <v>50</v>
      </c>
      <c r="L24" s="6">
        <v>100</v>
      </c>
      <c r="M24" s="5">
        <v>2</v>
      </c>
      <c r="N24" s="5"/>
      <c r="O24" s="5">
        <v>11</v>
      </c>
      <c r="P24" s="5" t="s">
        <v>752</v>
      </c>
      <c r="Q24" s="5">
        <v>1</v>
      </c>
    </row>
    <row r="25" spans="1:18" x14ac:dyDescent="0.25">
      <c r="A25" s="2" t="s">
        <v>623</v>
      </c>
      <c r="B25" s="2" t="s">
        <v>246</v>
      </c>
      <c r="C25" s="2" t="s">
        <v>729</v>
      </c>
      <c r="D25" s="2" t="s">
        <v>729</v>
      </c>
      <c r="E25" s="2" t="s">
        <v>15</v>
      </c>
      <c r="F25" s="2" t="s">
        <v>16</v>
      </c>
      <c r="G25" s="2">
        <v>3.08</v>
      </c>
      <c r="H25" s="2" t="s">
        <v>9</v>
      </c>
      <c r="I25" s="5">
        <v>50</v>
      </c>
      <c r="J25" s="6">
        <v>100</v>
      </c>
      <c r="K25" s="6">
        <v>300</v>
      </c>
      <c r="L25" s="6">
        <v>600</v>
      </c>
      <c r="M25" s="5">
        <v>2</v>
      </c>
      <c r="N25" s="5">
        <v>3</v>
      </c>
      <c r="O25" s="5">
        <v>30</v>
      </c>
      <c r="P25" s="9" t="s">
        <v>770</v>
      </c>
      <c r="Q25" s="5">
        <v>3</v>
      </c>
    </row>
    <row r="26" spans="1:18" x14ac:dyDescent="0.25">
      <c r="A26" s="2" t="s">
        <v>622</v>
      </c>
      <c r="B26" s="2" t="s">
        <v>247</v>
      </c>
      <c r="C26" s="2" t="s">
        <v>729</v>
      </c>
      <c r="D26" s="2" t="s">
        <v>729</v>
      </c>
      <c r="E26" s="2" t="s">
        <v>15</v>
      </c>
      <c r="F26" s="2" t="s">
        <v>16</v>
      </c>
      <c r="G26" s="2">
        <v>5.34</v>
      </c>
      <c r="H26" s="2" t="s">
        <v>9</v>
      </c>
      <c r="I26" s="5">
        <v>50</v>
      </c>
      <c r="J26" s="6">
        <v>100</v>
      </c>
      <c r="K26" s="6">
        <v>300</v>
      </c>
      <c r="L26" s="6">
        <v>600</v>
      </c>
      <c r="M26" s="5">
        <v>1</v>
      </c>
      <c r="N26" s="5">
        <v>5</v>
      </c>
      <c r="O26" s="5">
        <v>30</v>
      </c>
      <c r="P26" s="7" t="s">
        <v>766</v>
      </c>
      <c r="Q26" s="5">
        <v>10</v>
      </c>
    </row>
    <row r="27" spans="1:18" x14ac:dyDescent="0.25">
      <c r="A27" s="2" t="s">
        <v>623</v>
      </c>
      <c r="B27" s="2" t="s">
        <v>248</v>
      </c>
      <c r="C27" s="2" t="s">
        <v>729</v>
      </c>
      <c r="D27" s="2" t="s">
        <v>729</v>
      </c>
      <c r="E27" s="2" t="s">
        <v>72</v>
      </c>
      <c r="F27" s="2" t="s">
        <v>73</v>
      </c>
      <c r="G27" s="2">
        <v>4.5999999999999996</v>
      </c>
      <c r="H27" s="2" t="s">
        <v>46</v>
      </c>
      <c r="I27" s="5">
        <v>50</v>
      </c>
      <c r="J27" s="6">
        <v>100</v>
      </c>
      <c r="K27" s="6">
        <v>300</v>
      </c>
      <c r="L27" s="6">
        <v>600</v>
      </c>
      <c r="M27" s="5">
        <v>2</v>
      </c>
      <c r="N27" s="5">
        <v>3</v>
      </c>
      <c r="O27" s="5">
        <v>20</v>
      </c>
      <c r="P27" s="9" t="s">
        <v>770</v>
      </c>
      <c r="Q27" s="5">
        <v>3</v>
      </c>
    </row>
    <row r="28" spans="1:18" x14ac:dyDescent="0.25">
      <c r="A28" s="2" t="s">
        <v>625</v>
      </c>
      <c r="B28" s="2" t="s">
        <v>249</v>
      </c>
      <c r="C28" s="2" t="s">
        <v>729</v>
      </c>
      <c r="D28" s="2" t="s">
        <v>729</v>
      </c>
      <c r="E28" s="2" t="s">
        <v>218</v>
      </c>
      <c r="F28" s="2" t="s">
        <v>102</v>
      </c>
      <c r="G28" s="2">
        <v>2.57</v>
      </c>
      <c r="H28" s="2" t="s">
        <v>51</v>
      </c>
      <c r="I28" s="5">
        <v>16</v>
      </c>
      <c r="J28" s="6">
        <v>33</v>
      </c>
      <c r="K28" s="6">
        <v>100</v>
      </c>
      <c r="L28" s="6">
        <v>200</v>
      </c>
      <c r="M28" s="5">
        <v>1</v>
      </c>
      <c r="N28" s="5"/>
      <c r="O28" s="5">
        <v>20</v>
      </c>
      <c r="P28" s="5" t="s">
        <v>752</v>
      </c>
      <c r="Q28" s="5">
        <v>1</v>
      </c>
      <c r="R28" s="2" t="s">
        <v>839</v>
      </c>
    </row>
    <row r="29" spans="1:18" x14ac:dyDescent="0.25">
      <c r="A29" s="2" t="s">
        <v>625</v>
      </c>
      <c r="B29" s="2" t="s">
        <v>250</v>
      </c>
      <c r="C29" s="2" t="s">
        <v>729</v>
      </c>
      <c r="D29" s="2" t="s">
        <v>729</v>
      </c>
      <c r="E29" s="2" t="s">
        <v>218</v>
      </c>
      <c r="F29" s="2" t="s">
        <v>102</v>
      </c>
      <c r="G29" s="2">
        <v>3.24</v>
      </c>
      <c r="H29" s="2" t="s">
        <v>51</v>
      </c>
      <c r="I29" s="5">
        <v>15</v>
      </c>
      <c r="J29" s="6">
        <v>30</v>
      </c>
      <c r="K29" s="6">
        <v>90</v>
      </c>
      <c r="L29" s="6">
        <v>180</v>
      </c>
      <c r="M29" s="5">
        <v>1</v>
      </c>
      <c r="N29" s="5">
        <v>3</v>
      </c>
      <c r="O29" s="5">
        <v>32</v>
      </c>
      <c r="P29" s="7" t="s">
        <v>771</v>
      </c>
      <c r="Q29" s="5">
        <v>5</v>
      </c>
      <c r="R29" s="2" t="s">
        <v>838</v>
      </c>
    </row>
    <row r="30" spans="1:18" x14ac:dyDescent="0.25">
      <c r="A30" s="2" t="s">
        <v>625</v>
      </c>
      <c r="B30" s="2" t="s">
        <v>251</v>
      </c>
      <c r="C30" s="2" t="s">
        <v>729</v>
      </c>
      <c r="D30" s="2" t="s">
        <v>729</v>
      </c>
      <c r="E30" s="2" t="s">
        <v>218</v>
      </c>
      <c r="F30" s="2" t="s">
        <v>102</v>
      </c>
      <c r="G30" s="2">
        <v>3.3</v>
      </c>
      <c r="H30" s="2" t="s">
        <v>51</v>
      </c>
      <c r="I30" s="5">
        <v>8</v>
      </c>
      <c r="J30" s="6">
        <v>16</v>
      </c>
      <c r="K30" s="6">
        <v>50</v>
      </c>
      <c r="L30" s="6">
        <v>100</v>
      </c>
      <c r="M30" s="5">
        <v>1</v>
      </c>
      <c r="N30" s="5">
        <v>3</v>
      </c>
      <c r="O30" s="5">
        <v>25</v>
      </c>
      <c r="P30" s="7" t="s">
        <v>744</v>
      </c>
      <c r="Q30" s="5">
        <v>5</v>
      </c>
    </row>
    <row r="31" spans="1:18" x14ac:dyDescent="0.25">
      <c r="A31" s="2" t="s">
        <v>619</v>
      </c>
      <c r="B31" s="2" t="s">
        <v>252</v>
      </c>
      <c r="C31" s="2" t="s">
        <v>729</v>
      </c>
      <c r="D31" s="2" t="s">
        <v>729</v>
      </c>
      <c r="E31" s="2" t="s">
        <v>96</v>
      </c>
      <c r="F31" s="2" t="s">
        <v>97</v>
      </c>
      <c r="G31" s="2">
        <v>0.66800000000000004</v>
      </c>
      <c r="H31" s="2" t="s">
        <v>33</v>
      </c>
      <c r="I31" s="5">
        <v>5</v>
      </c>
      <c r="J31" s="6">
        <v>10</v>
      </c>
      <c r="K31" s="6">
        <v>30</v>
      </c>
      <c r="L31" s="6">
        <v>60</v>
      </c>
      <c r="M31" s="5">
        <v>3</v>
      </c>
      <c r="N31" s="5"/>
      <c r="O31" s="5">
        <v>8</v>
      </c>
      <c r="P31" s="5" t="s">
        <v>752</v>
      </c>
      <c r="Q31" s="5">
        <v>1</v>
      </c>
    </row>
    <row r="32" spans="1:18" x14ac:dyDescent="0.25">
      <c r="A32" s="2" t="s">
        <v>619</v>
      </c>
      <c r="B32" s="2" t="s">
        <v>253</v>
      </c>
      <c r="C32" s="2" t="s">
        <v>729</v>
      </c>
      <c r="D32" s="2" t="s">
        <v>729</v>
      </c>
      <c r="E32" s="2" t="s">
        <v>218</v>
      </c>
      <c r="F32" s="2" t="s">
        <v>102</v>
      </c>
      <c r="G32" s="2">
        <v>0.87</v>
      </c>
      <c r="H32" s="2" t="s">
        <v>51</v>
      </c>
      <c r="I32" s="5">
        <v>8</v>
      </c>
      <c r="J32" s="6">
        <v>16</v>
      </c>
      <c r="K32" s="6">
        <v>50</v>
      </c>
      <c r="L32" s="6">
        <v>100</v>
      </c>
      <c r="M32" s="5">
        <v>3</v>
      </c>
      <c r="N32" s="5"/>
      <c r="O32" s="5">
        <v>8</v>
      </c>
      <c r="P32" s="5" t="s">
        <v>752</v>
      </c>
      <c r="Q32" s="5">
        <v>1</v>
      </c>
    </row>
    <row r="33" spans="1:18" x14ac:dyDescent="0.25">
      <c r="A33" s="2" t="s">
        <v>619</v>
      </c>
      <c r="B33" s="2" t="s">
        <v>254</v>
      </c>
      <c r="C33" s="2" t="s">
        <v>729</v>
      </c>
      <c r="D33" s="2" t="s">
        <v>729</v>
      </c>
      <c r="E33" s="2" t="s">
        <v>96</v>
      </c>
      <c r="F33" s="2" t="s">
        <v>97</v>
      </c>
      <c r="G33" s="2">
        <v>0.67500000000000004</v>
      </c>
      <c r="H33" s="2" t="s">
        <v>33</v>
      </c>
      <c r="I33" s="5">
        <v>6</v>
      </c>
      <c r="J33" s="6">
        <v>13</v>
      </c>
      <c r="K33" s="6">
        <v>40</v>
      </c>
      <c r="L33" s="6">
        <v>80</v>
      </c>
      <c r="M33" s="5">
        <v>3</v>
      </c>
      <c r="N33" s="5"/>
      <c r="O33" s="5">
        <v>7</v>
      </c>
      <c r="P33" s="5" t="s">
        <v>752</v>
      </c>
      <c r="Q33" s="5">
        <v>1</v>
      </c>
    </row>
    <row r="34" spans="1:18" x14ac:dyDescent="0.25">
      <c r="A34" s="2" t="s">
        <v>619</v>
      </c>
      <c r="B34" s="2" t="s">
        <v>255</v>
      </c>
      <c r="C34" s="2" t="s">
        <v>729</v>
      </c>
      <c r="D34" s="2" t="s">
        <v>729</v>
      </c>
      <c r="E34" s="2" t="s">
        <v>96</v>
      </c>
      <c r="F34" s="2" t="s">
        <v>97</v>
      </c>
      <c r="G34" s="2">
        <v>0.66</v>
      </c>
      <c r="H34" s="2" t="s">
        <v>33</v>
      </c>
      <c r="I34" s="5">
        <v>6</v>
      </c>
      <c r="J34" s="6">
        <v>13</v>
      </c>
      <c r="K34" s="6">
        <v>40</v>
      </c>
      <c r="L34" s="6">
        <v>80</v>
      </c>
      <c r="M34" s="5">
        <v>3</v>
      </c>
      <c r="N34" s="5"/>
      <c r="O34" s="5">
        <v>13</v>
      </c>
      <c r="P34" s="5" t="s">
        <v>752</v>
      </c>
      <c r="Q34" s="5">
        <v>1</v>
      </c>
    </row>
    <row r="35" spans="1:18" x14ac:dyDescent="0.25">
      <c r="A35" s="2" t="s">
        <v>625</v>
      </c>
      <c r="B35" s="2" t="s">
        <v>256</v>
      </c>
      <c r="C35" s="2" t="s">
        <v>729</v>
      </c>
      <c r="D35" s="2" t="s">
        <v>729</v>
      </c>
      <c r="E35" s="2" t="s">
        <v>218</v>
      </c>
      <c r="F35" s="2" t="s">
        <v>102</v>
      </c>
      <c r="G35" s="2">
        <v>3.4</v>
      </c>
      <c r="H35" s="2" t="s">
        <v>51</v>
      </c>
      <c r="I35" s="5">
        <v>8</v>
      </c>
      <c r="J35" s="6">
        <v>16</v>
      </c>
      <c r="K35" s="6">
        <v>50</v>
      </c>
      <c r="L35" s="6">
        <v>100</v>
      </c>
      <c r="M35" s="5">
        <v>1</v>
      </c>
      <c r="N35" s="5">
        <v>5</v>
      </c>
      <c r="O35" s="5">
        <v>32</v>
      </c>
      <c r="P35" s="7" t="s">
        <v>744</v>
      </c>
      <c r="Q35" s="5">
        <v>10</v>
      </c>
    </row>
    <row r="36" spans="1:18" x14ac:dyDescent="0.25">
      <c r="A36" s="2" t="s">
        <v>625</v>
      </c>
      <c r="B36" s="2" t="s">
        <v>257</v>
      </c>
      <c r="C36" s="2" t="s">
        <v>729</v>
      </c>
      <c r="D36" s="2" t="s">
        <v>729</v>
      </c>
      <c r="E36" s="2" t="s">
        <v>218</v>
      </c>
      <c r="F36" s="2" t="s">
        <v>102</v>
      </c>
      <c r="G36" s="2">
        <v>4.24</v>
      </c>
      <c r="H36" s="2" t="s">
        <v>51</v>
      </c>
      <c r="I36" s="5">
        <v>12</v>
      </c>
      <c r="J36" s="6">
        <v>25</v>
      </c>
      <c r="K36" s="6">
        <v>75</v>
      </c>
      <c r="L36" s="6">
        <v>150</v>
      </c>
      <c r="M36" s="5"/>
      <c r="N36" s="5">
        <v>5</v>
      </c>
      <c r="O36" s="5">
        <v>32</v>
      </c>
      <c r="P36" s="5">
        <v>10</v>
      </c>
      <c r="Q36" s="5">
        <v>10</v>
      </c>
    </row>
    <row r="37" spans="1:18" x14ac:dyDescent="0.25">
      <c r="A37" s="2" t="s">
        <v>622</v>
      </c>
      <c r="B37" s="2" t="s">
        <v>258</v>
      </c>
      <c r="C37" s="2" t="s">
        <v>729</v>
      </c>
      <c r="D37" s="2" t="s">
        <v>729</v>
      </c>
      <c r="E37" s="2" t="s">
        <v>156</v>
      </c>
      <c r="F37" s="2" t="s">
        <v>157</v>
      </c>
      <c r="G37" s="2">
        <v>38.1</v>
      </c>
      <c r="H37" s="2" t="s">
        <v>158</v>
      </c>
      <c r="I37" s="5">
        <v>250</v>
      </c>
      <c r="J37" s="6">
        <v>500</v>
      </c>
      <c r="K37" s="6">
        <v>1500</v>
      </c>
      <c r="L37" s="6">
        <v>3000</v>
      </c>
      <c r="M37" s="5">
        <v>1</v>
      </c>
      <c r="N37" s="5">
        <v>3</v>
      </c>
      <c r="O37" s="5">
        <v>50</v>
      </c>
      <c r="P37" s="9" t="s">
        <v>772</v>
      </c>
      <c r="Q37" s="5">
        <v>5</v>
      </c>
    </row>
    <row r="38" spans="1:18" x14ac:dyDescent="0.25">
      <c r="A38" s="2" t="s">
        <v>619</v>
      </c>
      <c r="B38" s="2" t="s">
        <v>259</v>
      </c>
      <c r="C38" s="2" t="s">
        <v>729</v>
      </c>
      <c r="D38" s="2" t="s">
        <v>729</v>
      </c>
      <c r="E38" s="2" t="s">
        <v>96</v>
      </c>
      <c r="F38" s="2" t="s">
        <v>260</v>
      </c>
      <c r="G38" s="2">
        <v>0.64</v>
      </c>
      <c r="H38" s="2" t="s">
        <v>33</v>
      </c>
      <c r="I38" s="5">
        <v>5</v>
      </c>
      <c r="J38" s="6">
        <v>11</v>
      </c>
      <c r="K38" s="6">
        <v>35</v>
      </c>
      <c r="L38" s="6">
        <v>70</v>
      </c>
      <c r="M38" s="5">
        <v>3</v>
      </c>
      <c r="N38" s="5"/>
      <c r="O38" s="5">
        <v>12</v>
      </c>
      <c r="P38" s="5" t="s">
        <v>752</v>
      </c>
      <c r="Q38" s="5">
        <v>1</v>
      </c>
    </row>
    <row r="39" spans="1:18" x14ac:dyDescent="0.25">
      <c r="A39" s="2" t="s">
        <v>619</v>
      </c>
      <c r="B39" s="2" t="s">
        <v>261</v>
      </c>
      <c r="C39" s="2" t="s">
        <v>729</v>
      </c>
      <c r="D39" s="2" t="s">
        <v>729</v>
      </c>
      <c r="E39" s="2" t="s">
        <v>26</v>
      </c>
      <c r="F39" s="2" t="s">
        <v>27</v>
      </c>
      <c r="G39" s="2">
        <v>0.95</v>
      </c>
      <c r="H39" s="2" t="s">
        <v>28</v>
      </c>
      <c r="I39" s="5">
        <v>3</v>
      </c>
      <c r="J39" s="6">
        <v>6</v>
      </c>
      <c r="K39" s="6">
        <v>20</v>
      </c>
      <c r="L39" s="6">
        <v>40</v>
      </c>
      <c r="M39" s="5">
        <v>2</v>
      </c>
      <c r="N39" s="5"/>
      <c r="O39" s="5">
        <v>10</v>
      </c>
      <c r="P39" s="5" t="s">
        <v>752</v>
      </c>
      <c r="Q39" s="5">
        <v>1</v>
      </c>
    </row>
    <row r="40" spans="1:18" x14ac:dyDescent="0.25">
      <c r="A40" s="2" t="s">
        <v>619</v>
      </c>
      <c r="B40" s="2" t="s">
        <v>262</v>
      </c>
      <c r="C40" s="2" t="s">
        <v>729</v>
      </c>
      <c r="D40" s="2" t="s">
        <v>729</v>
      </c>
      <c r="E40" s="2" t="s">
        <v>218</v>
      </c>
      <c r="F40" s="2" t="s">
        <v>263</v>
      </c>
      <c r="G40" s="2">
        <v>0.81</v>
      </c>
      <c r="H40" s="2" t="s">
        <v>51</v>
      </c>
      <c r="I40" s="5">
        <v>5</v>
      </c>
      <c r="J40" s="6">
        <v>11</v>
      </c>
      <c r="K40" s="6">
        <v>35</v>
      </c>
      <c r="L40" s="6">
        <v>70</v>
      </c>
      <c r="M40" s="5">
        <v>3</v>
      </c>
      <c r="N40" s="5"/>
      <c r="O40" s="5">
        <v>13</v>
      </c>
      <c r="P40" s="5" t="s">
        <v>752</v>
      </c>
      <c r="Q40" s="5">
        <v>1</v>
      </c>
    </row>
    <row r="41" spans="1:18" x14ac:dyDescent="0.25">
      <c r="A41" s="2" t="s">
        <v>619</v>
      </c>
      <c r="B41" s="2" t="s">
        <v>264</v>
      </c>
      <c r="C41" s="2" t="s">
        <v>729</v>
      </c>
      <c r="D41" s="2" t="s">
        <v>729</v>
      </c>
      <c r="E41" s="2" t="s">
        <v>86</v>
      </c>
      <c r="F41" s="2" t="s">
        <v>87</v>
      </c>
      <c r="G41" s="2">
        <v>0.8</v>
      </c>
      <c r="H41" s="2" t="s">
        <v>33</v>
      </c>
      <c r="I41" s="5">
        <v>2</v>
      </c>
      <c r="J41" s="6">
        <v>4</v>
      </c>
      <c r="K41" s="6">
        <v>12</v>
      </c>
      <c r="L41" s="6">
        <v>24</v>
      </c>
      <c r="M41" s="5">
        <v>2</v>
      </c>
      <c r="N41" s="5"/>
      <c r="O41" s="5">
        <v>6</v>
      </c>
      <c r="P41" s="5" t="s">
        <v>749</v>
      </c>
      <c r="Q41" s="5">
        <v>1</v>
      </c>
      <c r="R41" s="2" t="s">
        <v>845</v>
      </c>
    </row>
    <row r="42" spans="1:18" x14ac:dyDescent="0.25">
      <c r="A42" s="2" t="s">
        <v>626</v>
      </c>
      <c r="B42" s="2" t="s">
        <v>265</v>
      </c>
      <c r="C42" s="2" t="s">
        <v>729</v>
      </c>
      <c r="D42" s="2" t="s">
        <v>729</v>
      </c>
      <c r="E42" s="2" t="s">
        <v>218</v>
      </c>
      <c r="F42" s="2" t="s">
        <v>102</v>
      </c>
      <c r="G42" s="2">
        <v>1.5</v>
      </c>
      <c r="H42" s="2" t="s">
        <v>51</v>
      </c>
      <c r="I42" s="5">
        <v>2</v>
      </c>
      <c r="J42" s="6">
        <v>5</v>
      </c>
      <c r="K42" s="6">
        <v>15</v>
      </c>
      <c r="L42" s="6">
        <v>30</v>
      </c>
      <c r="M42" s="5">
        <v>2</v>
      </c>
      <c r="N42" s="5"/>
      <c r="O42" s="5">
        <v>6</v>
      </c>
      <c r="P42" s="5" t="s">
        <v>749</v>
      </c>
      <c r="Q42" s="5">
        <v>1</v>
      </c>
      <c r="R42" s="2" t="s">
        <v>845</v>
      </c>
    </row>
    <row r="43" spans="1:18" x14ac:dyDescent="0.25">
      <c r="A43" s="2" t="s">
        <v>625</v>
      </c>
      <c r="B43" s="2" t="s">
        <v>266</v>
      </c>
      <c r="C43" s="2" t="s">
        <v>729</v>
      </c>
      <c r="D43" s="2" t="s">
        <v>729</v>
      </c>
      <c r="E43" s="2" t="s">
        <v>15</v>
      </c>
      <c r="F43" s="2" t="s">
        <v>267</v>
      </c>
      <c r="G43" s="2">
        <v>1.93</v>
      </c>
      <c r="H43" s="2" t="s">
        <v>8</v>
      </c>
      <c r="I43" s="5">
        <v>15</v>
      </c>
      <c r="J43" s="6">
        <v>30</v>
      </c>
      <c r="K43" s="6">
        <v>90</v>
      </c>
      <c r="L43" s="6">
        <v>180</v>
      </c>
      <c r="M43" s="5"/>
      <c r="N43" s="5">
        <v>5</v>
      </c>
      <c r="O43" s="5">
        <v>20</v>
      </c>
      <c r="P43" s="5">
        <v>5</v>
      </c>
      <c r="Q43" s="5">
        <v>5</v>
      </c>
    </row>
    <row r="44" spans="1:18" x14ac:dyDescent="0.25">
      <c r="A44" s="2" t="s">
        <v>627</v>
      </c>
      <c r="B44" s="2" t="s">
        <v>268</v>
      </c>
      <c r="C44" s="2" t="s">
        <v>729</v>
      </c>
      <c r="D44" s="2" t="s">
        <v>729</v>
      </c>
      <c r="E44" s="2" t="s">
        <v>89</v>
      </c>
      <c r="F44" s="2" t="s">
        <v>90</v>
      </c>
      <c r="G44" s="2">
        <v>4.2</v>
      </c>
      <c r="H44" s="2" t="s">
        <v>44</v>
      </c>
      <c r="I44" s="5">
        <v>50</v>
      </c>
      <c r="J44" s="6">
        <v>100</v>
      </c>
      <c r="K44" s="6">
        <v>300</v>
      </c>
      <c r="L44" s="6">
        <v>600</v>
      </c>
      <c r="M44" s="5">
        <v>2</v>
      </c>
      <c r="N44" s="5"/>
      <c r="O44" s="5">
        <v>5</v>
      </c>
      <c r="P44" s="5" t="s">
        <v>749</v>
      </c>
      <c r="Q44" s="5">
        <v>1</v>
      </c>
    </row>
    <row r="45" spans="1:18" x14ac:dyDescent="0.25">
      <c r="A45" s="2" t="s">
        <v>627</v>
      </c>
      <c r="B45" s="2" t="s">
        <v>269</v>
      </c>
      <c r="C45" s="2" t="s">
        <v>729</v>
      </c>
      <c r="D45" s="2" t="s">
        <v>729</v>
      </c>
      <c r="E45" s="2" t="s">
        <v>57</v>
      </c>
      <c r="F45" s="2" t="s">
        <v>58</v>
      </c>
      <c r="G45" s="2">
        <v>4.5</v>
      </c>
      <c r="H45" s="2" t="s">
        <v>14</v>
      </c>
      <c r="I45" s="5">
        <v>50</v>
      </c>
      <c r="J45" s="6">
        <v>100</v>
      </c>
      <c r="K45" s="6">
        <v>300</v>
      </c>
      <c r="L45" s="6">
        <v>600</v>
      </c>
      <c r="M45" s="5">
        <v>2</v>
      </c>
      <c r="N45" s="5"/>
      <c r="O45" s="5">
        <v>10</v>
      </c>
      <c r="P45" s="5" t="s">
        <v>752</v>
      </c>
      <c r="Q45" s="5">
        <v>1</v>
      </c>
    </row>
    <row r="46" spans="1:18" x14ac:dyDescent="0.25">
      <c r="A46" s="2" t="s">
        <v>627</v>
      </c>
      <c r="B46" s="2" t="s">
        <v>270</v>
      </c>
      <c r="C46" s="2" t="s">
        <v>729</v>
      </c>
      <c r="D46" s="2" t="s">
        <v>729</v>
      </c>
      <c r="E46" s="2" t="s">
        <v>84</v>
      </c>
      <c r="F46" s="2" t="s">
        <v>83</v>
      </c>
      <c r="G46" s="2">
        <v>5.2</v>
      </c>
      <c r="H46" s="2" t="s">
        <v>46</v>
      </c>
      <c r="I46" s="5">
        <v>75</v>
      </c>
      <c r="J46" s="6">
        <v>150</v>
      </c>
      <c r="K46" s="6">
        <v>450</v>
      </c>
      <c r="L46" s="6">
        <v>900</v>
      </c>
      <c r="M46" s="5">
        <v>2</v>
      </c>
      <c r="N46" s="5"/>
      <c r="O46" s="5">
        <v>5</v>
      </c>
      <c r="P46" s="5" t="s">
        <v>749</v>
      </c>
      <c r="Q46" s="5">
        <v>1</v>
      </c>
    </row>
    <row r="47" spans="1:18" x14ac:dyDescent="0.25">
      <c r="A47" s="2" t="s">
        <v>622</v>
      </c>
      <c r="B47" s="2" t="s">
        <v>271</v>
      </c>
      <c r="C47" s="2" t="s">
        <v>729</v>
      </c>
      <c r="D47" s="2" t="s">
        <v>729</v>
      </c>
      <c r="E47" s="2" t="s">
        <v>84</v>
      </c>
      <c r="F47" s="2" t="s">
        <v>83</v>
      </c>
      <c r="G47" s="2">
        <v>8.6</v>
      </c>
      <c r="H47" s="2" t="s">
        <v>46</v>
      </c>
      <c r="I47" s="5">
        <v>100</v>
      </c>
      <c r="J47" s="6">
        <v>200</v>
      </c>
      <c r="K47" s="6">
        <v>600</v>
      </c>
      <c r="L47" s="6">
        <v>1200</v>
      </c>
      <c r="M47" s="5">
        <v>1</v>
      </c>
      <c r="N47" s="5">
        <v>8</v>
      </c>
      <c r="O47" s="5">
        <v>50</v>
      </c>
      <c r="P47" s="5">
        <v>62</v>
      </c>
      <c r="Q47" s="5">
        <v>15</v>
      </c>
    </row>
    <row r="48" spans="1:18" x14ac:dyDescent="0.25">
      <c r="A48" s="2" t="s">
        <v>625</v>
      </c>
      <c r="B48" s="2" t="s">
        <v>272</v>
      </c>
      <c r="C48" s="2" t="s">
        <v>729</v>
      </c>
      <c r="D48" s="2" t="s">
        <v>729</v>
      </c>
      <c r="E48" s="2" t="s">
        <v>86</v>
      </c>
      <c r="F48" s="2" t="s">
        <v>87</v>
      </c>
      <c r="G48" s="2">
        <v>1.28</v>
      </c>
      <c r="H48" s="2" t="s">
        <v>33</v>
      </c>
      <c r="I48" s="5">
        <v>8</v>
      </c>
      <c r="J48" s="6">
        <v>16</v>
      </c>
      <c r="K48" s="6">
        <v>50</v>
      </c>
      <c r="L48" s="6">
        <v>100</v>
      </c>
      <c r="M48" s="5">
        <v>2</v>
      </c>
      <c r="N48" s="5">
        <v>10</v>
      </c>
      <c r="O48" s="5">
        <v>20</v>
      </c>
      <c r="P48" s="9" t="s">
        <v>773</v>
      </c>
      <c r="Q48" s="5">
        <v>10</v>
      </c>
    </row>
    <row r="49" spans="1:17" x14ac:dyDescent="0.25">
      <c r="A49" s="2" t="s">
        <v>623</v>
      </c>
      <c r="B49" s="2" t="s">
        <v>273</v>
      </c>
      <c r="C49" s="2" t="s">
        <v>729</v>
      </c>
      <c r="D49" s="2" t="s">
        <v>729</v>
      </c>
      <c r="E49" s="2" t="s">
        <v>72</v>
      </c>
      <c r="F49" s="2" t="s">
        <v>73</v>
      </c>
      <c r="G49" s="2">
        <v>4.4000000000000004</v>
      </c>
      <c r="H49" s="2" t="s">
        <v>46</v>
      </c>
      <c r="I49" s="5">
        <v>50</v>
      </c>
      <c r="J49" s="6">
        <v>100</v>
      </c>
      <c r="K49" s="6">
        <v>300</v>
      </c>
      <c r="L49" s="6">
        <v>600</v>
      </c>
      <c r="M49" s="5">
        <v>2</v>
      </c>
      <c r="N49" s="5">
        <v>10</v>
      </c>
      <c r="O49" s="5">
        <v>30</v>
      </c>
      <c r="P49" s="7" t="s">
        <v>744</v>
      </c>
      <c r="Q49" s="5">
        <v>10</v>
      </c>
    </row>
    <row r="50" spans="1:17" x14ac:dyDescent="0.25">
      <c r="A50" s="2" t="s">
        <v>623</v>
      </c>
      <c r="B50" s="2" t="s">
        <v>274</v>
      </c>
      <c r="C50" s="2" t="s">
        <v>729</v>
      </c>
      <c r="D50" s="2" t="s">
        <v>729</v>
      </c>
      <c r="E50" s="2" t="s">
        <v>15</v>
      </c>
      <c r="F50" s="2" t="s">
        <v>16</v>
      </c>
      <c r="G50" s="2">
        <v>3.4</v>
      </c>
      <c r="H50" s="2" t="s">
        <v>9</v>
      </c>
      <c r="I50" s="5">
        <v>50</v>
      </c>
      <c r="J50" s="6">
        <v>100</v>
      </c>
      <c r="K50" s="6">
        <v>300</v>
      </c>
      <c r="L50" s="6">
        <v>600</v>
      </c>
      <c r="M50" s="5">
        <v>2</v>
      </c>
      <c r="N50" s="5">
        <v>10</v>
      </c>
      <c r="O50" s="5">
        <v>30</v>
      </c>
      <c r="P50" s="7" t="s">
        <v>766</v>
      </c>
      <c r="Q50" s="5">
        <v>10</v>
      </c>
    </row>
    <row r="51" spans="1:17" x14ac:dyDescent="0.25">
      <c r="A51" s="2" t="s">
        <v>623</v>
      </c>
      <c r="B51" s="2" t="s">
        <v>275</v>
      </c>
      <c r="C51" s="2" t="s">
        <v>729</v>
      </c>
      <c r="D51" s="2" t="s">
        <v>729</v>
      </c>
      <c r="E51" s="2" t="s">
        <v>15</v>
      </c>
      <c r="F51" s="2" t="s">
        <v>16</v>
      </c>
      <c r="G51" s="2">
        <v>3.4</v>
      </c>
      <c r="H51" s="2" t="s">
        <v>9</v>
      </c>
      <c r="I51" s="5">
        <v>41</v>
      </c>
      <c r="J51" s="6">
        <v>83</v>
      </c>
      <c r="K51" s="6">
        <v>250</v>
      </c>
      <c r="L51" s="6">
        <v>500</v>
      </c>
      <c r="M51" s="5">
        <v>2</v>
      </c>
      <c r="N51" s="5">
        <v>10</v>
      </c>
      <c r="O51" s="5">
        <v>30</v>
      </c>
      <c r="P51" s="9" t="s">
        <v>774</v>
      </c>
      <c r="Q51" s="5">
        <v>10</v>
      </c>
    </row>
    <row r="52" spans="1:17" x14ac:dyDescent="0.25">
      <c r="A52" s="2" t="s">
        <v>622</v>
      </c>
      <c r="B52" s="2" t="s">
        <v>276</v>
      </c>
      <c r="C52" s="2" t="s">
        <v>729</v>
      </c>
      <c r="D52" s="2" t="s">
        <v>729</v>
      </c>
      <c r="E52" s="2" t="s">
        <v>72</v>
      </c>
      <c r="F52" s="2" t="s">
        <v>73</v>
      </c>
      <c r="G52" s="2">
        <v>6.1509999999999998</v>
      </c>
      <c r="H52" s="2" t="s">
        <v>46</v>
      </c>
      <c r="I52" s="5">
        <v>100</v>
      </c>
      <c r="J52" s="6">
        <v>200</v>
      </c>
      <c r="K52" s="6">
        <v>600</v>
      </c>
      <c r="L52" s="6">
        <v>1200</v>
      </c>
      <c r="M52" s="5"/>
      <c r="N52" s="5">
        <v>5</v>
      </c>
      <c r="O52" s="5">
        <v>50</v>
      </c>
      <c r="P52" s="7" t="s">
        <v>775</v>
      </c>
      <c r="Q52" s="5">
        <v>10</v>
      </c>
    </row>
    <row r="53" spans="1:17" x14ac:dyDescent="0.25">
      <c r="A53" s="2" t="s">
        <v>621</v>
      </c>
      <c r="B53" s="2" t="s">
        <v>277</v>
      </c>
      <c r="C53" s="2" t="s">
        <v>729</v>
      </c>
      <c r="D53" s="2" t="s">
        <v>729</v>
      </c>
      <c r="E53" s="2" t="s">
        <v>91</v>
      </c>
      <c r="F53" s="2" t="s">
        <v>92</v>
      </c>
      <c r="G53" s="2">
        <v>4.7</v>
      </c>
      <c r="H53" s="2" t="s">
        <v>46</v>
      </c>
      <c r="I53" s="5">
        <v>83</v>
      </c>
      <c r="J53" s="6">
        <v>166</v>
      </c>
      <c r="K53" s="6">
        <v>500</v>
      </c>
      <c r="L53" s="6">
        <v>1000</v>
      </c>
      <c r="M53" s="5">
        <v>2</v>
      </c>
      <c r="N53" s="5"/>
      <c r="O53" s="5">
        <v>5</v>
      </c>
      <c r="P53" s="5" t="s">
        <v>752</v>
      </c>
      <c r="Q53" s="5">
        <v>1</v>
      </c>
    </row>
    <row r="54" spans="1:17" x14ac:dyDescent="0.25">
      <c r="A54" s="2" t="s">
        <v>620</v>
      </c>
      <c r="B54" s="2" t="s">
        <v>278</v>
      </c>
      <c r="C54" s="2" t="s">
        <v>729</v>
      </c>
      <c r="D54" s="2" t="s">
        <v>729</v>
      </c>
      <c r="E54" s="2" t="s">
        <v>205</v>
      </c>
      <c r="F54" s="2" t="s">
        <v>206</v>
      </c>
      <c r="G54" s="2">
        <v>7</v>
      </c>
      <c r="H54" s="2" t="s">
        <v>21</v>
      </c>
      <c r="I54" s="5">
        <v>100</v>
      </c>
      <c r="J54" s="6">
        <v>200</v>
      </c>
      <c r="K54" s="6">
        <v>600</v>
      </c>
      <c r="L54" s="6">
        <v>1200</v>
      </c>
      <c r="M54" s="5">
        <v>1</v>
      </c>
      <c r="N54" s="5"/>
      <c r="O54" s="5">
        <v>5</v>
      </c>
      <c r="P54" s="5" t="s">
        <v>752</v>
      </c>
      <c r="Q54" s="5">
        <v>1</v>
      </c>
    </row>
    <row r="55" spans="1:17" x14ac:dyDescent="0.25">
      <c r="A55" s="2" t="s">
        <v>628</v>
      </c>
      <c r="B55" s="2" t="s">
        <v>279</v>
      </c>
      <c r="C55" s="2" t="s">
        <v>729</v>
      </c>
      <c r="D55" s="2" t="s">
        <v>729</v>
      </c>
      <c r="E55" s="2" t="s">
        <v>106</v>
      </c>
      <c r="F55" s="2" t="s">
        <v>107</v>
      </c>
      <c r="G55" s="2">
        <v>0.95</v>
      </c>
      <c r="H55" s="2" t="s">
        <v>33</v>
      </c>
      <c r="I55" s="5">
        <v>2</v>
      </c>
      <c r="J55" s="6">
        <v>5</v>
      </c>
      <c r="K55" s="6">
        <v>15</v>
      </c>
      <c r="L55" s="6">
        <v>30</v>
      </c>
      <c r="M55" s="5">
        <v>2</v>
      </c>
      <c r="N55" s="5"/>
      <c r="O55" s="5">
        <v>6</v>
      </c>
      <c r="P55" s="5" t="s">
        <v>749</v>
      </c>
      <c r="Q55" s="5">
        <v>1</v>
      </c>
    </row>
    <row r="56" spans="1:17" x14ac:dyDescent="0.25">
      <c r="A56" s="2" t="s">
        <v>628</v>
      </c>
      <c r="B56" s="2" t="s">
        <v>280</v>
      </c>
      <c r="C56" s="2" t="s">
        <v>729</v>
      </c>
      <c r="D56" s="2" t="s">
        <v>729</v>
      </c>
      <c r="E56" s="2" t="s">
        <v>126</v>
      </c>
      <c r="F56" s="2" t="s">
        <v>281</v>
      </c>
      <c r="G56" s="2">
        <v>1.67</v>
      </c>
      <c r="H56" s="2" t="s">
        <v>25</v>
      </c>
      <c r="I56" s="5">
        <v>12</v>
      </c>
      <c r="J56" s="6">
        <v>25</v>
      </c>
      <c r="K56" s="6">
        <v>75</v>
      </c>
      <c r="L56" s="6">
        <v>150</v>
      </c>
      <c r="M56" s="5">
        <v>3</v>
      </c>
      <c r="N56" s="5"/>
      <c r="O56" s="5">
        <v>6</v>
      </c>
      <c r="P56" s="5" t="s">
        <v>749</v>
      </c>
      <c r="Q56" s="5">
        <v>1</v>
      </c>
    </row>
    <row r="57" spans="1:17" x14ac:dyDescent="0.25">
      <c r="A57" s="2" t="s">
        <v>623</v>
      </c>
      <c r="B57" s="2" t="s">
        <v>282</v>
      </c>
      <c r="C57" s="2" t="s">
        <v>729</v>
      </c>
      <c r="D57" s="2" t="s">
        <v>729</v>
      </c>
      <c r="E57" s="2" t="s">
        <v>15</v>
      </c>
      <c r="F57" s="2" t="s">
        <v>16</v>
      </c>
      <c r="G57" s="2">
        <v>3.5</v>
      </c>
      <c r="H57" s="2" t="s">
        <v>9</v>
      </c>
      <c r="I57" s="5">
        <v>50</v>
      </c>
      <c r="J57" s="6">
        <v>100</v>
      </c>
      <c r="K57" s="6">
        <v>300</v>
      </c>
      <c r="L57" s="6">
        <v>600</v>
      </c>
      <c r="M57" s="5">
        <v>2</v>
      </c>
      <c r="N57" s="5"/>
      <c r="O57" s="5">
        <v>30</v>
      </c>
      <c r="P57" s="5" t="s">
        <v>755</v>
      </c>
      <c r="Q57" s="5">
        <v>1</v>
      </c>
    </row>
    <row r="58" spans="1:17" x14ac:dyDescent="0.25">
      <c r="A58" s="2" t="s">
        <v>623</v>
      </c>
      <c r="B58" s="2" t="s">
        <v>283</v>
      </c>
      <c r="C58" s="2" t="s">
        <v>729</v>
      </c>
      <c r="D58" s="2" t="s">
        <v>729</v>
      </c>
      <c r="E58" s="2" t="s">
        <v>15</v>
      </c>
      <c r="F58" s="2" t="s">
        <v>16</v>
      </c>
      <c r="G58" s="2">
        <v>2.78</v>
      </c>
      <c r="H58" s="2" t="s">
        <v>9</v>
      </c>
      <c r="I58" s="5">
        <v>50</v>
      </c>
      <c r="J58" s="6">
        <v>100</v>
      </c>
      <c r="K58" s="6">
        <v>300</v>
      </c>
      <c r="L58" s="6">
        <v>600</v>
      </c>
      <c r="M58" s="5">
        <v>2</v>
      </c>
      <c r="N58" s="5"/>
      <c r="O58" s="5">
        <v>30</v>
      </c>
      <c r="P58" s="5">
        <v>1</v>
      </c>
      <c r="Q58" s="5">
        <v>1</v>
      </c>
    </row>
    <row r="59" spans="1:17" x14ac:dyDescent="0.25">
      <c r="A59" s="2" t="s">
        <v>628</v>
      </c>
      <c r="B59" s="2" t="s">
        <v>284</v>
      </c>
      <c r="C59" s="2" t="s">
        <v>729</v>
      </c>
      <c r="D59" s="2" t="s">
        <v>729</v>
      </c>
      <c r="E59" s="2" t="s">
        <v>285</v>
      </c>
      <c r="F59" s="2" t="s">
        <v>107</v>
      </c>
      <c r="G59" s="2">
        <v>1.1000000000000001</v>
      </c>
      <c r="H59" s="2" t="s">
        <v>33</v>
      </c>
      <c r="I59" s="5">
        <v>5</v>
      </c>
      <c r="J59" s="6">
        <v>10</v>
      </c>
      <c r="K59" s="6">
        <v>30</v>
      </c>
      <c r="L59" s="6">
        <v>60</v>
      </c>
      <c r="M59" s="5">
        <v>2</v>
      </c>
      <c r="N59" s="5"/>
      <c r="O59" s="5">
        <v>6</v>
      </c>
      <c r="P59" s="5" t="s">
        <v>756</v>
      </c>
      <c r="Q59" s="5">
        <v>1</v>
      </c>
    </row>
    <row r="60" spans="1:17" x14ac:dyDescent="0.25">
      <c r="A60" s="2" t="s">
        <v>628</v>
      </c>
      <c r="B60" s="2" t="s">
        <v>286</v>
      </c>
      <c r="C60" s="2" t="s">
        <v>729</v>
      </c>
      <c r="D60" s="2" t="s">
        <v>729</v>
      </c>
      <c r="E60" s="2" t="s">
        <v>118</v>
      </c>
      <c r="F60" s="2" t="s">
        <v>119</v>
      </c>
      <c r="G60" s="2">
        <v>1.3</v>
      </c>
      <c r="H60" s="2" t="s">
        <v>51</v>
      </c>
      <c r="I60" s="5">
        <v>5</v>
      </c>
      <c r="J60" s="6">
        <v>11</v>
      </c>
      <c r="K60" s="6">
        <v>35</v>
      </c>
      <c r="L60" s="6">
        <v>70</v>
      </c>
      <c r="M60" s="5">
        <v>3</v>
      </c>
      <c r="N60" s="5"/>
      <c r="O60" s="5">
        <v>6</v>
      </c>
      <c r="P60" s="5" t="s">
        <v>756</v>
      </c>
      <c r="Q60" s="5">
        <v>1</v>
      </c>
    </row>
    <row r="61" spans="1:17" x14ac:dyDescent="0.25">
      <c r="A61" s="2" t="s">
        <v>628</v>
      </c>
      <c r="B61" s="2" t="s">
        <v>287</v>
      </c>
      <c r="C61" s="2" t="s">
        <v>729</v>
      </c>
      <c r="D61" s="2" t="s">
        <v>729</v>
      </c>
      <c r="E61" s="2" t="s">
        <v>118</v>
      </c>
      <c r="F61" s="2" t="s">
        <v>119</v>
      </c>
      <c r="G61" s="2">
        <v>0.93500000000000005</v>
      </c>
      <c r="H61" s="2" t="s">
        <v>51</v>
      </c>
      <c r="I61" s="5">
        <v>2</v>
      </c>
      <c r="J61" s="6">
        <v>4</v>
      </c>
      <c r="K61" s="6">
        <v>12</v>
      </c>
      <c r="L61" s="6">
        <v>24</v>
      </c>
      <c r="M61" s="5">
        <v>3</v>
      </c>
      <c r="N61" s="5"/>
      <c r="O61" s="5">
        <v>6</v>
      </c>
      <c r="P61" s="5" t="s">
        <v>756</v>
      </c>
      <c r="Q61" s="5">
        <v>1</v>
      </c>
    </row>
    <row r="62" spans="1:17" x14ac:dyDescent="0.25">
      <c r="A62" s="2" t="s">
        <v>619</v>
      </c>
      <c r="B62" s="2" t="s">
        <v>288</v>
      </c>
      <c r="C62" s="2" t="s">
        <v>729</v>
      </c>
      <c r="D62" s="2" t="s">
        <v>729</v>
      </c>
      <c r="E62" s="2" t="s">
        <v>132</v>
      </c>
      <c r="F62" s="2" t="s">
        <v>127</v>
      </c>
      <c r="G62" s="2">
        <v>0.75</v>
      </c>
      <c r="H62" s="2" t="s">
        <v>51</v>
      </c>
      <c r="I62" s="5">
        <v>6</v>
      </c>
      <c r="J62" s="6">
        <v>13</v>
      </c>
      <c r="K62" s="6">
        <v>40</v>
      </c>
      <c r="L62" s="6">
        <v>80</v>
      </c>
      <c r="M62" s="5">
        <v>3</v>
      </c>
      <c r="N62" s="5"/>
      <c r="O62" s="5">
        <v>7</v>
      </c>
      <c r="P62" s="5" t="s">
        <v>752</v>
      </c>
      <c r="Q62" s="5">
        <v>1</v>
      </c>
    </row>
    <row r="63" spans="1:17" x14ac:dyDescent="0.25">
      <c r="A63" s="2" t="s">
        <v>628</v>
      </c>
      <c r="B63" s="2" t="s">
        <v>289</v>
      </c>
      <c r="C63" s="2" t="s">
        <v>729</v>
      </c>
      <c r="D63" s="2" t="s">
        <v>729</v>
      </c>
      <c r="E63" s="2" t="s">
        <v>285</v>
      </c>
      <c r="F63" s="2" t="s">
        <v>107</v>
      </c>
      <c r="G63" s="2">
        <v>0.57999999999999996</v>
      </c>
      <c r="H63" s="2" t="s">
        <v>33</v>
      </c>
      <c r="I63" s="5">
        <v>2</v>
      </c>
      <c r="J63" s="6">
        <v>4</v>
      </c>
      <c r="K63" s="6">
        <v>12</v>
      </c>
      <c r="L63" s="6">
        <v>24</v>
      </c>
      <c r="M63" s="5">
        <v>3</v>
      </c>
      <c r="N63" s="5"/>
      <c r="O63" s="5">
        <v>6</v>
      </c>
      <c r="P63" s="5" t="s">
        <v>756</v>
      </c>
      <c r="Q63" s="5">
        <v>1</v>
      </c>
    </row>
    <row r="64" spans="1:17" x14ac:dyDescent="0.25">
      <c r="A64" s="2" t="s">
        <v>619</v>
      </c>
      <c r="B64" s="2" t="s">
        <v>290</v>
      </c>
      <c r="C64" s="2" t="s">
        <v>729</v>
      </c>
      <c r="D64" s="2" t="s">
        <v>729</v>
      </c>
      <c r="E64" s="2" t="s">
        <v>96</v>
      </c>
      <c r="F64" s="2" t="s">
        <v>260</v>
      </c>
      <c r="G64" s="2">
        <v>0.61</v>
      </c>
      <c r="H64" s="2" t="s">
        <v>33</v>
      </c>
      <c r="I64" s="5">
        <v>10</v>
      </c>
      <c r="J64" s="6">
        <v>20</v>
      </c>
      <c r="K64" s="6">
        <v>60</v>
      </c>
      <c r="L64" s="6">
        <v>120</v>
      </c>
      <c r="M64" s="5">
        <v>3</v>
      </c>
      <c r="N64" s="5"/>
      <c r="O64" s="5">
        <v>7</v>
      </c>
      <c r="P64" s="5" t="s">
        <v>752</v>
      </c>
      <c r="Q64" s="5">
        <v>1</v>
      </c>
    </row>
    <row r="65" spans="1:17" x14ac:dyDescent="0.25">
      <c r="A65" s="2" t="s">
        <v>623</v>
      </c>
      <c r="B65" s="2" t="s">
        <v>291</v>
      </c>
      <c r="C65" s="2" t="s">
        <v>729</v>
      </c>
      <c r="D65" s="2" t="s">
        <v>729</v>
      </c>
      <c r="E65" s="2" t="s">
        <v>15</v>
      </c>
      <c r="F65" s="2" t="s">
        <v>16</v>
      </c>
      <c r="G65" s="2">
        <v>3.1</v>
      </c>
      <c r="H65" s="2" t="s">
        <v>9</v>
      </c>
      <c r="I65" s="5">
        <v>41</v>
      </c>
      <c r="J65" s="6">
        <v>83</v>
      </c>
      <c r="K65" s="6">
        <v>250</v>
      </c>
      <c r="L65" s="6">
        <v>500</v>
      </c>
      <c r="M65" s="5">
        <v>2</v>
      </c>
      <c r="N65" s="5">
        <v>10</v>
      </c>
      <c r="O65" s="5">
        <v>30</v>
      </c>
      <c r="P65" s="7" t="s">
        <v>767</v>
      </c>
      <c r="Q65" s="5">
        <v>10</v>
      </c>
    </row>
    <row r="66" spans="1:17" x14ac:dyDescent="0.25">
      <c r="A66" s="2" t="s">
        <v>623</v>
      </c>
      <c r="B66" s="2" t="s">
        <v>292</v>
      </c>
      <c r="C66" s="2" t="s">
        <v>729</v>
      </c>
      <c r="D66" s="2" t="s">
        <v>729</v>
      </c>
      <c r="E66" s="2" t="s">
        <v>15</v>
      </c>
      <c r="F66" s="2" t="s">
        <v>16</v>
      </c>
      <c r="G66" s="2">
        <v>2.6309999999999998</v>
      </c>
      <c r="H66" s="2" t="s">
        <v>9</v>
      </c>
      <c r="I66" s="5">
        <v>41</v>
      </c>
      <c r="J66" s="6">
        <v>83</v>
      </c>
      <c r="K66" s="6">
        <v>250</v>
      </c>
      <c r="L66" s="6">
        <v>500</v>
      </c>
      <c r="M66" s="5">
        <v>2</v>
      </c>
      <c r="N66" s="5">
        <v>10</v>
      </c>
      <c r="O66" s="5">
        <v>30</v>
      </c>
      <c r="P66" s="7" t="s">
        <v>776</v>
      </c>
      <c r="Q66" s="5">
        <v>10</v>
      </c>
    </row>
    <row r="67" spans="1:17" x14ac:dyDescent="0.25">
      <c r="A67" s="2" t="s">
        <v>622</v>
      </c>
      <c r="B67" s="2" t="s">
        <v>293</v>
      </c>
      <c r="C67" s="2" t="s">
        <v>729</v>
      </c>
      <c r="D67" s="2" t="s">
        <v>729</v>
      </c>
      <c r="E67" s="2" t="s">
        <v>15</v>
      </c>
      <c r="F67" s="2" t="s">
        <v>16</v>
      </c>
      <c r="G67" s="2">
        <v>3.5830000000000002</v>
      </c>
      <c r="H67" s="2" t="s">
        <v>9</v>
      </c>
      <c r="I67" s="5">
        <v>58</v>
      </c>
      <c r="J67" s="6">
        <v>116</v>
      </c>
      <c r="K67" s="6">
        <v>350</v>
      </c>
      <c r="L67" s="6">
        <v>700</v>
      </c>
      <c r="M67" s="5">
        <v>2</v>
      </c>
      <c r="N67" s="5">
        <v>10</v>
      </c>
      <c r="O67" s="5">
        <v>50</v>
      </c>
      <c r="P67" s="7" t="s">
        <v>776</v>
      </c>
      <c r="Q67" s="5">
        <v>10</v>
      </c>
    </row>
    <row r="68" spans="1:17" x14ac:dyDescent="0.25">
      <c r="A68" s="2" t="s">
        <v>623</v>
      </c>
      <c r="B68" s="2" t="s">
        <v>294</v>
      </c>
      <c r="C68" s="2" t="s">
        <v>729</v>
      </c>
      <c r="D68" s="2" t="s">
        <v>729</v>
      </c>
      <c r="E68" s="2" t="s">
        <v>15</v>
      </c>
      <c r="F68" s="2" t="s">
        <v>16</v>
      </c>
      <c r="G68" s="2">
        <v>3.9</v>
      </c>
      <c r="H68" s="2" t="s">
        <v>9</v>
      </c>
      <c r="I68" s="5">
        <v>50</v>
      </c>
      <c r="J68" s="6">
        <v>100</v>
      </c>
      <c r="K68" s="6">
        <v>300</v>
      </c>
      <c r="L68" s="6">
        <v>600</v>
      </c>
      <c r="M68" s="5">
        <v>2</v>
      </c>
      <c r="N68" s="5">
        <v>3</v>
      </c>
      <c r="O68" s="5">
        <v>30</v>
      </c>
      <c r="P68" s="9" t="s">
        <v>777</v>
      </c>
      <c r="Q68" s="5">
        <v>3</v>
      </c>
    </row>
    <row r="69" spans="1:17" x14ac:dyDescent="0.25">
      <c r="A69" s="2" t="s">
        <v>623</v>
      </c>
      <c r="B69" s="2" t="s">
        <v>295</v>
      </c>
      <c r="C69" s="2" t="s">
        <v>729</v>
      </c>
      <c r="D69" s="2" t="s">
        <v>729</v>
      </c>
      <c r="E69" s="2" t="s">
        <v>15</v>
      </c>
      <c r="F69" s="2" t="s">
        <v>16</v>
      </c>
      <c r="G69" s="2">
        <v>2.6760000000000002</v>
      </c>
      <c r="H69" s="2" t="s">
        <v>9</v>
      </c>
      <c r="I69" s="5">
        <v>50</v>
      </c>
      <c r="J69" s="6">
        <v>100</v>
      </c>
      <c r="K69" s="6">
        <v>300</v>
      </c>
      <c r="L69" s="6">
        <v>600</v>
      </c>
      <c r="M69" s="5">
        <v>2</v>
      </c>
      <c r="N69" s="5">
        <v>3</v>
      </c>
      <c r="O69" s="5">
        <v>30</v>
      </c>
      <c r="P69" s="9" t="s">
        <v>777</v>
      </c>
      <c r="Q69" s="5">
        <v>3</v>
      </c>
    </row>
    <row r="70" spans="1:17" x14ac:dyDescent="0.25">
      <c r="A70" s="2" t="s">
        <v>623</v>
      </c>
      <c r="B70" s="2" t="s">
        <v>296</v>
      </c>
      <c r="C70" s="2" t="s">
        <v>729</v>
      </c>
      <c r="D70" s="2" t="s">
        <v>729</v>
      </c>
      <c r="E70" s="2" t="s">
        <v>15</v>
      </c>
      <c r="F70" s="2" t="s">
        <v>16</v>
      </c>
      <c r="G70" s="2">
        <v>2.7</v>
      </c>
      <c r="H70" s="2" t="s">
        <v>9</v>
      </c>
      <c r="I70" s="5">
        <v>50</v>
      </c>
      <c r="J70" s="6">
        <v>100</v>
      </c>
      <c r="K70" s="6">
        <v>300</v>
      </c>
      <c r="L70" s="6">
        <v>600</v>
      </c>
      <c r="M70" s="5">
        <v>2</v>
      </c>
      <c r="N70" s="5">
        <v>3</v>
      </c>
      <c r="O70" s="5">
        <v>30</v>
      </c>
      <c r="P70" s="9" t="s">
        <v>778</v>
      </c>
      <c r="Q70" s="5">
        <v>3</v>
      </c>
    </row>
    <row r="71" spans="1:17" x14ac:dyDescent="0.25">
      <c r="A71" s="2" t="s">
        <v>619</v>
      </c>
      <c r="B71" s="2" t="s">
        <v>297</v>
      </c>
      <c r="C71" s="2" t="s">
        <v>729</v>
      </c>
      <c r="D71" s="2" t="s">
        <v>729</v>
      </c>
      <c r="E71" s="2" t="s">
        <v>132</v>
      </c>
      <c r="F71" s="2" t="s">
        <v>127</v>
      </c>
      <c r="G71" s="2">
        <v>1.08</v>
      </c>
      <c r="H71" s="2" t="s">
        <v>51</v>
      </c>
      <c r="I71" s="5">
        <v>5</v>
      </c>
      <c r="J71" s="6">
        <v>11</v>
      </c>
      <c r="K71" s="6">
        <v>35</v>
      </c>
      <c r="L71" s="6">
        <v>70</v>
      </c>
      <c r="M71" s="5">
        <v>2</v>
      </c>
      <c r="N71" s="5"/>
      <c r="O71" s="5">
        <v>7</v>
      </c>
      <c r="P71" s="5" t="s">
        <v>752</v>
      </c>
      <c r="Q71" s="5">
        <v>1</v>
      </c>
    </row>
    <row r="72" spans="1:17" x14ac:dyDescent="0.25">
      <c r="A72" s="2" t="s">
        <v>625</v>
      </c>
      <c r="B72" s="2" t="s">
        <v>298</v>
      </c>
      <c r="C72" s="2" t="s">
        <v>729</v>
      </c>
      <c r="D72" s="2" t="s">
        <v>729</v>
      </c>
      <c r="E72" s="2" t="s">
        <v>132</v>
      </c>
      <c r="F72" s="2" t="s">
        <v>127</v>
      </c>
      <c r="G72" s="2">
        <v>3.47</v>
      </c>
      <c r="H72" s="2" t="s">
        <v>51</v>
      </c>
      <c r="I72" s="5">
        <v>8</v>
      </c>
      <c r="J72" s="6">
        <v>16</v>
      </c>
      <c r="K72" s="6">
        <v>50</v>
      </c>
      <c r="L72" s="6">
        <v>100</v>
      </c>
      <c r="M72" s="5"/>
      <c r="N72" s="5">
        <v>3</v>
      </c>
      <c r="O72" s="5">
        <v>30</v>
      </c>
      <c r="P72" s="5">
        <v>35</v>
      </c>
      <c r="Q72" s="5">
        <v>5</v>
      </c>
    </row>
    <row r="73" spans="1:17" x14ac:dyDescent="0.25">
      <c r="A73" s="2" t="s">
        <v>623</v>
      </c>
      <c r="B73" s="2" t="s">
        <v>299</v>
      </c>
      <c r="C73" s="2" t="s">
        <v>729</v>
      </c>
      <c r="D73" s="2" t="s">
        <v>729</v>
      </c>
      <c r="E73" s="2" t="s">
        <v>15</v>
      </c>
      <c r="F73" s="2" t="s">
        <v>16</v>
      </c>
      <c r="G73" s="2">
        <v>2.94</v>
      </c>
      <c r="H73" s="2" t="s">
        <v>9</v>
      </c>
      <c r="I73" s="5">
        <v>50</v>
      </c>
      <c r="J73" s="6">
        <v>100</v>
      </c>
      <c r="K73" s="6">
        <v>300</v>
      </c>
      <c r="L73" s="6">
        <v>600</v>
      </c>
      <c r="M73" s="5">
        <v>2</v>
      </c>
      <c r="N73" s="5">
        <v>3</v>
      </c>
      <c r="O73" s="5">
        <v>30</v>
      </c>
      <c r="P73" s="9" t="s">
        <v>779</v>
      </c>
      <c r="Q73" s="5">
        <v>3</v>
      </c>
    </row>
    <row r="74" spans="1:17" x14ac:dyDescent="0.25">
      <c r="A74" s="2" t="s">
        <v>623</v>
      </c>
      <c r="B74" s="2" t="s">
        <v>300</v>
      </c>
      <c r="C74" s="2" t="s">
        <v>729</v>
      </c>
      <c r="D74" s="2" t="s">
        <v>729</v>
      </c>
      <c r="E74" s="2" t="s">
        <v>15</v>
      </c>
      <c r="F74" s="2" t="s">
        <v>16</v>
      </c>
      <c r="G74" s="2">
        <v>2.6080000000000001</v>
      </c>
      <c r="H74" s="2" t="s">
        <v>9</v>
      </c>
      <c r="I74" s="5">
        <v>50</v>
      </c>
      <c r="J74" s="6">
        <v>100</v>
      </c>
      <c r="K74" s="6">
        <v>300</v>
      </c>
      <c r="L74" s="6">
        <v>600</v>
      </c>
      <c r="M74" s="5">
        <v>2</v>
      </c>
      <c r="N74" s="5">
        <v>10</v>
      </c>
      <c r="O74" s="5">
        <v>30</v>
      </c>
      <c r="P74" s="9" t="s">
        <v>777</v>
      </c>
      <c r="Q74" s="5">
        <v>10</v>
      </c>
    </row>
    <row r="75" spans="1:17" x14ac:dyDescent="0.25">
      <c r="A75" s="2" t="s">
        <v>625</v>
      </c>
      <c r="B75" s="2" t="s">
        <v>301</v>
      </c>
      <c r="C75" s="2" t="s">
        <v>729</v>
      </c>
      <c r="D75" s="2" t="s">
        <v>729</v>
      </c>
      <c r="E75" s="2" t="s">
        <v>105</v>
      </c>
      <c r="F75" s="2" t="s">
        <v>102</v>
      </c>
      <c r="G75" s="2">
        <v>3.0619999999999998</v>
      </c>
      <c r="H75" s="2" t="s">
        <v>33</v>
      </c>
      <c r="I75" s="5">
        <v>10</v>
      </c>
      <c r="J75" s="6">
        <v>20</v>
      </c>
      <c r="K75" s="6">
        <v>60</v>
      </c>
      <c r="L75" s="6">
        <v>120</v>
      </c>
      <c r="M75" s="5">
        <v>1</v>
      </c>
      <c r="N75" s="5">
        <v>3</v>
      </c>
      <c r="O75" s="5">
        <v>30</v>
      </c>
      <c r="P75" s="9" t="s">
        <v>780</v>
      </c>
      <c r="Q75" s="5">
        <v>5</v>
      </c>
    </row>
    <row r="76" spans="1:17" x14ac:dyDescent="0.25">
      <c r="A76" s="2" t="s">
        <v>625</v>
      </c>
      <c r="B76" s="2" t="s">
        <v>302</v>
      </c>
      <c r="C76" s="2" t="s">
        <v>729</v>
      </c>
      <c r="D76" s="2" t="s">
        <v>729</v>
      </c>
      <c r="E76" s="2" t="s">
        <v>218</v>
      </c>
      <c r="F76" s="2" t="s">
        <v>102</v>
      </c>
      <c r="G76" s="2">
        <v>2.6080000000000001</v>
      </c>
      <c r="H76" s="2" t="s">
        <v>51</v>
      </c>
      <c r="I76" s="5">
        <v>16</v>
      </c>
      <c r="J76" s="6">
        <v>33</v>
      </c>
      <c r="K76" s="6">
        <v>100</v>
      </c>
      <c r="L76" s="6">
        <v>200</v>
      </c>
      <c r="M76" s="5">
        <v>1</v>
      </c>
      <c r="N76" s="5">
        <v>5</v>
      </c>
      <c r="O76" s="5">
        <v>30</v>
      </c>
      <c r="P76" s="9" t="s">
        <v>781</v>
      </c>
      <c r="Q76" s="5">
        <v>10</v>
      </c>
    </row>
    <row r="77" spans="1:17" x14ac:dyDescent="0.25">
      <c r="A77" s="2" t="s">
        <v>619</v>
      </c>
      <c r="B77" s="2" t="s">
        <v>303</v>
      </c>
      <c r="C77" s="2" t="s">
        <v>729</v>
      </c>
      <c r="D77" s="2" t="s">
        <v>729</v>
      </c>
      <c r="E77" s="2" t="s">
        <v>218</v>
      </c>
      <c r="F77" s="2" t="s">
        <v>102</v>
      </c>
      <c r="G77" s="2">
        <v>1.18</v>
      </c>
      <c r="H77" s="2" t="s">
        <v>51</v>
      </c>
      <c r="I77" s="5">
        <v>8</v>
      </c>
      <c r="J77" s="6">
        <v>16</v>
      </c>
      <c r="K77" s="6">
        <v>50</v>
      </c>
      <c r="L77" s="6">
        <v>100</v>
      </c>
      <c r="M77" s="5">
        <v>3</v>
      </c>
      <c r="N77" s="5"/>
      <c r="O77" s="5">
        <v>15</v>
      </c>
      <c r="P77" s="5" t="s">
        <v>752</v>
      </c>
      <c r="Q77" s="5">
        <v>1</v>
      </c>
    </row>
    <row r="78" spans="1:17" x14ac:dyDescent="0.25">
      <c r="A78" s="2" t="s">
        <v>622</v>
      </c>
      <c r="B78" s="2" t="s">
        <v>304</v>
      </c>
      <c r="C78" s="2" t="s">
        <v>729</v>
      </c>
      <c r="D78" s="2" t="s">
        <v>729</v>
      </c>
      <c r="E78" s="2" t="s">
        <v>171</v>
      </c>
      <c r="F78" s="2" t="s">
        <v>172</v>
      </c>
      <c r="G78" s="2">
        <v>46.7</v>
      </c>
      <c r="H78" s="2" t="s">
        <v>173</v>
      </c>
      <c r="I78" s="5">
        <v>333</v>
      </c>
      <c r="J78" s="6">
        <v>666</v>
      </c>
      <c r="K78" s="6">
        <v>2000</v>
      </c>
      <c r="L78" s="6">
        <v>4000</v>
      </c>
      <c r="M78" s="5"/>
      <c r="N78" s="5">
        <v>5</v>
      </c>
      <c r="O78" s="5">
        <v>50</v>
      </c>
      <c r="P78" s="5" t="s">
        <v>757</v>
      </c>
      <c r="Q78" s="5">
        <v>10</v>
      </c>
    </row>
    <row r="79" spans="1:17" x14ac:dyDescent="0.25">
      <c r="A79" s="2" t="s">
        <v>622</v>
      </c>
      <c r="B79" s="2" t="s">
        <v>305</v>
      </c>
      <c r="C79" s="2" t="s">
        <v>729</v>
      </c>
      <c r="D79" s="2" t="s">
        <v>729</v>
      </c>
      <c r="E79" s="2" t="s">
        <v>171</v>
      </c>
      <c r="F79" s="2" t="s">
        <v>172</v>
      </c>
      <c r="G79" s="2">
        <v>46.7</v>
      </c>
      <c r="H79" s="2" t="s">
        <v>173</v>
      </c>
      <c r="I79" s="5">
        <v>333</v>
      </c>
      <c r="J79" s="6">
        <v>666</v>
      </c>
      <c r="K79" s="6">
        <v>2000</v>
      </c>
      <c r="L79" s="6">
        <v>4000</v>
      </c>
      <c r="M79" s="5"/>
      <c r="N79" s="5">
        <v>5</v>
      </c>
      <c r="O79" s="5">
        <v>50</v>
      </c>
      <c r="P79" s="5" t="s">
        <v>757</v>
      </c>
      <c r="Q79" s="5">
        <v>10</v>
      </c>
    </row>
    <row r="80" spans="1:17" x14ac:dyDescent="0.25">
      <c r="A80" s="2" t="s">
        <v>627</v>
      </c>
      <c r="B80" s="2" t="s">
        <v>306</v>
      </c>
      <c r="C80" s="2" t="s">
        <v>729</v>
      </c>
      <c r="D80" s="2" t="s">
        <v>729</v>
      </c>
      <c r="E80" s="2" t="s">
        <v>132</v>
      </c>
      <c r="F80" s="2" t="s">
        <v>127</v>
      </c>
      <c r="G80" s="2">
        <v>3.74</v>
      </c>
      <c r="H80" s="2" t="s">
        <v>51</v>
      </c>
      <c r="I80" s="5">
        <v>33</v>
      </c>
      <c r="J80" s="6">
        <v>66</v>
      </c>
      <c r="K80" s="6">
        <v>200</v>
      </c>
      <c r="L80" s="6">
        <v>400</v>
      </c>
      <c r="M80" s="5">
        <v>1</v>
      </c>
      <c r="N80" s="5"/>
      <c r="O80" s="5">
        <v>11</v>
      </c>
      <c r="P80" s="5" t="s">
        <v>749</v>
      </c>
      <c r="Q80" s="5">
        <v>1</v>
      </c>
    </row>
    <row r="81" spans="1:18" x14ac:dyDescent="0.25">
      <c r="A81" s="2" t="s">
        <v>619</v>
      </c>
      <c r="B81" s="2" t="s">
        <v>307</v>
      </c>
      <c r="C81" s="2" t="s">
        <v>729</v>
      </c>
      <c r="D81" s="2" t="s">
        <v>729</v>
      </c>
      <c r="E81" s="2" t="s">
        <v>218</v>
      </c>
      <c r="F81" s="2" t="s">
        <v>102</v>
      </c>
      <c r="G81" s="2">
        <v>0.61599999999999999</v>
      </c>
      <c r="H81" s="2" t="s">
        <v>51</v>
      </c>
      <c r="I81" s="5">
        <v>8</v>
      </c>
      <c r="J81" s="6">
        <v>16</v>
      </c>
      <c r="K81" s="6">
        <v>50</v>
      </c>
      <c r="L81" s="6">
        <v>100</v>
      </c>
      <c r="M81" s="5">
        <v>5</v>
      </c>
      <c r="N81" s="5"/>
      <c r="O81" s="5">
        <v>12</v>
      </c>
      <c r="P81" s="5" t="s">
        <v>752</v>
      </c>
      <c r="Q81" s="5">
        <v>1</v>
      </c>
    </row>
    <row r="82" spans="1:18" x14ac:dyDescent="0.25">
      <c r="A82" s="2" t="s">
        <v>619</v>
      </c>
      <c r="B82" s="2" t="s">
        <v>308</v>
      </c>
      <c r="C82" s="2" t="s">
        <v>729</v>
      </c>
      <c r="D82" s="2" t="s">
        <v>729</v>
      </c>
      <c r="E82" s="2" t="s">
        <v>132</v>
      </c>
      <c r="F82" s="2" t="s">
        <v>127</v>
      </c>
      <c r="G82" s="2">
        <v>1.1499999999999999</v>
      </c>
      <c r="H82" s="2" t="s">
        <v>51</v>
      </c>
      <c r="I82" s="5">
        <v>0</v>
      </c>
      <c r="J82" s="6">
        <v>0</v>
      </c>
      <c r="L82" s="6">
        <v>0</v>
      </c>
      <c r="M82" s="5">
        <v>3</v>
      </c>
      <c r="N82" s="5"/>
      <c r="O82" s="5">
        <v>9</v>
      </c>
      <c r="P82" s="5" t="s">
        <v>752</v>
      </c>
      <c r="Q82" s="5">
        <v>1</v>
      </c>
    </row>
    <row r="83" spans="1:18" x14ac:dyDescent="0.25">
      <c r="A83" s="2" t="s">
        <v>620</v>
      </c>
      <c r="B83" s="2" t="s">
        <v>309</v>
      </c>
      <c r="C83" s="2" t="s">
        <v>729</v>
      </c>
      <c r="D83" s="2" t="s">
        <v>729</v>
      </c>
      <c r="E83" s="2" t="s">
        <v>72</v>
      </c>
      <c r="F83" s="2" t="s">
        <v>73</v>
      </c>
      <c r="G83" s="2">
        <v>7.2</v>
      </c>
      <c r="H83" s="2" t="s">
        <v>46</v>
      </c>
      <c r="I83" s="5">
        <v>100</v>
      </c>
      <c r="J83" s="6">
        <v>200</v>
      </c>
      <c r="K83" s="6">
        <v>600</v>
      </c>
      <c r="L83" s="6">
        <v>1200</v>
      </c>
      <c r="M83" s="5">
        <v>1</v>
      </c>
      <c r="N83" s="5"/>
      <c r="O83" s="5">
        <v>1</v>
      </c>
      <c r="P83" s="5" t="s">
        <v>749</v>
      </c>
      <c r="Q83" s="5">
        <v>1</v>
      </c>
    </row>
    <row r="84" spans="1:18" x14ac:dyDescent="0.25">
      <c r="A84" s="2" t="s">
        <v>623</v>
      </c>
      <c r="B84" s="2" t="s">
        <v>310</v>
      </c>
      <c r="C84" s="2" t="s">
        <v>729</v>
      </c>
      <c r="D84" s="2" t="s">
        <v>729</v>
      </c>
      <c r="E84" s="2" t="s">
        <v>15</v>
      </c>
      <c r="F84" s="2" t="s">
        <v>16</v>
      </c>
      <c r="G84" s="2">
        <v>3.3</v>
      </c>
      <c r="H84" s="2" t="s">
        <v>9</v>
      </c>
      <c r="I84" s="5">
        <v>50</v>
      </c>
      <c r="J84" s="6">
        <v>100</v>
      </c>
      <c r="K84" s="6">
        <v>300</v>
      </c>
      <c r="L84" s="6">
        <v>600</v>
      </c>
      <c r="M84" s="5">
        <v>2</v>
      </c>
      <c r="N84" s="5">
        <v>10</v>
      </c>
      <c r="O84" s="5">
        <v>30</v>
      </c>
      <c r="P84" s="7" t="s">
        <v>776</v>
      </c>
      <c r="Q84" s="5">
        <v>10</v>
      </c>
    </row>
    <row r="85" spans="1:18" x14ac:dyDescent="0.25">
      <c r="A85" s="2" t="s">
        <v>629</v>
      </c>
      <c r="B85" s="2" t="s">
        <v>311</v>
      </c>
      <c r="C85" s="2" t="s">
        <v>729</v>
      </c>
      <c r="D85" s="2" t="s">
        <v>729</v>
      </c>
      <c r="E85" s="2" t="s">
        <v>177</v>
      </c>
      <c r="F85" s="2" t="s">
        <v>178</v>
      </c>
      <c r="G85" s="2">
        <v>16.329999999999998</v>
      </c>
      <c r="H85" s="2" t="s">
        <v>160</v>
      </c>
      <c r="I85" s="5">
        <v>38</v>
      </c>
      <c r="J85" s="6">
        <v>76</v>
      </c>
      <c r="K85" s="6">
        <v>230</v>
      </c>
      <c r="L85" s="6">
        <v>460</v>
      </c>
      <c r="M85" s="5">
        <v>1</v>
      </c>
      <c r="N85" s="5"/>
      <c r="O85" s="5">
        <v>5</v>
      </c>
      <c r="P85" s="5" t="s">
        <v>752</v>
      </c>
      <c r="Q85" s="5">
        <v>1</v>
      </c>
    </row>
    <row r="86" spans="1:18" x14ac:dyDescent="0.25">
      <c r="A86" s="2" t="s">
        <v>629</v>
      </c>
      <c r="B86" s="2" t="s">
        <v>312</v>
      </c>
      <c r="C86" s="2" t="s">
        <v>729</v>
      </c>
      <c r="D86" s="2" t="s">
        <v>729</v>
      </c>
      <c r="E86" s="2" t="s">
        <v>177</v>
      </c>
      <c r="F86" s="2" t="s">
        <v>178</v>
      </c>
      <c r="G86" s="2">
        <v>16.329999999999998</v>
      </c>
      <c r="H86" s="2" t="s">
        <v>160</v>
      </c>
      <c r="I86" s="5">
        <v>20</v>
      </c>
      <c r="J86" s="6">
        <v>40</v>
      </c>
      <c r="K86" s="6">
        <v>120</v>
      </c>
      <c r="L86" s="6">
        <v>240</v>
      </c>
      <c r="M86" s="5">
        <v>1</v>
      </c>
      <c r="N86" s="5"/>
      <c r="O86" s="5">
        <v>5</v>
      </c>
      <c r="P86" s="5" t="s">
        <v>752</v>
      </c>
      <c r="Q86" s="5">
        <v>1</v>
      </c>
    </row>
    <row r="87" spans="1:18" x14ac:dyDescent="0.25">
      <c r="A87" s="2" t="s">
        <v>625</v>
      </c>
      <c r="B87" s="2" t="s">
        <v>313</v>
      </c>
      <c r="C87" s="2" t="s">
        <v>729</v>
      </c>
      <c r="D87" s="2" t="s">
        <v>729</v>
      </c>
      <c r="E87" s="2" t="s">
        <v>218</v>
      </c>
      <c r="F87" s="2" t="s">
        <v>102</v>
      </c>
      <c r="G87" s="2">
        <v>3.2</v>
      </c>
      <c r="H87" s="2" t="s">
        <v>51</v>
      </c>
      <c r="I87" s="5">
        <v>7</v>
      </c>
      <c r="J87" s="6">
        <v>15</v>
      </c>
      <c r="K87" s="6">
        <v>45</v>
      </c>
      <c r="L87" s="6">
        <v>90</v>
      </c>
      <c r="M87" s="5">
        <v>1</v>
      </c>
      <c r="N87" s="5">
        <v>3</v>
      </c>
      <c r="O87" s="5">
        <v>32</v>
      </c>
      <c r="P87" s="5">
        <v>50</v>
      </c>
      <c r="Q87" s="5">
        <v>5</v>
      </c>
      <c r="R87" s="2" t="s">
        <v>837</v>
      </c>
    </row>
    <row r="88" spans="1:18" x14ac:dyDescent="0.25">
      <c r="A88" s="2" t="s">
        <v>625</v>
      </c>
      <c r="B88" s="2" t="s">
        <v>314</v>
      </c>
      <c r="C88" s="2" t="s">
        <v>729</v>
      </c>
      <c r="D88" s="2" t="s">
        <v>729</v>
      </c>
      <c r="E88" s="2" t="s">
        <v>218</v>
      </c>
      <c r="F88" s="2" t="s">
        <v>102</v>
      </c>
      <c r="G88" s="2">
        <v>3.2</v>
      </c>
      <c r="H88" s="2" t="s">
        <v>51</v>
      </c>
      <c r="I88" s="5">
        <v>8</v>
      </c>
      <c r="J88" s="6">
        <v>16</v>
      </c>
      <c r="K88" s="6">
        <v>50</v>
      </c>
      <c r="L88" s="6">
        <v>100</v>
      </c>
      <c r="M88" s="5">
        <v>1</v>
      </c>
      <c r="N88" s="5">
        <v>5</v>
      </c>
      <c r="O88" s="5">
        <v>32</v>
      </c>
      <c r="P88" s="7" t="s">
        <v>744</v>
      </c>
      <c r="Q88" s="5">
        <v>10</v>
      </c>
    </row>
    <row r="89" spans="1:18" x14ac:dyDescent="0.25">
      <c r="A89" s="2" t="s">
        <v>625</v>
      </c>
      <c r="B89" s="2" t="s">
        <v>315</v>
      </c>
      <c r="C89" s="2" t="s">
        <v>729</v>
      </c>
      <c r="D89" s="2" t="s">
        <v>729</v>
      </c>
      <c r="E89" s="2" t="s">
        <v>218</v>
      </c>
      <c r="F89" s="2" t="s">
        <v>102</v>
      </c>
      <c r="G89" s="2">
        <v>4</v>
      </c>
      <c r="H89" s="2" t="s">
        <v>54</v>
      </c>
      <c r="I89" s="5">
        <v>25</v>
      </c>
      <c r="J89" s="6">
        <v>50</v>
      </c>
      <c r="K89" s="6">
        <v>150</v>
      </c>
      <c r="L89" s="6">
        <v>300</v>
      </c>
      <c r="M89" s="5">
        <v>1</v>
      </c>
      <c r="N89" s="5">
        <v>3</v>
      </c>
      <c r="O89" s="5">
        <v>32</v>
      </c>
      <c r="P89" s="7" t="s">
        <v>782</v>
      </c>
      <c r="Q89" s="5">
        <v>5</v>
      </c>
    </row>
    <row r="90" spans="1:18" x14ac:dyDescent="0.25">
      <c r="A90" s="2" t="s">
        <v>625</v>
      </c>
      <c r="B90" s="2" t="s">
        <v>316</v>
      </c>
      <c r="C90" s="2" t="s">
        <v>729</v>
      </c>
      <c r="D90" s="2" t="s">
        <v>729</v>
      </c>
      <c r="E90" s="2" t="s">
        <v>105</v>
      </c>
      <c r="F90" s="2" t="s">
        <v>102</v>
      </c>
      <c r="G90" s="2">
        <v>4</v>
      </c>
      <c r="H90" s="2" t="s">
        <v>95</v>
      </c>
      <c r="I90" s="5">
        <v>16</v>
      </c>
      <c r="J90" s="6">
        <v>33</v>
      </c>
      <c r="K90" s="6">
        <v>100</v>
      </c>
      <c r="L90" s="6">
        <v>200</v>
      </c>
      <c r="M90" s="5">
        <v>1</v>
      </c>
      <c r="N90" s="5">
        <v>3</v>
      </c>
      <c r="O90" s="5">
        <v>32</v>
      </c>
      <c r="P90" s="7" t="s">
        <v>782</v>
      </c>
      <c r="Q90" s="5">
        <v>5</v>
      </c>
    </row>
    <row r="91" spans="1:18" x14ac:dyDescent="0.25">
      <c r="A91" s="2" t="s">
        <v>623</v>
      </c>
      <c r="B91" s="2" t="s">
        <v>317</v>
      </c>
      <c r="C91" s="2" t="s">
        <v>729</v>
      </c>
      <c r="D91" s="2" t="s">
        <v>729</v>
      </c>
      <c r="E91" s="2" t="s">
        <v>57</v>
      </c>
      <c r="F91" s="2" t="s">
        <v>58</v>
      </c>
      <c r="G91" s="2">
        <v>2.92</v>
      </c>
      <c r="H91" s="2" t="s">
        <v>20</v>
      </c>
      <c r="I91" s="5">
        <v>20</v>
      </c>
      <c r="J91" s="6">
        <v>40</v>
      </c>
      <c r="K91" s="6">
        <v>120</v>
      </c>
      <c r="L91" s="6">
        <v>240</v>
      </c>
      <c r="M91" s="5">
        <v>2</v>
      </c>
      <c r="N91" s="5">
        <v>5</v>
      </c>
      <c r="O91" s="5">
        <v>30</v>
      </c>
      <c r="P91" s="7" t="s">
        <v>744</v>
      </c>
      <c r="Q91" s="5">
        <v>5</v>
      </c>
    </row>
    <row r="92" spans="1:18" x14ac:dyDescent="0.25">
      <c r="A92" s="2" t="s">
        <v>623</v>
      </c>
      <c r="B92" s="2" t="s">
        <v>318</v>
      </c>
      <c r="C92" s="2" t="s">
        <v>729</v>
      </c>
      <c r="D92" s="2" t="s">
        <v>729</v>
      </c>
      <c r="E92" s="2" t="s">
        <v>15</v>
      </c>
      <c r="F92" s="2" t="s">
        <v>16</v>
      </c>
      <c r="G92" s="2">
        <v>3.6</v>
      </c>
      <c r="H92" s="2" t="s">
        <v>9</v>
      </c>
      <c r="I92" s="5">
        <v>33</v>
      </c>
      <c r="J92" s="6">
        <v>66</v>
      </c>
      <c r="K92" s="6">
        <v>200</v>
      </c>
      <c r="L92" s="6">
        <v>400</v>
      </c>
      <c r="M92" s="5">
        <v>2</v>
      </c>
      <c r="N92" s="5">
        <v>3</v>
      </c>
      <c r="O92" s="5">
        <v>30</v>
      </c>
      <c r="P92" s="9" t="s">
        <v>770</v>
      </c>
      <c r="Q92" s="5">
        <v>3</v>
      </c>
    </row>
    <row r="93" spans="1:18" x14ac:dyDescent="0.25">
      <c r="A93" s="2" t="s">
        <v>625</v>
      </c>
      <c r="B93" s="2" t="s">
        <v>319</v>
      </c>
      <c r="C93" s="2" t="s">
        <v>729</v>
      </c>
      <c r="D93" s="2" t="s">
        <v>729</v>
      </c>
      <c r="E93" s="2" t="s">
        <v>149</v>
      </c>
      <c r="F93" s="2" t="s">
        <v>150</v>
      </c>
      <c r="G93" s="2">
        <v>2.84</v>
      </c>
      <c r="H93" s="2" t="s">
        <v>95</v>
      </c>
      <c r="I93" s="5">
        <v>8</v>
      </c>
      <c r="J93" s="6">
        <v>16</v>
      </c>
      <c r="K93" s="6">
        <v>50</v>
      </c>
      <c r="L93" s="6">
        <v>100</v>
      </c>
      <c r="M93" s="5">
        <v>1</v>
      </c>
      <c r="N93" s="5">
        <v>2</v>
      </c>
      <c r="O93" s="5">
        <v>50</v>
      </c>
      <c r="P93" s="9" t="s">
        <v>783</v>
      </c>
      <c r="Q93" s="5">
        <v>3</v>
      </c>
    </row>
    <row r="94" spans="1:18" x14ac:dyDescent="0.25">
      <c r="A94" s="2" t="s">
        <v>623</v>
      </c>
      <c r="B94" s="2" t="s">
        <v>320</v>
      </c>
      <c r="C94" s="2" t="s">
        <v>729</v>
      </c>
      <c r="D94" s="2" t="s">
        <v>729</v>
      </c>
      <c r="E94" s="2" t="s">
        <v>15</v>
      </c>
      <c r="F94" s="2" t="s">
        <v>16</v>
      </c>
      <c r="G94" s="2">
        <v>3.8</v>
      </c>
      <c r="H94" s="2" t="s">
        <v>9</v>
      </c>
      <c r="I94" s="5">
        <v>41</v>
      </c>
      <c r="J94" s="6">
        <v>83</v>
      </c>
      <c r="K94" s="6">
        <v>250</v>
      </c>
      <c r="L94" s="6">
        <v>500</v>
      </c>
      <c r="M94" s="5">
        <v>2</v>
      </c>
      <c r="N94" s="5">
        <v>3</v>
      </c>
      <c r="O94" s="5">
        <v>30</v>
      </c>
      <c r="P94" s="9" t="s">
        <v>784</v>
      </c>
      <c r="Q94" s="5">
        <v>3</v>
      </c>
    </row>
    <row r="95" spans="1:18" x14ac:dyDescent="0.25">
      <c r="A95" s="2" t="s">
        <v>623</v>
      </c>
      <c r="B95" s="2" t="s">
        <v>321</v>
      </c>
      <c r="C95" s="2" t="s">
        <v>729</v>
      </c>
      <c r="D95" s="2" t="s">
        <v>729</v>
      </c>
      <c r="E95" s="2" t="s">
        <v>15</v>
      </c>
      <c r="F95" s="2" t="s">
        <v>16</v>
      </c>
      <c r="G95" s="2">
        <v>3.7</v>
      </c>
      <c r="H95" s="2" t="s">
        <v>9</v>
      </c>
      <c r="I95" s="5">
        <v>38</v>
      </c>
      <c r="J95" s="6">
        <v>76</v>
      </c>
      <c r="K95" s="6">
        <v>230</v>
      </c>
      <c r="L95" s="6">
        <v>460</v>
      </c>
      <c r="M95" s="5">
        <v>2</v>
      </c>
      <c r="N95" s="5">
        <v>3</v>
      </c>
      <c r="O95" s="5">
        <v>30</v>
      </c>
      <c r="P95" s="9" t="s">
        <v>784</v>
      </c>
      <c r="Q95" s="5">
        <v>3</v>
      </c>
    </row>
    <row r="96" spans="1:18" x14ac:dyDescent="0.25">
      <c r="A96" s="2" t="s">
        <v>623</v>
      </c>
      <c r="B96" s="2" t="s">
        <v>322</v>
      </c>
      <c r="C96" s="2" t="s">
        <v>729</v>
      </c>
      <c r="D96" s="2" t="s">
        <v>729</v>
      </c>
      <c r="E96" s="2" t="s">
        <v>72</v>
      </c>
      <c r="F96" s="2" t="s">
        <v>73</v>
      </c>
      <c r="G96" s="2">
        <v>4.3099999999999996</v>
      </c>
      <c r="H96" s="2" t="s">
        <v>46</v>
      </c>
      <c r="I96" s="5">
        <v>66</v>
      </c>
      <c r="J96" s="6">
        <v>133</v>
      </c>
      <c r="K96" s="6">
        <v>400</v>
      </c>
      <c r="L96" s="6">
        <v>800</v>
      </c>
      <c r="M96" s="5">
        <v>2</v>
      </c>
      <c r="N96" s="5">
        <v>5</v>
      </c>
      <c r="O96" s="5">
        <v>30</v>
      </c>
      <c r="P96" s="9" t="s">
        <v>785</v>
      </c>
      <c r="Q96" s="5">
        <v>5</v>
      </c>
    </row>
    <row r="97" spans="1:17" x14ac:dyDescent="0.25">
      <c r="A97" s="2" t="s">
        <v>622</v>
      </c>
      <c r="B97" s="2" t="s">
        <v>323</v>
      </c>
      <c r="C97" s="2" t="s">
        <v>729</v>
      </c>
      <c r="D97" s="2" t="s">
        <v>729</v>
      </c>
      <c r="E97" s="2" t="s">
        <v>15</v>
      </c>
      <c r="F97" s="2" t="s">
        <v>16</v>
      </c>
      <c r="G97" s="2">
        <v>7.5</v>
      </c>
      <c r="H97" s="2" t="s">
        <v>9</v>
      </c>
      <c r="I97" s="5">
        <v>58</v>
      </c>
      <c r="J97" s="6">
        <v>116</v>
      </c>
      <c r="K97" s="6">
        <v>350</v>
      </c>
      <c r="L97" s="6">
        <v>700</v>
      </c>
      <c r="M97" s="5"/>
      <c r="N97" s="5">
        <v>5</v>
      </c>
      <c r="O97" s="5">
        <v>100</v>
      </c>
      <c r="P97" s="7" t="s">
        <v>786</v>
      </c>
      <c r="Q97" s="5">
        <v>10</v>
      </c>
    </row>
    <row r="98" spans="1:17" x14ac:dyDescent="0.25">
      <c r="A98" s="2" t="s">
        <v>622</v>
      </c>
      <c r="B98" s="2" t="s">
        <v>324</v>
      </c>
      <c r="C98" s="2" t="s">
        <v>729</v>
      </c>
      <c r="D98" s="2" t="s">
        <v>729</v>
      </c>
      <c r="E98" s="2" t="s">
        <v>15</v>
      </c>
      <c r="F98" s="2" t="s">
        <v>16</v>
      </c>
      <c r="G98" s="2">
        <v>6.75</v>
      </c>
      <c r="H98" s="2" t="s">
        <v>9</v>
      </c>
      <c r="I98" s="5">
        <v>50</v>
      </c>
      <c r="J98" s="6">
        <v>100</v>
      </c>
      <c r="K98" s="6">
        <v>300</v>
      </c>
      <c r="L98" s="6">
        <v>600</v>
      </c>
      <c r="M98" s="5"/>
      <c r="N98" s="5">
        <v>5</v>
      </c>
      <c r="O98" s="5">
        <v>100</v>
      </c>
      <c r="P98" s="7" t="s">
        <v>787</v>
      </c>
      <c r="Q98" s="5">
        <v>10</v>
      </c>
    </row>
    <row r="99" spans="1:17" x14ac:dyDescent="0.25">
      <c r="A99" s="2" t="s">
        <v>621</v>
      </c>
      <c r="B99" s="2" t="s">
        <v>325</v>
      </c>
      <c r="C99" s="2" t="s">
        <v>729</v>
      </c>
      <c r="D99" s="2" t="s">
        <v>729</v>
      </c>
      <c r="E99" s="2" t="s">
        <v>79</v>
      </c>
      <c r="F99" s="2" t="s">
        <v>80</v>
      </c>
      <c r="G99" s="2">
        <v>4.3099999999999996</v>
      </c>
      <c r="H99" s="2" t="s">
        <v>20</v>
      </c>
      <c r="I99" s="5">
        <v>50</v>
      </c>
      <c r="J99" s="6">
        <v>100</v>
      </c>
      <c r="K99" s="6">
        <v>300</v>
      </c>
      <c r="L99" s="6">
        <v>600</v>
      </c>
      <c r="M99" s="5">
        <v>2</v>
      </c>
      <c r="N99" s="5"/>
      <c r="O99" s="5">
        <v>20</v>
      </c>
      <c r="P99" s="5" t="s">
        <v>752</v>
      </c>
      <c r="Q99" s="5">
        <v>1</v>
      </c>
    </row>
    <row r="100" spans="1:17" x14ac:dyDescent="0.25">
      <c r="A100" s="2" t="s">
        <v>624</v>
      </c>
      <c r="B100" s="2" t="s">
        <v>326</v>
      </c>
      <c r="C100" s="2" t="s">
        <v>729</v>
      </c>
      <c r="D100" s="2" t="s">
        <v>729</v>
      </c>
      <c r="E100" s="2" t="s">
        <v>184</v>
      </c>
      <c r="F100" s="2" t="s">
        <v>185</v>
      </c>
      <c r="G100" s="2">
        <v>2.7</v>
      </c>
      <c r="H100" s="2" t="s">
        <v>46</v>
      </c>
      <c r="I100" s="5">
        <v>8</v>
      </c>
      <c r="J100" s="6">
        <v>16</v>
      </c>
      <c r="K100" s="6">
        <v>50</v>
      </c>
      <c r="L100" s="6">
        <v>100</v>
      </c>
      <c r="M100" s="5">
        <v>3</v>
      </c>
      <c r="N100" s="5"/>
      <c r="O100" s="5">
        <v>3</v>
      </c>
      <c r="P100" s="5" t="s">
        <v>753</v>
      </c>
      <c r="Q100" s="5">
        <v>1</v>
      </c>
    </row>
    <row r="101" spans="1:17" x14ac:dyDescent="0.25">
      <c r="A101" s="2" t="s">
        <v>624</v>
      </c>
      <c r="B101" s="2" t="s">
        <v>327</v>
      </c>
      <c r="C101" s="2" t="s">
        <v>729</v>
      </c>
      <c r="D101" s="2" t="s">
        <v>729</v>
      </c>
      <c r="E101" s="2" t="s">
        <v>184</v>
      </c>
      <c r="F101" s="2" t="s">
        <v>185</v>
      </c>
      <c r="G101" s="2">
        <v>4.12</v>
      </c>
      <c r="H101" s="2" t="s">
        <v>46</v>
      </c>
      <c r="I101" s="5">
        <v>8</v>
      </c>
      <c r="J101" s="6">
        <v>16</v>
      </c>
      <c r="K101" s="6">
        <v>50</v>
      </c>
      <c r="L101" s="6">
        <v>100</v>
      </c>
      <c r="M101" s="5">
        <v>2</v>
      </c>
      <c r="N101" s="5"/>
      <c r="O101" s="5">
        <v>8</v>
      </c>
      <c r="P101" s="5" t="s">
        <v>753</v>
      </c>
      <c r="Q101" s="5">
        <v>1</v>
      </c>
    </row>
    <row r="102" spans="1:17" x14ac:dyDescent="0.25">
      <c r="A102" s="2" t="s">
        <v>624</v>
      </c>
      <c r="B102" s="2" t="s">
        <v>328</v>
      </c>
      <c r="C102" s="2" t="s">
        <v>729</v>
      </c>
      <c r="D102" s="2" t="s">
        <v>729</v>
      </c>
      <c r="E102" s="2" t="s">
        <v>184</v>
      </c>
      <c r="F102" s="2" t="s">
        <v>185</v>
      </c>
      <c r="G102" s="2">
        <v>3.8</v>
      </c>
      <c r="H102" s="2" t="s">
        <v>46</v>
      </c>
      <c r="I102" s="5">
        <v>8</v>
      </c>
      <c r="J102" s="6">
        <v>16</v>
      </c>
      <c r="K102" s="6">
        <v>50</v>
      </c>
      <c r="L102" s="6">
        <v>100</v>
      </c>
      <c r="M102" s="5">
        <v>2</v>
      </c>
      <c r="N102" s="5"/>
      <c r="O102" s="5">
        <v>10</v>
      </c>
      <c r="P102" s="5" t="s">
        <v>754</v>
      </c>
      <c r="Q102" s="5">
        <v>1</v>
      </c>
    </row>
    <row r="103" spans="1:17" x14ac:dyDescent="0.25">
      <c r="A103" s="2" t="s">
        <v>624</v>
      </c>
      <c r="B103" s="2" t="s">
        <v>329</v>
      </c>
      <c r="C103" s="2" t="s">
        <v>729</v>
      </c>
      <c r="D103" s="2" t="s">
        <v>729</v>
      </c>
      <c r="E103" s="2" t="s">
        <v>184</v>
      </c>
      <c r="F103" s="2" t="s">
        <v>185</v>
      </c>
      <c r="G103" s="2">
        <v>3.8</v>
      </c>
      <c r="H103" s="2" t="s">
        <v>46</v>
      </c>
      <c r="I103" s="5">
        <v>8</v>
      </c>
      <c r="J103" s="6">
        <v>16</v>
      </c>
      <c r="K103" s="6">
        <v>50</v>
      </c>
      <c r="L103" s="6">
        <v>100</v>
      </c>
      <c r="M103" s="5">
        <v>2</v>
      </c>
      <c r="N103" s="5"/>
      <c r="O103" s="5">
        <v>10</v>
      </c>
      <c r="P103" s="5" t="s">
        <v>754</v>
      </c>
      <c r="Q103" s="5">
        <v>1</v>
      </c>
    </row>
    <row r="104" spans="1:17" x14ac:dyDescent="0.25">
      <c r="A104" s="2" t="s">
        <v>624</v>
      </c>
      <c r="B104" s="2" t="s">
        <v>330</v>
      </c>
      <c r="C104" s="2" t="s">
        <v>729</v>
      </c>
      <c r="D104" s="2" t="s">
        <v>729</v>
      </c>
      <c r="E104" s="2" t="s">
        <v>184</v>
      </c>
      <c r="F104" s="2" t="s">
        <v>185</v>
      </c>
      <c r="G104" s="2">
        <v>3.8</v>
      </c>
      <c r="H104" s="2" t="s">
        <v>46</v>
      </c>
      <c r="I104" s="5">
        <v>8</v>
      </c>
      <c r="J104" s="6">
        <v>16</v>
      </c>
      <c r="K104" s="6">
        <v>50</v>
      </c>
      <c r="L104" s="6">
        <v>100</v>
      </c>
      <c r="M104" s="5">
        <v>2</v>
      </c>
      <c r="N104" s="5"/>
      <c r="O104" s="5">
        <v>10</v>
      </c>
      <c r="P104" s="5" t="s">
        <v>754</v>
      </c>
      <c r="Q104" s="5">
        <v>1</v>
      </c>
    </row>
    <row r="105" spans="1:17" x14ac:dyDescent="0.25">
      <c r="A105" s="2" t="s">
        <v>622</v>
      </c>
      <c r="B105" s="2" t="s">
        <v>331</v>
      </c>
      <c r="C105" s="2" t="s">
        <v>729</v>
      </c>
      <c r="D105" s="2" t="s">
        <v>729</v>
      </c>
      <c r="E105" s="2" t="s">
        <v>72</v>
      </c>
      <c r="F105" s="2" t="s">
        <v>73</v>
      </c>
      <c r="G105" s="2">
        <v>9.1479999999999997</v>
      </c>
      <c r="H105" s="2" t="s">
        <v>46</v>
      </c>
      <c r="I105" s="5">
        <v>133</v>
      </c>
      <c r="J105" s="6">
        <v>266</v>
      </c>
      <c r="K105" s="6">
        <v>800</v>
      </c>
      <c r="L105" s="6">
        <v>1600</v>
      </c>
      <c r="M105" s="5">
        <v>1</v>
      </c>
      <c r="N105" s="5">
        <v>5</v>
      </c>
      <c r="O105" s="5">
        <v>50</v>
      </c>
      <c r="P105" s="7" t="s">
        <v>788</v>
      </c>
      <c r="Q105" s="5">
        <v>10</v>
      </c>
    </row>
    <row r="106" spans="1:17" x14ac:dyDescent="0.25">
      <c r="A106" s="2" t="s">
        <v>620</v>
      </c>
      <c r="B106" s="2" t="s">
        <v>332</v>
      </c>
      <c r="C106" s="2" t="s">
        <v>729</v>
      </c>
      <c r="D106" s="2" t="s">
        <v>729</v>
      </c>
      <c r="E106" s="2" t="s">
        <v>72</v>
      </c>
      <c r="F106" s="2" t="s">
        <v>73</v>
      </c>
      <c r="G106" s="2">
        <v>5.0999999999999996</v>
      </c>
      <c r="H106" s="2" t="s">
        <v>46</v>
      </c>
      <c r="I106" s="5">
        <v>100</v>
      </c>
      <c r="J106" s="6">
        <v>200</v>
      </c>
      <c r="K106" s="6">
        <v>600</v>
      </c>
      <c r="L106" s="6">
        <v>1200</v>
      </c>
      <c r="M106" s="5">
        <v>2</v>
      </c>
      <c r="N106" s="5"/>
      <c r="O106" s="5">
        <v>10</v>
      </c>
      <c r="P106" s="5" t="s">
        <v>752</v>
      </c>
      <c r="Q106" s="5">
        <v>1</v>
      </c>
    </row>
    <row r="107" spans="1:17" x14ac:dyDescent="0.25">
      <c r="A107" s="2" t="s">
        <v>623</v>
      </c>
      <c r="B107" s="2" t="s">
        <v>333</v>
      </c>
      <c r="C107" s="2" t="s">
        <v>729</v>
      </c>
      <c r="D107" s="2" t="s">
        <v>729</v>
      </c>
      <c r="E107" s="2" t="s">
        <v>15</v>
      </c>
      <c r="F107" s="2" t="s">
        <v>16</v>
      </c>
      <c r="G107" s="2">
        <v>2.95</v>
      </c>
      <c r="H107" s="2" t="s">
        <v>9</v>
      </c>
      <c r="I107" s="5">
        <v>50</v>
      </c>
      <c r="J107" s="6">
        <v>100</v>
      </c>
      <c r="K107" s="6">
        <v>300</v>
      </c>
      <c r="L107" s="6">
        <v>600</v>
      </c>
      <c r="M107" s="5">
        <v>2</v>
      </c>
      <c r="N107" s="5">
        <v>3</v>
      </c>
      <c r="O107" s="5">
        <v>35</v>
      </c>
      <c r="P107" s="9" t="s">
        <v>770</v>
      </c>
      <c r="Q107" s="5">
        <v>3</v>
      </c>
    </row>
    <row r="108" spans="1:17" x14ac:dyDescent="0.25">
      <c r="A108" s="2" t="s">
        <v>622</v>
      </c>
      <c r="B108" s="2" t="s">
        <v>334</v>
      </c>
      <c r="C108" s="2" t="s">
        <v>729</v>
      </c>
      <c r="D108" s="2" t="s">
        <v>729</v>
      </c>
      <c r="E108" s="2" t="s">
        <v>72</v>
      </c>
      <c r="F108" s="2" t="s">
        <v>73</v>
      </c>
      <c r="G108" s="2">
        <v>4</v>
      </c>
      <c r="H108" s="2" t="s">
        <v>46</v>
      </c>
      <c r="I108" s="5">
        <v>75</v>
      </c>
      <c r="J108" s="6">
        <v>150</v>
      </c>
      <c r="K108" s="6">
        <v>450</v>
      </c>
      <c r="L108" s="6">
        <v>900</v>
      </c>
      <c r="M108" s="5">
        <v>2</v>
      </c>
      <c r="N108" s="5">
        <v>5</v>
      </c>
      <c r="O108" s="5">
        <v>35</v>
      </c>
      <c r="P108" s="9" t="s">
        <v>785</v>
      </c>
      <c r="Q108" s="5">
        <v>5</v>
      </c>
    </row>
    <row r="109" spans="1:17" x14ac:dyDescent="0.25">
      <c r="A109" s="2" t="s">
        <v>620</v>
      </c>
      <c r="B109" s="2" t="s">
        <v>335</v>
      </c>
      <c r="C109" s="2" t="s">
        <v>729</v>
      </c>
      <c r="D109" s="2" t="s">
        <v>729</v>
      </c>
      <c r="E109" s="2" t="s">
        <v>72</v>
      </c>
      <c r="F109" s="2" t="s">
        <v>73</v>
      </c>
      <c r="G109" s="2">
        <v>6.4</v>
      </c>
      <c r="H109" s="2" t="s">
        <v>46</v>
      </c>
      <c r="I109" s="5">
        <v>100</v>
      </c>
      <c r="J109" s="6">
        <v>200</v>
      </c>
      <c r="K109" s="6">
        <v>600</v>
      </c>
      <c r="L109" s="6">
        <v>1200</v>
      </c>
      <c r="M109" s="5">
        <v>1</v>
      </c>
      <c r="N109" s="5"/>
      <c r="O109" s="5">
        <v>20</v>
      </c>
      <c r="P109" s="5" t="s">
        <v>752</v>
      </c>
      <c r="Q109" s="5">
        <v>1</v>
      </c>
    </row>
    <row r="110" spans="1:17" x14ac:dyDescent="0.25">
      <c r="A110" s="2" t="s">
        <v>623</v>
      </c>
      <c r="B110" s="2" t="s">
        <v>336</v>
      </c>
      <c r="C110" s="2" t="s">
        <v>729</v>
      </c>
      <c r="D110" s="2" t="s">
        <v>729</v>
      </c>
      <c r="E110" s="2" t="s">
        <v>15</v>
      </c>
      <c r="F110" s="2" t="s">
        <v>16</v>
      </c>
      <c r="G110" s="2">
        <v>2.95</v>
      </c>
      <c r="H110" s="2" t="s">
        <v>9</v>
      </c>
      <c r="I110" s="5">
        <v>50</v>
      </c>
      <c r="J110" s="6">
        <v>100</v>
      </c>
      <c r="K110" s="6">
        <v>300</v>
      </c>
      <c r="L110" s="6">
        <v>600</v>
      </c>
      <c r="M110" s="5">
        <v>2</v>
      </c>
      <c r="N110" s="5">
        <v>5</v>
      </c>
      <c r="O110" s="5">
        <v>35</v>
      </c>
      <c r="P110" s="9" t="s">
        <v>785</v>
      </c>
      <c r="Q110" s="5">
        <v>5</v>
      </c>
    </row>
    <row r="111" spans="1:17" x14ac:dyDescent="0.25">
      <c r="A111" s="2" t="s">
        <v>623</v>
      </c>
      <c r="B111" s="2" t="s">
        <v>337</v>
      </c>
      <c r="C111" s="2" t="s">
        <v>729</v>
      </c>
      <c r="D111" s="2" t="s">
        <v>729</v>
      </c>
      <c r="E111" s="2" t="s">
        <v>15</v>
      </c>
      <c r="F111" s="2" t="s">
        <v>16</v>
      </c>
      <c r="G111" s="2">
        <v>3.75</v>
      </c>
      <c r="H111" s="2" t="s">
        <v>9</v>
      </c>
      <c r="I111" s="5">
        <v>50</v>
      </c>
      <c r="J111" s="6">
        <v>100</v>
      </c>
      <c r="K111" s="6">
        <v>300</v>
      </c>
      <c r="L111" s="6">
        <v>600</v>
      </c>
      <c r="M111" s="5">
        <v>2</v>
      </c>
      <c r="N111" s="5">
        <v>5</v>
      </c>
      <c r="O111" s="5">
        <v>35</v>
      </c>
      <c r="P111" s="9" t="s">
        <v>785</v>
      </c>
      <c r="Q111" s="5">
        <v>5</v>
      </c>
    </row>
    <row r="112" spans="1:17" x14ac:dyDescent="0.25">
      <c r="A112" s="2" t="s">
        <v>622</v>
      </c>
      <c r="B112" s="2" t="s">
        <v>338</v>
      </c>
      <c r="C112" s="2" t="s">
        <v>729</v>
      </c>
      <c r="D112" s="2" t="s">
        <v>729</v>
      </c>
      <c r="E112" s="2" t="s">
        <v>15</v>
      </c>
      <c r="F112" s="2" t="s">
        <v>16</v>
      </c>
      <c r="G112" s="2">
        <v>12.3</v>
      </c>
      <c r="H112" s="2" t="s">
        <v>9</v>
      </c>
      <c r="I112" s="5">
        <v>75</v>
      </c>
      <c r="J112" s="6">
        <v>150</v>
      </c>
      <c r="K112" s="6">
        <v>450</v>
      </c>
      <c r="L112" s="6">
        <v>900</v>
      </c>
      <c r="M112" s="5"/>
      <c r="N112" s="5">
        <v>50</v>
      </c>
      <c r="O112" s="5">
        <v>1000</v>
      </c>
      <c r="P112" s="5">
        <v>100</v>
      </c>
      <c r="Q112" s="5">
        <v>100</v>
      </c>
    </row>
    <row r="113" spans="1:17" x14ac:dyDescent="0.25">
      <c r="A113" s="2" t="s">
        <v>622</v>
      </c>
      <c r="B113" s="2" t="s">
        <v>339</v>
      </c>
      <c r="C113" s="2" t="s">
        <v>729</v>
      </c>
      <c r="D113" s="2" t="s">
        <v>729</v>
      </c>
      <c r="E113" s="2" t="s">
        <v>15</v>
      </c>
      <c r="F113" s="2" t="s">
        <v>16</v>
      </c>
      <c r="G113" s="2">
        <v>38.6</v>
      </c>
      <c r="H113" s="2" t="s">
        <v>9</v>
      </c>
      <c r="I113" s="5">
        <v>75</v>
      </c>
      <c r="J113" s="6">
        <v>150</v>
      </c>
      <c r="K113" s="6">
        <v>450</v>
      </c>
      <c r="L113" s="6">
        <v>900</v>
      </c>
      <c r="M113" s="5"/>
      <c r="N113" s="5">
        <v>50</v>
      </c>
      <c r="O113" s="5">
        <v>1000</v>
      </c>
      <c r="P113" s="5">
        <v>100</v>
      </c>
      <c r="Q113" s="5">
        <v>100</v>
      </c>
    </row>
    <row r="114" spans="1:17" x14ac:dyDescent="0.25">
      <c r="A114" s="2" t="s">
        <v>619</v>
      </c>
      <c r="B114" s="2" t="s">
        <v>340</v>
      </c>
      <c r="C114" s="2" t="s">
        <v>729</v>
      </c>
      <c r="D114" s="2" t="s">
        <v>729</v>
      </c>
      <c r="E114" s="2" t="s">
        <v>218</v>
      </c>
      <c r="F114" s="2" t="s">
        <v>102</v>
      </c>
      <c r="G114" s="2">
        <v>0.625</v>
      </c>
      <c r="H114" s="2" t="s">
        <v>51</v>
      </c>
      <c r="I114" s="5">
        <v>8</v>
      </c>
      <c r="J114" s="6">
        <v>16</v>
      </c>
      <c r="K114" s="6">
        <v>50</v>
      </c>
      <c r="L114" s="6">
        <v>100</v>
      </c>
      <c r="M114" s="5">
        <v>4</v>
      </c>
      <c r="N114" s="5"/>
      <c r="O114" s="5">
        <v>17</v>
      </c>
      <c r="P114" s="5" t="s">
        <v>752</v>
      </c>
      <c r="Q114" s="5">
        <v>1</v>
      </c>
    </row>
    <row r="115" spans="1:17" x14ac:dyDescent="0.25">
      <c r="A115" s="2" t="s">
        <v>619</v>
      </c>
      <c r="B115" s="2" t="s">
        <v>341</v>
      </c>
      <c r="C115" s="2" t="s">
        <v>729</v>
      </c>
      <c r="D115" s="2" t="s">
        <v>729</v>
      </c>
      <c r="E115" s="2" t="s">
        <v>132</v>
      </c>
      <c r="F115" s="2" t="s">
        <v>127</v>
      </c>
      <c r="G115" s="2">
        <v>0.745</v>
      </c>
      <c r="H115" s="2" t="s">
        <v>51</v>
      </c>
      <c r="I115" s="5">
        <v>8</v>
      </c>
      <c r="J115" s="6">
        <v>16</v>
      </c>
      <c r="K115" s="6">
        <v>50</v>
      </c>
      <c r="L115" s="6">
        <v>100</v>
      </c>
      <c r="M115" s="5">
        <v>3</v>
      </c>
      <c r="N115" s="5"/>
      <c r="O115" s="5">
        <v>13</v>
      </c>
      <c r="P115" s="5" t="s">
        <v>752</v>
      </c>
      <c r="Q115" s="5">
        <v>1</v>
      </c>
    </row>
    <row r="116" spans="1:17" x14ac:dyDescent="0.25">
      <c r="A116" s="2" t="s">
        <v>619</v>
      </c>
      <c r="B116" s="2" t="s">
        <v>342</v>
      </c>
      <c r="C116" s="2" t="s">
        <v>729</v>
      </c>
      <c r="D116" s="2" t="s">
        <v>729</v>
      </c>
      <c r="E116" s="2" t="s">
        <v>130</v>
      </c>
      <c r="F116" s="2" t="s">
        <v>245</v>
      </c>
      <c r="G116" s="2">
        <v>0.65</v>
      </c>
      <c r="H116" s="2" t="s">
        <v>51</v>
      </c>
      <c r="I116" s="5">
        <v>10</v>
      </c>
      <c r="J116" s="6">
        <v>20</v>
      </c>
      <c r="K116" s="6">
        <v>60</v>
      </c>
      <c r="L116" s="6">
        <v>120</v>
      </c>
      <c r="M116" s="5">
        <v>3</v>
      </c>
      <c r="N116" s="5"/>
      <c r="O116" s="5">
        <v>15</v>
      </c>
      <c r="P116" s="5" t="s">
        <v>752</v>
      </c>
      <c r="Q116" s="5">
        <v>1</v>
      </c>
    </row>
    <row r="117" spans="1:17" x14ac:dyDescent="0.25">
      <c r="A117" s="2" t="s">
        <v>625</v>
      </c>
      <c r="B117" s="2" t="s">
        <v>343</v>
      </c>
      <c r="C117" s="2" t="s">
        <v>729</v>
      </c>
      <c r="D117" s="2" t="s">
        <v>729</v>
      </c>
      <c r="E117" s="2" t="s">
        <v>132</v>
      </c>
      <c r="F117" s="2" t="s">
        <v>127</v>
      </c>
      <c r="G117" s="2">
        <v>3.7</v>
      </c>
      <c r="H117" s="2" t="s">
        <v>51</v>
      </c>
      <c r="I117" s="5">
        <v>15</v>
      </c>
      <c r="J117" s="6">
        <v>30</v>
      </c>
      <c r="K117" s="6">
        <v>90</v>
      </c>
      <c r="L117" s="6">
        <v>180</v>
      </c>
      <c r="M117" s="5">
        <v>1</v>
      </c>
      <c r="N117" s="5">
        <v>3</v>
      </c>
      <c r="O117" s="5">
        <v>30</v>
      </c>
      <c r="P117" s="7" t="s">
        <v>744</v>
      </c>
      <c r="Q117" s="5">
        <v>5</v>
      </c>
    </row>
    <row r="118" spans="1:17" x14ac:dyDescent="0.25">
      <c r="A118" s="2" t="s">
        <v>619</v>
      </c>
      <c r="B118" s="2" t="s">
        <v>344</v>
      </c>
      <c r="C118" s="2" t="s">
        <v>729</v>
      </c>
      <c r="D118" s="2" t="s">
        <v>729</v>
      </c>
      <c r="E118" s="2" t="s">
        <v>218</v>
      </c>
      <c r="F118" s="2" t="s">
        <v>102</v>
      </c>
      <c r="G118" s="2">
        <v>0.92700000000000005</v>
      </c>
      <c r="H118" s="2" t="s">
        <v>51</v>
      </c>
      <c r="I118" s="5">
        <v>6</v>
      </c>
      <c r="J118" s="6">
        <v>13</v>
      </c>
      <c r="K118" s="6">
        <v>40</v>
      </c>
      <c r="L118" s="6">
        <v>80</v>
      </c>
      <c r="M118" s="5">
        <v>3</v>
      </c>
      <c r="N118" s="5"/>
      <c r="O118" s="5">
        <v>17</v>
      </c>
      <c r="P118" s="5" t="s">
        <v>752</v>
      </c>
      <c r="Q118" s="5">
        <v>1</v>
      </c>
    </row>
    <row r="119" spans="1:17" x14ac:dyDescent="0.25">
      <c r="A119" s="2" t="s">
        <v>624</v>
      </c>
      <c r="B119" s="2" t="s">
        <v>345</v>
      </c>
      <c r="C119" s="2" t="s">
        <v>729</v>
      </c>
      <c r="D119" s="2" t="s">
        <v>729</v>
      </c>
      <c r="E119" s="2" t="s">
        <v>191</v>
      </c>
      <c r="F119" s="2" t="s">
        <v>192</v>
      </c>
      <c r="G119" s="2">
        <v>3.2</v>
      </c>
      <c r="H119" s="2" t="s">
        <v>21</v>
      </c>
      <c r="I119" s="5">
        <v>6</v>
      </c>
      <c r="J119" s="6">
        <v>13</v>
      </c>
      <c r="K119" s="6">
        <v>40</v>
      </c>
      <c r="L119" s="6">
        <v>80</v>
      </c>
      <c r="M119" s="5">
        <v>2</v>
      </c>
      <c r="N119" s="5"/>
      <c r="O119" s="5">
        <v>7</v>
      </c>
      <c r="P119" s="5" t="s">
        <v>752</v>
      </c>
      <c r="Q119" s="5">
        <v>1</v>
      </c>
    </row>
    <row r="120" spans="1:17" x14ac:dyDescent="0.25">
      <c r="A120" s="2" t="s">
        <v>622</v>
      </c>
      <c r="B120" s="2" t="s">
        <v>346</v>
      </c>
      <c r="C120" s="2" t="s">
        <v>729</v>
      </c>
      <c r="D120" s="2" t="s">
        <v>729</v>
      </c>
      <c r="E120" s="2" t="s">
        <v>72</v>
      </c>
      <c r="F120" s="2" t="s">
        <v>73</v>
      </c>
      <c r="G120" s="2">
        <v>8.3000000000000007</v>
      </c>
      <c r="H120" s="2" t="s">
        <v>46</v>
      </c>
      <c r="I120" s="5">
        <v>100</v>
      </c>
      <c r="J120" s="6">
        <v>200</v>
      </c>
      <c r="K120" s="6">
        <v>600</v>
      </c>
      <c r="L120" s="6">
        <v>1200</v>
      </c>
      <c r="M120" s="5"/>
      <c r="N120" s="5">
        <v>8</v>
      </c>
      <c r="O120" s="5">
        <v>50</v>
      </c>
      <c r="P120" s="5">
        <v>65</v>
      </c>
      <c r="Q120" s="5">
        <v>15</v>
      </c>
    </row>
    <row r="121" spans="1:17" x14ac:dyDescent="0.25">
      <c r="A121" s="2" t="s">
        <v>622</v>
      </c>
      <c r="B121" s="2" t="s">
        <v>347</v>
      </c>
      <c r="C121" s="2" t="s">
        <v>729</v>
      </c>
      <c r="D121" s="2" t="s">
        <v>729</v>
      </c>
      <c r="E121" s="2" t="s">
        <v>15</v>
      </c>
      <c r="F121" s="2" t="s">
        <v>16</v>
      </c>
      <c r="G121" s="2">
        <v>7.3</v>
      </c>
      <c r="H121" s="2" t="s">
        <v>9</v>
      </c>
      <c r="I121" s="5">
        <v>66</v>
      </c>
      <c r="J121" s="6">
        <v>133</v>
      </c>
      <c r="K121" s="6">
        <v>400</v>
      </c>
      <c r="L121" s="6">
        <v>800</v>
      </c>
      <c r="M121" s="5">
        <v>1</v>
      </c>
      <c r="N121" s="5">
        <v>5</v>
      </c>
      <c r="O121" s="5">
        <v>100</v>
      </c>
      <c r="P121" s="7" t="s">
        <v>788</v>
      </c>
      <c r="Q121" s="5">
        <v>10</v>
      </c>
    </row>
    <row r="122" spans="1:17" x14ac:dyDescent="0.25">
      <c r="A122" s="2" t="s">
        <v>623</v>
      </c>
      <c r="B122" s="2" t="s">
        <v>348</v>
      </c>
      <c r="C122" s="2" t="s">
        <v>729</v>
      </c>
      <c r="D122" s="2" t="s">
        <v>729</v>
      </c>
      <c r="E122" s="2" t="s">
        <v>15</v>
      </c>
      <c r="F122" s="2" t="s">
        <v>16</v>
      </c>
      <c r="G122" s="2">
        <v>3.6509999999999998</v>
      </c>
      <c r="H122" s="2" t="s">
        <v>9</v>
      </c>
      <c r="I122" s="5">
        <v>50</v>
      </c>
      <c r="J122" s="6">
        <v>100</v>
      </c>
      <c r="K122" s="6">
        <v>300</v>
      </c>
      <c r="L122" s="6">
        <v>600</v>
      </c>
      <c r="M122" s="5">
        <v>2</v>
      </c>
      <c r="N122" s="5">
        <v>3</v>
      </c>
      <c r="O122" s="5">
        <v>30</v>
      </c>
      <c r="P122" s="9" t="s">
        <v>774</v>
      </c>
      <c r="Q122" s="5">
        <v>3</v>
      </c>
    </row>
    <row r="123" spans="1:17" x14ac:dyDescent="0.25">
      <c r="A123" s="2" t="s">
        <v>623</v>
      </c>
      <c r="B123" s="2" t="s">
        <v>349</v>
      </c>
      <c r="C123" s="2" t="s">
        <v>729</v>
      </c>
      <c r="D123" s="2" t="s">
        <v>729</v>
      </c>
      <c r="E123" s="2" t="s">
        <v>15</v>
      </c>
      <c r="F123" s="2" t="s">
        <v>16</v>
      </c>
      <c r="G123" s="2">
        <v>3.9689999999999999</v>
      </c>
      <c r="H123" s="2" t="s">
        <v>9</v>
      </c>
      <c r="I123" s="5">
        <v>50</v>
      </c>
      <c r="J123" s="6">
        <v>100</v>
      </c>
      <c r="K123" s="6">
        <v>300</v>
      </c>
      <c r="L123" s="6">
        <v>600</v>
      </c>
      <c r="M123" s="5">
        <v>2</v>
      </c>
      <c r="N123" s="5">
        <v>3</v>
      </c>
      <c r="O123" s="5">
        <v>30</v>
      </c>
      <c r="P123" s="9" t="s">
        <v>774</v>
      </c>
      <c r="Q123" s="5">
        <v>3</v>
      </c>
    </row>
    <row r="124" spans="1:17" x14ac:dyDescent="0.25">
      <c r="A124" s="2" t="s">
        <v>623</v>
      </c>
      <c r="B124" s="2" t="s">
        <v>350</v>
      </c>
      <c r="C124" s="2" t="s">
        <v>729</v>
      </c>
      <c r="D124" s="2" t="s">
        <v>729</v>
      </c>
      <c r="E124" s="2" t="s">
        <v>15</v>
      </c>
      <c r="F124" s="2" t="s">
        <v>16</v>
      </c>
      <c r="G124" s="2">
        <v>3.9689999999999999</v>
      </c>
      <c r="H124" s="2" t="s">
        <v>9</v>
      </c>
      <c r="I124" s="5">
        <v>50</v>
      </c>
      <c r="J124" s="6">
        <v>100</v>
      </c>
      <c r="K124" s="6">
        <v>300</v>
      </c>
      <c r="L124" s="6">
        <v>600</v>
      </c>
      <c r="M124" s="5">
        <v>2</v>
      </c>
      <c r="N124" s="5">
        <v>5</v>
      </c>
      <c r="O124" s="5">
        <v>30</v>
      </c>
      <c r="P124" s="9" t="s">
        <v>785</v>
      </c>
      <c r="Q124" s="5">
        <v>5</v>
      </c>
    </row>
    <row r="125" spans="1:17" x14ac:dyDescent="0.25">
      <c r="A125" s="2" t="s">
        <v>620</v>
      </c>
      <c r="B125" s="2" t="s">
        <v>351</v>
      </c>
      <c r="C125" s="2" t="s">
        <v>729</v>
      </c>
      <c r="D125" s="2" t="s">
        <v>729</v>
      </c>
      <c r="E125" s="2" t="s">
        <v>15</v>
      </c>
      <c r="F125" s="2" t="s">
        <v>16</v>
      </c>
      <c r="G125" s="2">
        <v>4.4450000000000003</v>
      </c>
      <c r="H125" s="2" t="s">
        <v>9</v>
      </c>
      <c r="I125" s="5">
        <v>58</v>
      </c>
      <c r="J125" s="6">
        <v>116</v>
      </c>
      <c r="K125" s="6">
        <v>350</v>
      </c>
      <c r="L125" s="6">
        <v>700</v>
      </c>
      <c r="M125" s="5">
        <v>1</v>
      </c>
      <c r="N125" s="5"/>
      <c r="O125" s="5">
        <v>30</v>
      </c>
      <c r="P125" s="5" t="s">
        <v>752</v>
      </c>
      <c r="Q125" s="5">
        <v>1</v>
      </c>
    </row>
    <row r="126" spans="1:17" x14ac:dyDescent="0.25">
      <c r="A126" s="2" t="s">
        <v>623</v>
      </c>
      <c r="B126" s="2" t="s">
        <v>352</v>
      </c>
      <c r="C126" s="2" t="s">
        <v>729</v>
      </c>
      <c r="D126" s="2" t="s">
        <v>729</v>
      </c>
      <c r="E126" s="2" t="s">
        <v>15</v>
      </c>
      <c r="F126" s="2" t="s">
        <v>16</v>
      </c>
      <c r="G126" s="2">
        <v>3.5</v>
      </c>
      <c r="H126" s="2" t="s">
        <v>9</v>
      </c>
      <c r="I126" s="5">
        <v>41</v>
      </c>
      <c r="J126" s="6">
        <v>83</v>
      </c>
      <c r="K126" s="6">
        <v>250</v>
      </c>
      <c r="L126" s="6">
        <v>500</v>
      </c>
      <c r="M126" s="5">
        <v>2</v>
      </c>
      <c r="N126" s="5">
        <v>3</v>
      </c>
      <c r="O126" s="5">
        <v>30</v>
      </c>
      <c r="P126" s="9" t="s">
        <v>770</v>
      </c>
      <c r="Q126" s="5">
        <v>3</v>
      </c>
    </row>
    <row r="127" spans="1:17" x14ac:dyDescent="0.25">
      <c r="A127" s="2" t="s">
        <v>623</v>
      </c>
      <c r="B127" s="2" t="s">
        <v>353</v>
      </c>
      <c r="C127" s="2" t="s">
        <v>729</v>
      </c>
      <c r="D127" s="2" t="s">
        <v>729</v>
      </c>
      <c r="E127" s="2" t="s">
        <v>72</v>
      </c>
      <c r="F127" s="2" t="s">
        <v>354</v>
      </c>
      <c r="G127" s="2">
        <v>4.2300000000000004</v>
      </c>
      <c r="H127" s="2" t="s">
        <v>46</v>
      </c>
      <c r="I127" s="5">
        <v>75</v>
      </c>
      <c r="J127" s="6">
        <v>150</v>
      </c>
      <c r="K127" s="6">
        <v>450</v>
      </c>
      <c r="L127" s="6">
        <v>900</v>
      </c>
      <c r="M127" s="5">
        <v>2</v>
      </c>
      <c r="N127" s="5">
        <v>3</v>
      </c>
      <c r="O127" s="5">
        <v>20</v>
      </c>
      <c r="P127" s="9" t="s">
        <v>770</v>
      </c>
      <c r="Q127" s="5">
        <v>3</v>
      </c>
    </row>
    <row r="128" spans="1:17" x14ac:dyDescent="0.25">
      <c r="A128" s="2" t="s">
        <v>623</v>
      </c>
      <c r="B128" s="2" t="s">
        <v>355</v>
      </c>
      <c r="C128" s="2" t="s">
        <v>729</v>
      </c>
      <c r="D128" s="2" t="s">
        <v>729</v>
      </c>
      <c r="E128" s="2" t="s">
        <v>15</v>
      </c>
      <c r="F128" s="2" t="s">
        <v>16</v>
      </c>
      <c r="G128" s="2">
        <v>3.048</v>
      </c>
      <c r="H128" s="2" t="s">
        <v>9</v>
      </c>
      <c r="I128" s="5">
        <v>50</v>
      </c>
      <c r="J128" s="6">
        <v>100</v>
      </c>
      <c r="K128" s="6">
        <v>300</v>
      </c>
      <c r="L128" s="6">
        <v>600</v>
      </c>
      <c r="M128" s="5">
        <v>2</v>
      </c>
      <c r="N128" s="5">
        <v>3</v>
      </c>
      <c r="O128" s="5">
        <v>25</v>
      </c>
      <c r="P128" s="9" t="s">
        <v>780</v>
      </c>
      <c r="Q128" s="5">
        <v>3</v>
      </c>
    </row>
    <row r="129" spans="1:17" x14ac:dyDescent="0.25">
      <c r="A129" s="2" t="s">
        <v>620</v>
      </c>
      <c r="B129" s="2" t="s">
        <v>356</v>
      </c>
      <c r="C129" s="2" t="s">
        <v>729</v>
      </c>
      <c r="D129" s="2" t="s">
        <v>729</v>
      </c>
      <c r="E129" s="2" t="s">
        <v>218</v>
      </c>
      <c r="F129" s="2" t="s">
        <v>102</v>
      </c>
      <c r="G129" s="2">
        <v>3.2570000000000001</v>
      </c>
      <c r="H129" s="2" t="s">
        <v>54</v>
      </c>
      <c r="I129" s="5">
        <v>20</v>
      </c>
      <c r="J129" s="6">
        <v>40</v>
      </c>
      <c r="K129" s="6">
        <v>120</v>
      </c>
      <c r="L129" s="6">
        <v>240</v>
      </c>
      <c r="M129" s="5">
        <v>1</v>
      </c>
      <c r="N129" s="5"/>
      <c r="O129" s="5">
        <v>30</v>
      </c>
      <c r="P129" s="5" t="s">
        <v>755</v>
      </c>
      <c r="Q129" s="5">
        <v>1</v>
      </c>
    </row>
    <row r="130" spans="1:17" x14ac:dyDescent="0.25">
      <c r="A130" s="2" t="s">
        <v>621</v>
      </c>
      <c r="B130" s="2" t="s">
        <v>357</v>
      </c>
      <c r="C130" s="2" t="s">
        <v>729</v>
      </c>
      <c r="D130" s="2" t="s">
        <v>729</v>
      </c>
      <c r="E130" s="2" t="s">
        <v>188</v>
      </c>
      <c r="F130" s="2" t="s">
        <v>185</v>
      </c>
      <c r="G130" s="2">
        <v>3.7</v>
      </c>
      <c r="H130" s="2" t="s">
        <v>47</v>
      </c>
      <c r="I130" s="5">
        <v>20</v>
      </c>
      <c r="J130" s="6">
        <v>40</v>
      </c>
      <c r="K130" s="6">
        <v>120</v>
      </c>
      <c r="L130" s="6">
        <v>240</v>
      </c>
      <c r="M130" s="5">
        <v>2</v>
      </c>
      <c r="N130" s="5">
        <v>10</v>
      </c>
      <c r="O130" s="5">
        <v>10</v>
      </c>
      <c r="P130" s="8" t="s">
        <v>789</v>
      </c>
      <c r="Q130" s="5">
        <v>10</v>
      </c>
    </row>
    <row r="131" spans="1:17" x14ac:dyDescent="0.25">
      <c r="A131" s="2" t="s">
        <v>623</v>
      </c>
      <c r="B131" s="2" t="s">
        <v>358</v>
      </c>
      <c r="C131" s="2" t="s">
        <v>729</v>
      </c>
      <c r="D131" s="2" t="s">
        <v>729</v>
      </c>
      <c r="E131" s="2" t="s">
        <v>15</v>
      </c>
      <c r="F131" s="2" t="s">
        <v>16</v>
      </c>
      <c r="G131" s="2">
        <v>3.02</v>
      </c>
      <c r="H131" s="2" t="s">
        <v>9</v>
      </c>
      <c r="I131" s="5">
        <v>41</v>
      </c>
      <c r="J131" s="6">
        <v>83</v>
      </c>
      <c r="K131" s="6">
        <v>250</v>
      </c>
      <c r="L131" s="6">
        <v>500</v>
      </c>
      <c r="M131" s="5">
        <v>2</v>
      </c>
      <c r="N131" s="5">
        <v>2</v>
      </c>
      <c r="O131" s="5">
        <v>30</v>
      </c>
      <c r="P131" s="9" t="s">
        <v>770</v>
      </c>
      <c r="Q131" s="5">
        <v>2</v>
      </c>
    </row>
    <row r="132" spans="1:17" x14ac:dyDescent="0.25">
      <c r="A132" s="2" t="s">
        <v>623</v>
      </c>
      <c r="B132" s="2" t="s">
        <v>359</v>
      </c>
      <c r="C132" s="2" t="s">
        <v>729</v>
      </c>
      <c r="D132" s="2" t="s">
        <v>729</v>
      </c>
      <c r="E132" s="2" t="s">
        <v>72</v>
      </c>
      <c r="F132" s="2" t="s">
        <v>73</v>
      </c>
      <c r="G132" s="2">
        <v>4.4000000000000004</v>
      </c>
      <c r="H132" s="2" t="s">
        <v>46</v>
      </c>
      <c r="I132" s="5">
        <v>50</v>
      </c>
      <c r="J132" s="6">
        <v>100</v>
      </c>
      <c r="K132" s="6">
        <v>300</v>
      </c>
      <c r="L132" s="6">
        <v>600</v>
      </c>
      <c r="M132" s="5">
        <v>2</v>
      </c>
      <c r="N132" s="5">
        <v>5</v>
      </c>
      <c r="O132" s="5">
        <v>20</v>
      </c>
      <c r="P132" s="9" t="s">
        <v>780</v>
      </c>
      <c r="Q132" s="5">
        <v>5</v>
      </c>
    </row>
    <row r="133" spans="1:17" x14ac:dyDescent="0.25">
      <c r="A133" s="2" t="s">
        <v>623</v>
      </c>
      <c r="B133" s="2" t="s">
        <v>360</v>
      </c>
      <c r="C133" s="2" t="s">
        <v>729</v>
      </c>
      <c r="D133" s="2" t="s">
        <v>729</v>
      </c>
      <c r="E133" s="2" t="s">
        <v>72</v>
      </c>
      <c r="F133" s="2" t="s">
        <v>73</v>
      </c>
      <c r="G133" s="2">
        <v>4.7169999999999996</v>
      </c>
      <c r="H133" s="2" t="s">
        <v>46</v>
      </c>
      <c r="I133" s="5">
        <v>50</v>
      </c>
      <c r="J133" s="6">
        <v>100</v>
      </c>
      <c r="K133" s="6">
        <v>300</v>
      </c>
      <c r="L133" s="6">
        <v>600</v>
      </c>
      <c r="M133" s="5">
        <v>2</v>
      </c>
      <c r="N133" s="5">
        <v>5</v>
      </c>
      <c r="O133" s="5">
        <v>20</v>
      </c>
      <c r="P133" s="9" t="s">
        <v>780</v>
      </c>
      <c r="Q133" s="5">
        <v>5</v>
      </c>
    </row>
    <row r="134" spans="1:17" x14ac:dyDescent="0.25">
      <c r="A134" s="2" t="s">
        <v>623</v>
      </c>
      <c r="B134" s="2" t="s">
        <v>361</v>
      </c>
      <c r="C134" s="2" t="s">
        <v>729</v>
      </c>
      <c r="D134" s="2" t="s">
        <v>729</v>
      </c>
      <c r="E134" s="2" t="s">
        <v>72</v>
      </c>
      <c r="F134" s="2" t="s">
        <v>73</v>
      </c>
      <c r="G134" s="2">
        <v>4.4000000000000004</v>
      </c>
      <c r="H134" s="2" t="s">
        <v>46</v>
      </c>
      <c r="I134" s="5">
        <v>50</v>
      </c>
      <c r="J134" s="6">
        <v>100</v>
      </c>
      <c r="K134" s="6">
        <v>300</v>
      </c>
      <c r="L134" s="6">
        <v>600</v>
      </c>
      <c r="M134" s="5">
        <v>2</v>
      </c>
      <c r="N134" s="5">
        <v>5</v>
      </c>
      <c r="O134" s="5">
        <v>20</v>
      </c>
      <c r="P134" s="9" t="s">
        <v>780</v>
      </c>
      <c r="Q134" s="5">
        <v>5</v>
      </c>
    </row>
    <row r="135" spans="1:17" x14ac:dyDescent="0.25">
      <c r="A135" s="2" t="s">
        <v>620</v>
      </c>
      <c r="B135" s="2" t="s">
        <v>362</v>
      </c>
      <c r="C135" s="2" t="s">
        <v>729</v>
      </c>
      <c r="D135" s="2" t="s">
        <v>729</v>
      </c>
      <c r="E135" s="2" t="s">
        <v>72</v>
      </c>
      <c r="F135" s="2" t="s">
        <v>73</v>
      </c>
      <c r="G135" s="2">
        <v>5.4880000000000004</v>
      </c>
      <c r="H135" s="2" t="s">
        <v>46</v>
      </c>
      <c r="I135" s="5">
        <v>66</v>
      </c>
      <c r="J135" s="6">
        <v>133</v>
      </c>
      <c r="K135" s="6">
        <v>400</v>
      </c>
      <c r="L135" s="6">
        <v>800</v>
      </c>
      <c r="M135" s="5">
        <v>2</v>
      </c>
      <c r="N135" s="5"/>
      <c r="O135" s="5">
        <v>10</v>
      </c>
      <c r="P135" s="5" t="s">
        <v>752</v>
      </c>
      <c r="Q135" s="5">
        <v>1</v>
      </c>
    </row>
    <row r="136" spans="1:17" x14ac:dyDescent="0.25">
      <c r="A136" s="2" t="s">
        <v>623</v>
      </c>
      <c r="B136" s="2" t="s">
        <v>363</v>
      </c>
      <c r="C136" s="2" t="s">
        <v>729</v>
      </c>
      <c r="D136" s="2" t="s">
        <v>729</v>
      </c>
      <c r="E136" s="2" t="s">
        <v>15</v>
      </c>
      <c r="F136" s="2" t="s">
        <v>16</v>
      </c>
      <c r="G136" s="2">
        <v>3.63</v>
      </c>
      <c r="H136" s="2" t="s">
        <v>9</v>
      </c>
      <c r="I136" s="5">
        <v>50</v>
      </c>
      <c r="J136" s="6">
        <v>100</v>
      </c>
      <c r="K136" s="6">
        <v>300</v>
      </c>
      <c r="L136" s="6">
        <v>600</v>
      </c>
      <c r="M136" s="5">
        <v>2</v>
      </c>
      <c r="N136" s="5">
        <v>4</v>
      </c>
      <c r="O136" s="5">
        <v>30</v>
      </c>
      <c r="P136" s="9" t="s">
        <v>790</v>
      </c>
      <c r="Q136" s="5">
        <v>4</v>
      </c>
    </row>
    <row r="137" spans="1:17" x14ac:dyDescent="0.25">
      <c r="A137" s="2" t="s">
        <v>623</v>
      </c>
      <c r="B137" s="2" t="s">
        <v>364</v>
      </c>
      <c r="C137" s="2" t="s">
        <v>729</v>
      </c>
      <c r="D137" s="2" t="s">
        <v>729</v>
      </c>
      <c r="E137" s="2" t="s">
        <v>15</v>
      </c>
      <c r="F137" s="2" t="s">
        <v>16</v>
      </c>
      <c r="G137" s="2">
        <v>3.34</v>
      </c>
      <c r="H137" s="2" t="s">
        <v>9</v>
      </c>
      <c r="I137" s="5">
        <v>41</v>
      </c>
      <c r="J137" s="6">
        <v>83</v>
      </c>
      <c r="K137" s="6">
        <v>250</v>
      </c>
      <c r="L137" s="6">
        <v>500</v>
      </c>
      <c r="M137" s="5">
        <v>2</v>
      </c>
      <c r="N137" s="5">
        <v>4</v>
      </c>
      <c r="O137" s="5">
        <v>30</v>
      </c>
      <c r="P137" s="9" t="s">
        <v>790</v>
      </c>
      <c r="Q137" s="5">
        <v>4</v>
      </c>
    </row>
    <row r="138" spans="1:17" x14ac:dyDescent="0.25">
      <c r="A138" s="2" t="s">
        <v>623</v>
      </c>
      <c r="B138" s="2" t="s">
        <v>365</v>
      </c>
      <c r="C138" s="2" t="s">
        <v>729</v>
      </c>
      <c r="D138" s="2" t="s">
        <v>729</v>
      </c>
      <c r="E138" s="2" t="s">
        <v>15</v>
      </c>
      <c r="F138" s="2" t="s">
        <v>16</v>
      </c>
      <c r="G138" s="2">
        <v>4.0999999999999996</v>
      </c>
      <c r="H138" s="2" t="s">
        <v>9</v>
      </c>
      <c r="I138" s="5">
        <v>41</v>
      </c>
      <c r="J138" s="6">
        <v>83</v>
      </c>
      <c r="K138" s="6">
        <v>250</v>
      </c>
      <c r="L138" s="6">
        <v>500</v>
      </c>
      <c r="M138" s="5">
        <v>1</v>
      </c>
      <c r="N138" s="5">
        <v>2</v>
      </c>
      <c r="O138" s="5">
        <v>30</v>
      </c>
      <c r="P138" s="7" t="s">
        <v>791</v>
      </c>
      <c r="Q138" s="5">
        <v>3</v>
      </c>
    </row>
    <row r="139" spans="1:17" x14ac:dyDescent="0.25">
      <c r="A139" s="2" t="s">
        <v>623</v>
      </c>
      <c r="B139" s="2" t="s">
        <v>366</v>
      </c>
      <c r="C139" s="2" t="s">
        <v>729</v>
      </c>
      <c r="D139" s="2" t="s">
        <v>729</v>
      </c>
      <c r="E139" s="2" t="s">
        <v>15</v>
      </c>
      <c r="F139" s="2" t="s">
        <v>16</v>
      </c>
      <c r="G139" s="2">
        <v>4.4000000000000004</v>
      </c>
      <c r="H139" s="2" t="s">
        <v>9</v>
      </c>
      <c r="I139" s="5">
        <v>41</v>
      </c>
      <c r="J139" s="6">
        <v>83</v>
      </c>
      <c r="K139" s="6">
        <v>250</v>
      </c>
      <c r="L139" s="6">
        <v>500</v>
      </c>
      <c r="M139" s="5">
        <v>1</v>
      </c>
      <c r="N139" s="5">
        <v>2</v>
      </c>
      <c r="O139" s="5">
        <v>30</v>
      </c>
      <c r="P139" s="7" t="s">
        <v>791</v>
      </c>
      <c r="Q139" s="5">
        <v>3</v>
      </c>
    </row>
    <row r="140" spans="1:17" x14ac:dyDescent="0.25">
      <c r="A140" s="2" t="s">
        <v>623</v>
      </c>
      <c r="B140" s="2" t="s">
        <v>367</v>
      </c>
      <c r="C140" s="2" t="s">
        <v>729</v>
      </c>
      <c r="D140" s="2" t="s">
        <v>729</v>
      </c>
      <c r="E140" s="2" t="s">
        <v>15</v>
      </c>
      <c r="F140" s="2" t="s">
        <v>16</v>
      </c>
      <c r="G140" s="2">
        <v>3.9</v>
      </c>
      <c r="H140" s="2" t="s">
        <v>9</v>
      </c>
      <c r="I140" s="5">
        <v>20</v>
      </c>
      <c r="J140" s="6">
        <v>40</v>
      </c>
      <c r="K140" s="6">
        <v>120</v>
      </c>
      <c r="L140" s="6">
        <v>240</v>
      </c>
      <c r="M140" s="5">
        <v>2</v>
      </c>
      <c r="N140" s="5">
        <v>3</v>
      </c>
      <c r="O140" s="5">
        <v>30</v>
      </c>
      <c r="P140" s="9" t="s">
        <v>792</v>
      </c>
      <c r="Q140" s="5">
        <v>3</v>
      </c>
    </row>
    <row r="141" spans="1:17" x14ac:dyDescent="0.25">
      <c r="A141" s="2" t="s">
        <v>619</v>
      </c>
      <c r="B141" s="2" t="s">
        <v>368</v>
      </c>
      <c r="C141" s="2" t="s">
        <v>729</v>
      </c>
      <c r="D141" s="2" t="s">
        <v>729</v>
      </c>
      <c r="E141" s="2" t="s">
        <v>132</v>
      </c>
      <c r="F141" s="2" t="s">
        <v>127</v>
      </c>
      <c r="G141" s="2">
        <v>1.21</v>
      </c>
      <c r="H141" s="2" t="s">
        <v>51</v>
      </c>
      <c r="I141" s="5">
        <v>5</v>
      </c>
      <c r="J141" s="6">
        <v>11</v>
      </c>
      <c r="K141" s="6">
        <v>35</v>
      </c>
      <c r="L141" s="6">
        <v>70</v>
      </c>
      <c r="M141" s="5">
        <v>2</v>
      </c>
      <c r="N141" s="5"/>
      <c r="O141" s="5">
        <v>12</v>
      </c>
      <c r="P141" s="5" t="s">
        <v>752</v>
      </c>
      <c r="Q141" s="5">
        <v>1</v>
      </c>
    </row>
    <row r="142" spans="1:17" x14ac:dyDescent="0.25">
      <c r="A142" s="2" t="s">
        <v>625</v>
      </c>
      <c r="B142" s="2" t="s">
        <v>369</v>
      </c>
      <c r="C142" s="2" t="s">
        <v>729</v>
      </c>
      <c r="D142" s="2" t="s">
        <v>729</v>
      </c>
      <c r="E142" s="2" t="s">
        <v>218</v>
      </c>
      <c r="F142" s="2" t="s">
        <v>102</v>
      </c>
      <c r="G142" s="2">
        <v>2.7810000000000001</v>
      </c>
      <c r="H142" s="2" t="s">
        <v>51</v>
      </c>
      <c r="I142" s="5">
        <v>8</v>
      </c>
      <c r="J142" s="6">
        <v>16</v>
      </c>
      <c r="K142" s="6">
        <v>50</v>
      </c>
      <c r="L142" s="6">
        <v>100</v>
      </c>
      <c r="M142" s="5">
        <v>1</v>
      </c>
      <c r="N142" s="5">
        <v>2</v>
      </c>
      <c r="O142" s="5">
        <v>30</v>
      </c>
      <c r="P142" s="9" t="s">
        <v>792</v>
      </c>
      <c r="Q142" s="5">
        <v>3</v>
      </c>
    </row>
    <row r="143" spans="1:17" x14ac:dyDescent="0.25">
      <c r="A143" s="2" t="s">
        <v>625</v>
      </c>
      <c r="B143" s="2" t="s">
        <v>370</v>
      </c>
      <c r="C143" s="2" t="s">
        <v>729</v>
      </c>
      <c r="D143" s="2" t="s">
        <v>729</v>
      </c>
      <c r="E143" s="2" t="s">
        <v>218</v>
      </c>
      <c r="F143" s="2" t="s">
        <v>102</v>
      </c>
      <c r="G143" s="2">
        <v>2.54</v>
      </c>
      <c r="H143" s="2" t="s">
        <v>51</v>
      </c>
      <c r="I143" s="5">
        <v>15</v>
      </c>
      <c r="J143" s="6">
        <v>30</v>
      </c>
      <c r="K143" s="6">
        <v>90</v>
      </c>
      <c r="L143" s="6">
        <v>180</v>
      </c>
      <c r="M143" s="5">
        <v>1</v>
      </c>
      <c r="N143" s="5">
        <v>3</v>
      </c>
      <c r="O143" s="5">
        <v>30</v>
      </c>
      <c r="P143" s="5" t="s">
        <v>758</v>
      </c>
      <c r="Q143" s="5">
        <v>5</v>
      </c>
    </row>
    <row r="144" spans="1:17" x14ac:dyDescent="0.25">
      <c r="A144" s="2" t="s">
        <v>625</v>
      </c>
      <c r="B144" s="2" t="s">
        <v>371</v>
      </c>
      <c r="C144" s="2" t="s">
        <v>729</v>
      </c>
      <c r="D144" s="2" t="s">
        <v>729</v>
      </c>
      <c r="E144" s="2" t="s">
        <v>218</v>
      </c>
      <c r="F144" s="2" t="s">
        <v>102</v>
      </c>
      <c r="G144" s="2">
        <v>2.88</v>
      </c>
      <c r="H144" s="2" t="s">
        <v>51</v>
      </c>
      <c r="I144" s="5">
        <v>15</v>
      </c>
      <c r="J144" s="6">
        <v>30</v>
      </c>
      <c r="K144" s="6">
        <v>90</v>
      </c>
      <c r="L144" s="6">
        <v>180</v>
      </c>
      <c r="M144" s="5">
        <v>1</v>
      </c>
      <c r="N144" s="5">
        <v>2</v>
      </c>
      <c r="O144" s="5">
        <v>30</v>
      </c>
      <c r="P144" s="5" t="s">
        <v>758</v>
      </c>
      <c r="Q144" s="5">
        <v>3</v>
      </c>
    </row>
    <row r="145" spans="1:17" x14ac:dyDescent="0.25">
      <c r="A145" s="2" t="s">
        <v>625</v>
      </c>
      <c r="B145" s="2" t="s">
        <v>372</v>
      </c>
      <c r="C145" s="2" t="s">
        <v>729</v>
      </c>
      <c r="D145" s="2" t="s">
        <v>729</v>
      </c>
      <c r="E145" s="2" t="s">
        <v>218</v>
      </c>
      <c r="F145" s="2" t="s">
        <v>102</v>
      </c>
      <c r="G145" s="2">
        <v>2.54</v>
      </c>
      <c r="H145" s="2" t="s">
        <v>51</v>
      </c>
      <c r="I145" s="5">
        <v>15</v>
      </c>
      <c r="J145" s="6">
        <v>30</v>
      </c>
      <c r="K145" s="6">
        <v>90</v>
      </c>
      <c r="L145" s="6">
        <v>180</v>
      </c>
      <c r="M145" s="5">
        <v>1</v>
      </c>
      <c r="N145" s="5">
        <v>2</v>
      </c>
      <c r="O145" s="5">
        <v>30</v>
      </c>
      <c r="P145" s="9" t="s">
        <v>784</v>
      </c>
      <c r="Q145" s="5">
        <v>3</v>
      </c>
    </row>
    <row r="146" spans="1:17" x14ac:dyDescent="0.25">
      <c r="A146" s="2" t="s">
        <v>625</v>
      </c>
      <c r="B146" s="2" t="s">
        <v>373</v>
      </c>
      <c r="C146" s="2" t="s">
        <v>729</v>
      </c>
      <c r="D146" s="2" t="s">
        <v>729</v>
      </c>
      <c r="E146" s="2" t="s">
        <v>218</v>
      </c>
      <c r="F146" s="2" t="s">
        <v>102</v>
      </c>
      <c r="G146" s="2">
        <v>2.88</v>
      </c>
      <c r="H146" s="2" t="s">
        <v>51</v>
      </c>
      <c r="I146" s="5">
        <v>15</v>
      </c>
      <c r="J146" s="6">
        <v>30</v>
      </c>
      <c r="K146" s="6">
        <v>90</v>
      </c>
      <c r="L146" s="6">
        <v>180</v>
      </c>
      <c r="M146" s="5">
        <v>1</v>
      </c>
      <c r="N146" s="5">
        <v>2</v>
      </c>
      <c r="O146" s="5">
        <v>30</v>
      </c>
      <c r="P146" s="9" t="s">
        <v>784</v>
      </c>
      <c r="Q146" s="5">
        <v>3</v>
      </c>
    </row>
    <row r="147" spans="1:17" x14ac:dyDescent="0.25">
      <c r="A147" s="2" t="s">
        <v>625</v>
      </c>
      <c r="B147" s="2" t="s">
        <v>374</v>
      </c>
      <c r="C147" s="2" t="s">
        <v>729</v>
      </c>
      <c r="D147" s="2" t="s">
        <v>729</v>
      </c>
      <c r="E147" s="2" t="s">
        <v>218</v>
      </c>
      <c r="F147" s="2" t="s">
        <v>102</v>
      </c>
      <c r="G147" s="2">
        <v>2</v>
      </c>
      <c r="H147" s="2" t="s">
        <v>51</v>
      </c>
      <c r="I147" s="5">
        <v>5</v>
      </c>
      <c r="J147" s="6">
        <v>11</v>
      </c>
      <c r="K147" s="6">
        <v>35</v>
      </c>
      <c r="L147" s="6">
        <v>70</v>
      </c>
      <c r="M147" s="5">
        <v>2</v>
      </c>
      <c r="N147" s="5">
        <v>3</v>
      </c>
      <c r="O147" s="5">
        <v>30</v>
      </c>
      <c r="P147" s="5" t="s">
        <v>759</v>
      </c>
      <c r="Q147" s="5">
        <v>3</v>
      </c>
    </row>
    <row r="148" spans="1:17" x14ac:dyDescent="0.25">
      <c r="A148" s="2" t="s">
        <v>625</v>
      </c>
      <c r="B148" s="2" t="s">
        <v>375</v>
      </c>
      <c r="C148" s="2" t="s">
        <v>729</v>
      </c>
      <c r="D148" s="2" t="s">
        <v>729</v>
      </c>
      <c r="E148" s="2" t="s">
        <v>218</v>
      </c>
      <c r="F148" s="2" t="s">
        <v>102</v>
      </c>
      <c r="G148" s="2">
        <v>3.1</v>
      </c>
      <c r="H148" s="2" t="s">
        <v>51</v>
      </c>
      <c r="I148" s="5">
        <v>15</v>
      </c>
      <c r="J148" s="6">
        <v>30</v>
      </c>
      <c r="K148" s="6">
        <v>90</v>
      </c>
      <c r="L148" s="6">
        <v>180</v>
      </c>
      <c r="M148" s="5">
        <v>1</v>
      </c>
      <c r="N148" s="5">
        <v>2</v>
      </c>
      <c r="O148" s="5">
        <v>30</v>
      </c>
      <c r="P148" s="9" t="s">
        <v>784</v>
      </c>
      <c r="Q148" s="5">
        <v>3</v>
      </c>
    </row>
    <row r="149" spans="1:17" x14ac:dyDescent="0.25">
      <c r="A149" s="2" t="s">
        <v>625</v>
      </c>
      <c r="B149" s="2" t="s">
        <v>376</v>
      </c>
      <c r="C149" s="2" t="s">
        <v>729</v>
      </c>
      <c r="D149" s="2" t="s">
        <v>729</v>
      </c>
      <c r="E149" s="2" t="s">
        <v>218</v>
      </c>
      <c r="F149" s="2" t="s">
        <v>102</v>
      </c>
      <c r="G149" s="2">
        <v>3.4</v>
      </c>
      <c r="H149" s="2" t="s">
        <v>51</v>
      </c>
      <c r="I149" s="5">
        <v>15</v>
      </c>
      <c r="J149" s="6">
        <v>30</v>
      </c>
      <c r="K149" s="6">
        <v>90</v>
      </c>
      <c r="L149" s="6">
        <v>180</v>
      </c>
      <c r="M149" s="5">
        <v>1</v>
      </c>
      <c r="N149" s="5">
        <v>3</v>
      </c>
      <c r="O149" s="5">
        <v>30</v>
      </c>
      <c r="P149" s="5" t="s">
        <v>760</v>
      </c>
      <c r="Q149" s="5">
        <v>5</v>
      </c>
    </row>
    <row r="150" spans="1:17" x14ac:dyDescent="0.25">
      <c r="A150" s="2" t="s">
        <v>625</v>
      </c>
      <c r="B150" s="2" t="s">
        <v>377</v>
      </c>
      <c r="C150" s="2" t="s">
        <v>729</v>
      </c>
      <c r="D150" s="2" t="s">
        <v>729</v>
      </c>
      <c r="E150" s="2" t="s">
        <v>130</v>
      </c>
      <c r="F150" s="2" t="s">
        <v>245</v>
      </c>
      <c r="G150" s="2">
        <v>2.88</v>
      </c>
      <c r="H150" s="2" t="s">
        <v>51</v>
      </c>
      <c r="I150" s="5">
        <v>15</v>
      </c>
      <c r="J150" s="6">
        <v>30</v>
      </c>
      <c r="K150" s="6">
        <v>90</v>
      </c>
      <c r="L150" s="6">
        <v>180</v>
      </c>
      <c r="M150" s="5">
        <v>1</v>
      </c>
      <c r="N150" s="5">
        <v>2</v>
      </c>
      <c r="O150" s="5">
        <v>30</v>
      </c>
      <c r="P150" s="9" t="s">
        <v>784</v>
      </c>
      <c r="Q150" s="5">
        <v>3</v>
      </c>
    </row>
    <row r="151" spans="1:17" x14ac:dyDescent="0.25">
      <c r="A151" s="2" t="s">
        <v>625</v>
      </c>
      <c r="B151" s="2" t="s">
        <v>378</v>
      </c>
      <c r="C151" s="2" t="s">
        <v>729</v>
      </c>
      <c r="D151" s="2" t="s">
        <v>729</v>
      </c>
      <c r="E151" s="2" t="s">
        <v>183</v>
      </c>
      <c r="F151" s="2" t="s">
        <v>183</v>
      </c>
      <c r="G151" s="2">
        <v>2.86</v>
      </c>
      <c r="H151" s="2" t="s">
        <v>95</v>
      </c>
      <c r="I151" s="5">
        <v>15</v>
      </c>
      <c r="J151" s="6">
        <v>30</v>
      </c>
      <c r="K151" s="6">
        <v>90</v>
      </c>
      <c r="L151" s="6">
        <v>180</v>
      </c>
      <c r="M151" s="5">
        <v>1</v>
      </c>
      <c r="N151" s="5">
        <v>2</v>
      </c>
      <c r="O151" s="5">
        <v>40</v>
      </c>
      <c r="P151" s="9" t="s">
        <v>793</v>
      </c>
      <c r="Q151" s="5">
        <v>3</v>
      </c>
    </row>
    <row r="152" spans="1:17" x14ac:dyDescent="0.25">
      <c r="A152" s="2" t="s">
        <v>619</v>
      </c>
      <c r="B152" s="2" t="s">
        <v>379</v>
      </c>
      <c r="C152" s="2" t="s">
        <v>729</v>
      </c>
      <c r="D152" s="2" t="s">
        <v>729</v>
      </c>
      <c r="E152" s="2" t="s">
        <v>218</v>
      </c>
      <c r="F152" s="2" t="s">
        <v>102</v>
      </c>
      <c r="G152" s="2">
        <v>0.72</v>
      </c>
      <c r="H152" s="2" t="s">
        <v>51</v>
      </c>
      <c r="I152" s="5">
        <v>5</v>
      </c>
      <c r="J152" s="6">
        <v>11</v>
      </c>
      <c r="K152" s="6">
        <v>35</v>
      </c>
      <c r="L152" s="6">
        <v>70</v>
      </c>
      <c r="M152" s="5">
        <v>4</v>
      </c>
      <c r="N152" s="5"/>
      <c r="O152" s="5">
        <v>13</v>
      </c>
      <c r="P152" s="5" t="s">
        <v>752</v>
      </c>
      <c r="Q152" s="5">
        <v>1</v>
      </c>
    </row>
    <row r="153" spans="1:17" x14ac:dyDescent="0.25">
      <c r="A153" s="2" t="s">
        <v>619</v>
      </c>
      <c r="B153" s="2" t="s">
        <v>380</v>
      </c>
      <c r="C153" s="2" t="s">
        <v>729</v>
      </c>
      <c r="D153" s="2" t="s">
        <v>729</v>
      </c>
      <c r="E153" s="2" t="s">
        <v>96</v>
      </c>
      <c r="F153" s="2" t="s">
        <v>97</v>
      </c>
      <c r="G153" s="2">
        <v>0.52</v>
      </c>
      <c r="H153" s="2" t="s">
        <v>33</v>
      </c>
      <c r="I153" s="5">
        <v>5</v>
      </c>
      <c r="J153" s="6">
        <v>11</v>
      </c>
      <c r="K153" s="6">
        <v>35</v>
      </c>
      <c r="L153" s="6">
        <v>70</v>
      </c>
      <c r="M153" s="5">
        <v>3</v>
      </c>
      <c r="N153" s="5"/>
      <c r="O153" s="5">
        <v>7</v>
      </c>
      <c r="P153" s="5" t="s">
        <v>752</v>
      </c>
      <c r="Q153" s="5">
        <v>1</v>
      </c>
    </row>
    <row r="154" spans="1:17" x14ac:dyDescent="0.25">
      <c r="A154" s="2" t="s">
        <v>619</v>
      </c>
      <c r="B154" s="2" t="s">
        <v>381</v>
      </c>
      <c r="C154" s="2" t="s">
        <v>729</v>
      </c>
      <c r="D154" s="2" t="s">
        <v>729</v>
      </c>
      <c r="E154" s="2" t="s">
        <v>218</v>
      </c>
      <c r="F154" s="2" t="s">
        <v>102</v>
      </c>
      <c r="G154" s="2">
        <v>0.88</v>
      </c>
      <c r="H154" s="2" t="s">
        <v>51</v>
      </c>
      <c r="I154" s="5">
        <v>5</v>
      </c>
      <c r="J154" s="6">
        <v>11</v>
      </c>
      <c r="K154" s="6">
        <v>35</v>
      </c>
      <c r="L154" s="6">
        <v>70</v>
      </c>
      <c r="M154" s="5">
        <v>3</v>
      </c>
      <c r="N154" s="5"/>
      <c r="O154" s="5">
        <v>9</v>
      </c>
      <c r="P154" s="5" t="s">
        <v>752</v>
      </c>
      <c r="Q154" s="5">
        <v>1</v>
      </c>
    </row>
    <row r="155" spans="1:17" x14ac:dyDescent="0.25">
      <c r="A155" s="2" t="s">
        <v>620</v>
      </c>
      <c r="B155" s="2" t="s">
        <v>382</v>
      </c>
      <c r="C155" s="2" t="s">
        <v>729</v>
      </c>
      <c r="D155" s="2" t="s">
        <v>729</v>
      </c>
      <c r="E155" s="2" t="s">
        <v>72</v>
      </c>
      <c r="F155" s="2" t="s">
        <v>73</v>
      </c>
      <c r="G155" s="2">
        <v>8.1</v>
      </c>
      <c r="H155" s="2" t="s">
        <v>46</v>
      </c>
      <c r="I155" s="5">
        <v>58</v>
      </c>
      <c r="J155" s="6">
        <v>116</v>
      </c>
      <c r="K155" s="6">
        <v>350</v>
      </c>
      <c r="L155" s="6">
        <v>700</v>
      </c>
      <c r="M155" s="5">
        <v>1</v>
      </c>
      <c r="N155" s="5"/>
      <c r="O155" s="5">
        <v>10</v>
      </c>
      <c r="P155" s="5" t="s">
        <v>755</v>
      </c>
      <c r="Q155" s="5">
        <v>1</v>
      </c>
    </row>
    <row r="156" spans="1:17" x14ac:dyDescent="0.25">
      <c r="A156" s="2" t="s">
        <v>619</v>
      </c>
      <c r="B156" s="2" t="s">
        <v>383</v>
      </c>
      <c r="C156" s="2" t="s">
        <v>729</v>
      </c>
      <c r="D156" s="2" t="s">
        <v>729</v>
      </c>
      <c r="E156" s="2" t="s">
        <v>218</v>
      </c>
      <c r="F156" s="2" t="s">
        <v>102</v>
      </c>
      <c r="G156" s="2">
        <v>0.64500000000000002</v>
      </c>
      <c r="H156" s="2" t="s">
        <v>51</v>
      </c>
      <c r="I156" s="5">
        <v>5</v>
      </c>
      <c r="J156" s="6">
        <v>11</v>
      </c>
      <c r="K156" s="6">
        <v>35</v>
      </c>
      <c r="L156" s="6">
        <v>70</v>
      </c>
      <c r="M156" s="5">
        <v>4</v>
      </c>
      <c r="N156" s="5"/>
      <c r="O156" s="5">
        <v>13</v>
      </c>
      <c r="P156" s="5" t="s">
        <v>752</v>
      </c>
      <c r="Q156" s="5">
        <v>1</v>
      </c>
    </row>
    <row r="157" spans="1:17" x14ac:dyDescent="0.25">
      <c r="A157" s="2" t="s">
        <v>623</v>
      </c>
      <c r="B157" s="2" t="s">
        <v>384</v>
      </c>
      <c r="C157" s="2" t="s">
        <v>729</v>
      </c>
      <c r="D157" s="2" t="s">
        <v>729</v>
      </c>
      <c r="E157" s="2" t="s">
        <v>15</v>
      </c>
      <c r="F157" s="2" t="s">
        <v>16</v>
      </c>
      <c r="G157" s="2">
        <v>2.6589999999999998</v>
      </c>
      <c r="H157" s="2" t="s">
        <v>9</v>
      </c>
      <c r="I157" s="5">
        <v>50</v>
      </c>
      <c r="J157" s="6">
        <v>100</v>
      </c>
      <c r="K157" s="6">
        <v>300</v>
      </c>
      <c r="L157" s="6">
        <v>600</v>
      </c>
      <c r="M157" s="5">
        <v>2</v>
      </c>
      <c r="N157" s="5">
        <v>3</v>
      </c>
      <c r="O157" s="5">
        <v>30</v>
      </c>
      <c r="P157" s="9" t="s">
        <v>770</v>
      </c>
      <c r="Q157" s="5">
        <v>3</v>
      </c>
    </row>
    <row r="158" spans="1:17" x14ac:dyDescent="0.25">
      <c r="A158" s="2" t="s">
        <v>619</v>
      </c>
      <c r="B158" s="2" t="s">
        <v>385</v>
      </c>
      <c r="C158" s="2" t="s">
        <v>729</v>
      </c>
      <c r="D158" s="2" t="s">
        <v>729</v>
      </c>
      <c r="E158" s="2" t="s">
        <v>38</v>
      </c>
      <c r="F158" s="2" t="s">
        <v>39</v>
      </c>
      <c r="G158" s="2">
        <v>0.48</v>
      </c>
      <c r="H158" s="2" t="s">
        <v>28</v>
      </c>
      <c r="I158" s="5">
        <v>4</v>
      </c>
      <c r="J158" s="6">
        <v>8</v>
      </c>
      <c r="K158" s="6">
        <v>25</v>
      </c>
      <c r="L158" s="6">
        <v>50</v>
      </c>
      <c r="M158" s="5">
        <v>2</v>
      </c>
      <c r="N158" s="5"/>
      <c r="O158" s="5">
        <v>7</v>
      </c>
      <c r="P158" s="5" t="s">
        <v>752</v>
      </c>
      <c r="Q158" s="5">
        <v>1</v>
      </c>
    </row>
    <row r="159" spans="1:17" x14ac:dyDescent="0.25">
      <c r="A159" s="2" t="s">
        <v>626</v>
      </c>
      <c r="B159" s="2" t="s">
        <v>386</v>
      </c>
      <c r="C159" s="2" t="s">
        <v>729</v>
      </c>
      <c r="D159" s="2" t="s">
        <v>729</v>
      </c>
      <c r="E159" s="2" t="s">
        <v>26</v>
      </c>
      <c r="G159" s="2">
        <v>1.3</v>
      </c>
      <c r="H159" s="2" t="s">
        <v>28</v>
      </c>
      <c r="I159" s="5">
        <v>3</v>
      </c>
      <c r="J159" s="6">
        <v>6</v>
      </c>
      <c r="K159" s="6">
        <v>20</v>
      </c>
      <c r="L159" s="6">
        <v>40</v>
      </c>
      <c r="M159" s="5">
        <v>1</v>
      </c>
      <c r="N159" s="5"/>
      <c r="O159" s="5">
        <v>10</v>
      </c>
      <c r="P159" s="5" t="s">
        <v>752</v>
      </c>
      <c r="Q159" s="5">
        <v>1</v>
      </c>
    </row>
    <row r="160" spans="1:17" x14ac:dyDescent="0.25">
      <c r="A160" s="2" t="s">
        <v>619</v>
      </c>
      <c r="B160" s="2" t="s">
        <v>387</v>
      </c>
      <c r="C160" s="2" t="s">
        <v>729</v>
      </c>
      <c r="D160" s="2" t="s">
        <v>729</v>
      </c>
      <c r="E160" s="2" t="s">
        <v>35</v>
      </c>
      <c r="F160" s="2" t="s">
        <v>27</v>
      </c>
      <c r="G160" s="2">
        <v>0.31</v>
      </c>
      <c r="H160" s="2" t="s">
        <v>28</v>
      </c>
      <c r="I160" s="5">
        <v>2</v>
      </c>
      <c r="J160" s="6">
        <v>4</v>
      </c>
      <c r="K160" s="6">
        <v>12</v>
      </c>
      <c r="L160" s="6">
        <v>24</v>
      </c>
      <c r="M160" s="5">
        <v>5</v>
      </c>
      <c r="N160" s="5"/>
      <c r="O160" s="5">
        <v>2</v>
      </c>
      <c r="P160" s="5" t="s">
        <v>752</v>
      </c>
      <c r="Q160" s="5">
        <v>1</v>
      </c>
    </row>
    <row r="161" spans="1:17" x14ac:dyDescent="0.25">
      <c r="A161" s="2" t="s">
        <v>625</v>
      </c>
      <c r="B161" s="2" t="s">
        <v>388</v>
      </c>
      <c r="C161" s="2" t="s">
        <v>729</v>
      </c>
      <c r="D161" s="2" t="s">
        <v>729</v>
      </c>
      <c r="E161" s="2" t="s">
        <v>218</v>
      </c>
      <c r="F161" s="2" t="s">
        <v>102</v>
      </c>
      <c r="G161" s="2">
        <v>2.7</v>
      </c>
      <c r="H161" s="2" t="s">
        <v>51</v>
      </c>
      <c r="I161" s="5">
        <v>15</v>
      </c>
      <c r="J161" s="6">
        <v>30</v>
      </c>
      <c r="K161" s="6">
        <v>90</v>
      </c>
      <c r="L161" s="6">
        <v>180</v>
      </c>
      <c r="M161" s="5"/>
      <c r="N161" s="5">
        <v>3</v>
      </c>
      <c r="O161" s="5">
        <v>32</v>
      </c>
      <c r="P161" s="5">
        <v>50</v>
      </c>
      <c r="Q161" s="5">
        <v>5</v>
      </c>
    </row>
    <row r="162" spans="1:17" x14ac:dyDescent="0.25">
      <c r="A162" s="2" t="s">
        <v>630</v>
      </c>
      <c r="B162" s="2" t="s">
        <v>389</v>
      </c>
      <c r="C162" s="2" t="s">
        <v>729</v>
      </c>
      <c r="D162" s="2" t="s">
        <v>729</v>
      </c>
      <c r="E162" s="2" t="s">
        <v>390</v>
      </c>
      <c r="F162" s="2" t="s">
        <v>92</v>
      </c>
      <c r="G162" s="2">
        <v>25.3</v>
      </c>
      <c r="H162" s="2" t="s">
        <v>46</v>
      </c>
      <c r="I162" s="5">
        <v>100</v>
      </c>
      <c r="J162" s="6">
        <v>200</v>
      </c>
      <c r="K162" s="6">
        <v>600</v>
      </c>
      <c r="L162" s="6">
        <v>1200</v>
      </c>
      <c r="M162" s="5"/>
      <c r="N162" s="5">
        <v>5</v>
      </c>
      <c r="O162" s="5">
        <v>250</v>
      </c>
      <c r="P162" s="5">
        <v>50</v>
      </c>
      <c r="Q162" s="5">
        <v>10</v>
      </c>
    </row>
    <row r="163" spans="1:17" x14ac:dyDescent="0.25">
      <c r="A163" s="2" t="s">
        <v>619</v>
      </c>
      <c r="B163" s="2" t="s">
        <v>391</v>
      </c>
      <c r="C163" s="2" t="s">
        <v>729</v>
      </c>
      <c r="D163" s="2" t="s">
        <v>729</v>
      </c>
      <c r="E163" s="2" t="s">
        <v>132</v>
      </c>
      <c r="F163" s="2" t="s">
        <v>127</v>
      </c>
      <c r="G163" s="2">
        <v>0.94</v>
      </c>
      <c r="H163" s="2" t="s">
        <v>51</v>
      </c>
      <c r="I163" s="5">
        <v>6</v>
      </c>
      <c r="J163" s="6">
        <v>13</v>
      </c>
      <c r="K163" s="6">
        <v>40</v>
      </c>
      <c r="L163" s="6">
        <v>80</v>
      </c>
      <c r="M163" s="5">
        <v>3</v>
      </c>
      <c r="N163" s="5"/>
      <c r="O163" s="5">
        <v>8</v>
      </c>
      <c r="P163" s="5" t="s">
        <v>752</v>
      </c>
      <c r="Q163" s="5">
        <v>1</v>
      </c>
    </row>
    <row r="164" spans="1:17" x14ac:dyDescent="0.25">
      <c r="A164" s="2" t="s">
        <v>619</v>
      </c>
      <c r="B164" s="2" t="s">
        <v>392</v>
      </c>
      <c r="C164" s="2" t="s">
        <v>729</v>
      </c>
      <c r="D164" s="2" t="s">
        <v>729</v>
      </c>
      <c r="E164" s="2" t="s">
        <v>218</v>
      </c>
      <c r="F164" s="2" t="s">
        <v>102</v>
      </c>
      <c r="G164" s="2">
        <v>0.94</v>
      </c>
      <c r="H164" s="2" t="s">
        <v>51</v>
      </c>
      <c r="I164" s="5">
        <v>7</v>
      </c>
      <c r="J164" s="6">
        <v>15</v>
      </c>
      <c r="K164" s="6">
        <v>45</v>
      </c>
      <c r="L164" s="6">
        <v>90</v>
      </c>
      <c r="M164" s="5">
        <v>3</v>
      </c>
      <c r="N164" s="5"/>
      <c r="O164" s="5">
        <v>12</v>
      </c>
      <c r="P164" s="5" t="s">
        <v>752</v>
      </c>
      <c r="Q164" s="5">
        <v>1</v>
      </c>
    </row>
    <row r="165" spans="1:17" x14ac:dyDescent="0.25">
      <c r="A165" s="2" t="s">
        <v>623</v>
      </c>
      <c r="B165" s="2" t="s">
        <v>393</v>
      </c>
      <c r="C165" s="2" t="s">
        <v>729</v>
      </c>
      <c r="D165" s="2" t="s">
        <v>729</v>
      </c>
      <c r="E165" s="2" t="s">
        <v>15</v>
      </c>
      <c r="F165" s="2" t="s">
        <v>16</v>
      </c>
      <c r="G165" s="2">
        <v>4.4000000000000004</v>
      </c>
      <c r="H165" s="2" t="s">
        <v>9</v>
      </c>
      <c r="I165" s="5">
        <v>50</v>
      </c>
      <c r="J165" s="6">
        <v>100</v>
      </c>
      <c r="K165" s="6">
        <v>300</v>
      </c>
      <c r="L165" s="6">
        <v>600</v>
      </c>
      <c r="M165" s="5">
        <v>1</v>
      </c>
      <c r="N165" s="5">
        <v>2</v>
      </c>
      <c r="O165" s="5">
        <v>30</v>
      </c>
      <c r="P165" s="9" t="s">
        <v>794</v>
      </c>
      <c r="Q165" s="5">
        <v>3</v>
      </c>
    </row>
    <row r="166" spans="1:17" x14ac:dyDescent="0.25">
      <c r="A166" s="2" t="s">
        <v>625</v>
      </c>
      <c r="B166" s="2" t="s">
        <v>394</v>
      </c>
      <c r="C166" s="2" t="s">
        <v>729</v>
      </c>
      <c r="D166" s="2" t="s">
        <v>729</v>
      </c>
      <c r="E166" s="2" t="s">
        <v>15</v>
      </c>
      <c r="F166" s="2" t="s">
        <v>16</v>
      </c>
      <c r="G166" s="2">
        <v>3.3</v>
      </c>
      <c r="H166" s="2" t="s">
        <v>8</v>
      </c>
      <c r="I166" s="5">
        <v>50</v>
      </c>
      <c r="J166" s="6">
        <v>100</v>
      </c>
      <c r="K166" s="6">
        <v>300</v>
      </c>
      <c r="L166" s="6">
        <v>600</v>
      </c>
      <c r="M166" s="5">
        <v>2</v>
      </c>
      <c r="N166" s="5">
        <v>15</v>
      </c>
      <c r="O166" s="5">
        <v>30</v>
      </c>
      <c r="P166" s="7" t="s">
        <v>795</v>
      </c>
      <c r="Q166" s="5">
        <v>15</v>
      </c>
    </row>
    <row r="167" spans="1:17" x14ac:dyDescent="0.25">
      <c r="A167" s="2" t="s">
        <v>625</v>
      </c>
      <c r="B167" s="2" t="s">
        <v>395</v>
      </c>
      <c r="C167" s="2" t="s">
        <v>729</v>
      </c>
      <c r="D167" s="2" t="s">
        <v>729</v>
      </c>
      <c r="E167" s="2" t="s">
        <v>218</v>
      </c>
      <c r="F167" s="2" t="s">
        <v>102</v>
      </c>
      <c r="G167" s="2">
        <v>1</v>
      </c>
      <c r="H167" s="2" t="s">
        <v>51</v>
      </c>
      <c r="I167" s="5">
        <v>16</v>
      </c>
      <c r="J167" s="6">
        <v>33</v>
      </c>
      <c r="K167" s="6">
        <v>100</v>
      </c>
      <c r="L167" s="6">
        <v>200</v>
      </c>
      <c r="M167" s="5"/>
      <c r="N167" s="5">
        <v>2</v>
      </c>
      <c r="O167" s="5">
        <v>32</v>
      </c>
      <c r="P167" s="5">
        <v>50</v>
      </c>
      <c r="Q167" s="5">
        <v>1</v>
      </c>
    </row>
    <row r="168" spans="1:17" x14ac:dyDescent="0.25">
      <c r="A168" s="2" t="s">
        <v>625</v>
      </c>
      <c r="B168" s="2" t="s">
        <v>396</v>
      </c>
      <c r="C168" s="2" t="s">
        <v>729</v>
      </c>
      <c r="D168" s="2" t="s">
        <v>729</v>
      </c>
      <c r="E168" s="2" t="s">
        <v>218</v>
      </c>
      <c r="F168" s="2" t="s">
        <v>102</v>
      </c>
      <c r="G168" s="2">
        <v>1.95</v>
      </c>
      <c r="H168" s="2" t="s">
        <v>51</v>
      </c>
      <c r="I168" s="5">
        <v>4</v>
      </c>
      <c r="J168" s="6">
        <v>8</v>
      </c>
      <c r="K168" s="6">
        <v>25</v>
      </c>
      <c r="L168" s="6">
        <v>50</v>
      </c>
      <c r="M168" s="5">
        <v>2</v>
      </c>
      <c r="N168" s="5">
        <v>15</v>
      </c>
      <c r="O168" s="5">
        <v>32</v>
      </c>
      <c r="P168" s="7" t="s">
        <v>744</v>
      </c>
      <c r="Q168" s="5">
        <v>15</v>
      </c>
    </row>
    <row r="169" spans="1:17" x14ac:dyDescent="0.25">
      <c r="A169" s="2" t="s">
        <v>625</v>
      </c>
      <c r="B169" s="2" t="s">
        <v>397</v>
      </c>
      <c r="C169" s="2" t="s">
        <v>729</v>
      </c>
      <c r="D169" s="2" t="s">
        <v>729</v>
      </c>
      <c r="E169" s="2" t="s">
        <v>218</v>
      </c>
      <c r="F169" s="2" t="s">
        <v>102</v>
      </c>
      <c r="G169" s="2">
        <v>2.7</v>
      </c>
      <c r="H169" s="2" t="s">
        <v>51</v>
      </c>
      <c r="I169" s="5">
        <v>8</v>
      </c>
      <c r="J169" s="6">
        <v>16</v>
      </c>
      <c r="K169" s="6">
        <v>50</v>
      </c>
      <c r="L169" s="6">
        <v>100</v>
      </c>
      <c r="M169" s="5">
        <v>1</v>
      </c>
      <c r="N169" s="5">
        <v>5</v>
      </c>
      <c r="O169" s="5">
        <v>32</v>
      </c>
      <c r="P169" s="7" t="s">
        <v>744</v>
      </c>
      <c r="Q169" s="5">
        <v>10</v>
      </c>
    </row>
    <row r="170" spans="1:17" x14ac:dyDescent="0.25">
      <c r="A170" s="2" t="s">
        <v>625</v>
      </c>
      <c r="B170" s="2" t="s">
        <v>398</v>
      </c>
      <c r="C170" s="2" t="s">
        <v>729</v>
      </c>
      <c r="D170" s="2" t="s">
        <v>729</v>
      </c>
      <c r="E170" s="2" t="s">
        <v>218</v>
      </c>
      <c r="F170" s="2" t="s">
        <v>102</v>
      </c>
      <c r="G170" s="2">
        <v>2.95</v>
      </c>
      <c r="H170" s="2" t="s">
        <v>54</v>
      </c>
      <c r="I170" s="5">
        <v>11</v>
      </c>
      <c r="J170" s="6">
        <v>23</v>
      </c>
      <c r="K170" s="6">
        <v>70</v>
      </c>
      <c r="L170" s="6">
        <v>140</v>
      </c>
      <c r="M170" s="5">
        <v>1</v>
      </c>
      <c r="N170" s="5">
        <v>5</v>
      </c>
      <c r="O170" s="5">
        <v>30</v>
      </c>
      <c r="P170" s="7" t="s">
        <v>744</v>
      </c>
      <c r="Q170" s="5">
        <v>10</v>
      </c>
    </row>
    <row r="171" spans="1:17" x14ac:dyDescent="0.25">
      <c r="A171" s="2" t="s">
        <v>623</v>
      </c>
      <c r="B171" s="2" t="s">
        <v>399</v>
      </c>
      <c r="C171" s="2" t="s">
        <v>729</v>
      </c>
      <c r="D171" s="2" t="s">
        <v>729</v>
      </c>
      <c r="E171" s="2" t="s">
        <v>15</v>
      </c>
      <c r="F171" s="2" t="s">
        <v>16</v>
      </c>
      <c r="G171" s="2">
        <v>3.27</v>
      </c>
      <c r="H171" s="2" t="s">
        <v>9</v>
      </c>
      <c r="I171" s="5">
        <v>50</v>
      </c>
      <c r="J171" s="6">
        <v>100</v>
      </c>
      <c r="K171" s="6">
        <v>300</v>
      </c>
      <c r="L171" s="6">
        <v>600</v>
      </c>
      <c r="M171" s="5">
        <v>2</v>
      </c>
      <c r="N171" s="5">
        <v>10</v>
      </c>
      <c r="O171" s="5">
        <v>30</v>
      </c>
      <c r="P171" s="7" t="s">
        <v>744</v>
      </c>
      <c r="Q171" s="5">
        <v>10</v>
      </c>
    </row>
    <row r="172" spans="1:17" x14ac:dyDescent="0.25">
      <c r="A172" s="2" t="s">
        <v>623</v>
      </c>
      <c r="B172" s="2" t="s">
        <v>400</v>
      </c>
      <c r="C172" s="2" t="s">
        <v>729</v>
      </c>
      <c r="D172" s="2" t="s">
        <v>729</v>
      </c>
      <c r="E172" s="2" t="s">
        <v>15</v>
      </c>
      <c r="F172" s="2" t="s">
        <v>16</v>
      </c>
      <c r="G172" s="2">
        <v>3.4</v>
      </c>
      <c r="H172" s="2" t="s">
        <v>9</v>
      </c>
      <c r="I172" s="5">
        <v>50</v>
      </c>
      <c r="J172" s="6">
        <v>100</v>
      </c>
      <c r="K172" s="6">
        <v>300</v>
      </c>
      <c r="L172" s="6">
        <v>600</v>
      </c>
      <c r="M172" s="5">
        <v>2</v>
      </c>
      <c r="N172" s="5">
        <v>3</v>
      </c>
      <c r="O172" s="5">
        <v>30</v>
      </c>
      <c r="P172" s="9" t="s">
        <v>770</v>
      </c>
      <c r="Q172" s="5">
        <v>3</v>
      </c>
    </row>
    <row r="173" spans="1:17" x14ac:dyDescent="0.25">
      <c r="A173" s="2" t="s">
        <v>625</v>
      </c>
      <c r="B173" s="2" t="s">
        <v>401</v>
      </c>
      <c r="C173" s="2" t="s">
        <v>729</v>
      </c>
      <c r="D173" s="2" t="s">
        <v>729</v>
      </c>
      <c r="E173" s="2" t="s">
        <v>96</v>
      </c>
      <c r="F173" s="2" t="s">
        <v>260</v>
      </c>
      <c r="G173" s="2">
        <v>1.59</v>
      </c>
      <c r="H173" s="2" t="s">
        <v>33</v>
      </c>
      <c r="I173" s="5">
        <v>10</v>
      </c>
      <c r="J173" s="6">
        <v>20</v>
      </c>
      <c r="K173" s="6">
        <v>60</v>
      </c>
      <c r="L173" s="6">
        <v>120</v>
      </c>
      <c r="M173" s="5">
        <v>1</v>
      </c>
      <c r="N173" s="5">
        <v>5</v>
      </c>
      <c r="O173" s="5">
        <v>32</v>
      </c>
      <c r="P173" s="5" t="s">
        <v>761</v>
      </c>
      <c r="Q173" s="5">
        <v>10</v>
      </c>
    </row>
    <row r="174" spans="1:17" x14ac:dyDescent="0.25">
      <c r="A174" s="2" t="s">
        <v>625</v>
      </c>
      <c r="B174" s="2" t="s">
        <v>402</v>
      </c>
      <c r="C174" s="2" t="s">
        <v>729</v>
      </c>
      <c r="D174" s="2" t="s">
        <v>729</v>
      </c>
      <c r="E174" s="2" t="s">
        <v>218</v>
      </c>
      <c r="F174" s="2" t="s">
        <v>102</v>
      </c>
      <c r="G174" s="2">
        <v>2.84</v>
      </c>
      <c r="H174" s="2" t="s">
        <v>51</v>
      </c>
      <c r="I174" s="5">
        <v>10</v>
      </c>
      <c r="J174" s="6">
        <v>20</v>
      </c>
      <c r="K174" s="6">
        <v>60</v>
      </c>
      <c r="L174" s="6">
        <v>120</v>
      </c>
      <c r="M174" s="5">
        <v>1</v>
      </c>
      <c r="N174" s="5">
        <v>5</v>
      </c>
      <c r="O174" s="5">
        <v>32</v>
      </c>
      <c r="P174" s="9" t="s">
        <v>796</v>
      </c>
      <c r="Q174" s="5">
        <v>10</v>
      </c>
    </row>
    <row r="175" spans="1:17" x14ac:dyDescent="0.25">
      <c r="A175" s="2" t="s">
        <v>625</v>
      </c>
      <c r="B175" s="2" t="s">
        <v>403</v>
      </c>
      <c r="C175" s="2" t="s">
        <v>729</v>
      </c>
      <c r="D175" s="2" t="s">
        <v>729</v>
      </c>
      <c r="E175" s="2" t="s">
        <v>132</v>
      </c>
      <c r="F175" s="2" t="s">
        <v>127</v>
      </c>
      <c r="G175" s="2">
        <v>2.84</v>
      </c>
      <c r="H175" s="2" t="s">
        <v>51</v>
      </c>
      <c r="I175" s="5">
        <v>10</v>
      </c>
      <c r="J175" s="6">
        <v>20</v>
      </c>
      <c r="K175" s="6">
        <v>60</v>
      </c>
      <c r="L175" s="6">
        <v>120</v>
      </c>
      <c r="M175" s="5">
        <v>1</v>
      </c>
      <c r="N175" s="5">
        <v>5</v>
      </c>
      <c r="O175" s="5">
        <v>30</v>
      </c>
      <c r="P175" s="5" t="s">
        <v>762</v>
      </c>
      <c r="Q175" s="5">
        <v>10</v>
      </c>
    </row>
    <row r="176" spans="1:17" x14ac:dyDescent="0.25">
      <c r="A176" s="2" t="s">
        <v>625</v>
      </c>
      <c r="B176" s="2" t="s">
        <v>404</v>
      </c>
      <c r="C176" s="2" t="s">
        <v>729</v>
      </c>
      <c r="D176" s="2" t="s">
        <v>729</v>
      </c>
      <c r="E176" s="2" t="s">
        <v>132</v>
      </c>
      <c r="F176" s="2" t="s">
        <v>127</v>
      </c>
      <c r="G176" s="2">
        <v>3.3849999999999998</v>
      </c>
      <c r="H176" s="2" t="s">
        <v>51</v>
      </c>
      <c r="I176" s="5">
        <v>6</v>
      </c>
      <c r="J176" s="6">
        <v>13</v>
      </c>
      <c r="K176" s="6">
        <v>40</v>
      </c>
      <c r="L176" s="6">
        <v>80</v>
      </c>
      <c r="M176" s="5">
        <v>1</v>
      </c>
      <c r="N176" s="5">
        <v>5</v>
      </c>
      <c r="O176" s="5">
        <v>32</v>
      </c>
      <c r="P176" s="5" t="s">
        <v>762</v>
      </c>
      <c r="Q176" s="5">
        <v>10</v>
      </c>
    </row>
    <row r="177" spans="1:17" x14ac:dyDescent="0.25">
      <c r="A177" s="2" t="s">
        <v>625</v>
      </c>
      <c r="B177" s="2" t="s">
        <v>404</v>
      </c>
      <c r="C177" s="2" t="s">
        <v>729</v>
      </c>
      <c r="D177" s="2" t="s">
        <v>729</v>
      </c>
      <c r="E177" s="2" t="s">
        <v>218</v>
      </c>
      <c r="F177" s="2" t="s">
        <v>102</v>
      </c>
      <c r="G177" s="2">
        <v>3.3849999999999998</v>
      </c>
      <c r="H177" s="2" t="s">
        <v>51</v>
      </c>
      <c r="I177" s="5">
        <v>8</v>
      </c>
      <c r="J177" s="6">
        <v>16</v>
      </c>
      <c r="K177" s="6">
        <v>50</v>
      </c>
      <c r="L177" s="6">
        <v>100</v>
      </c>
      <c r="M177" s="5">
        <v>1</v>
      </c>
      <c r="N177" s="5">
        <v>5</v>
      </c>
      <c r="O177" s="5">
        <v>32</v>
      </c>
      <c r="P177" s="9" t="s">
        <v>797</v>
      </c>
      <c r="Q177" s="5">
        <v>10</v>
      </c>
    </row>
    <row r="178" spans="1:17" x14ac:dyDescent="0.25">
      <c r="A178" s="2" t="s">
        <v>625</v>
      </c>
      <c r="B178" s="2" t="s">
        <v>405</v>
      </c>
      <c r="C178" s="2" t="s">
        <v>729</v>
      </c>
      <c r="D178" s="2" t="s">
        <v>729</v>
      </c>
      <c r="E178" s="2" t="s">
        <v>218</v>
      </c>
      <c r="F178" s="2" t="s">
        <v>102</v>
      </c>
      <c r="G178" s="2">
        <v>2.0329999999999999</v>
      </c>
      <c r="H178" s="2" t="s">
        <v>51</v>
      </c>
      <c r="I178" s="5">
        <v>8</v>
      </c>
      <c r="J178" s="6">
        <v>16</v>
      </c>
      <c r="K178" s="6">
        <v>50</v>
      </c>
      <c r="L178" s="6">
        <v>100</v>
      </c>
      <c r="M178" s="5">
        <v>2</v>
      </c>
      <c r="N178" s="5">
        <v>15</v>
      </c>
      <c r="O178" s="5">
        <v>32</v>
      </c>
      <c r="P178" s="5" t="s">
        <v>761</v>
      </c>
      <c r="Q178" s="5">
        <v>15</v>
      </c>
    </row>
    <row r="179" spans="1:17" x14ac:dyDescent="0.25">
      <c r="A179" s="2" t="s">
        <v>619</v>
      </c>
      <c r="B179" s="2" t="s">
        <v>406</v>
      </c>
      <c r="C179" s="2" t="s">
        <v>729</v>
      </c>
      <c r="D179" s="2" t="s">
        <v>729</v>
      </c>
      <c r="E179" s="2" t="s">
        <v>130</v>
      </c>
      <c r="F179" s="2" t="s">
        <v>245</v>
      </c>
      <c r="G179" s="2">
        <v>0.94599999999999995</v>
      </c>
      <c r="H179" s="2" t="s">
        <v>51</v>
      </c>
      <c r="I179" s="5">
        <v>5</v>
      </c>
      <c r="J179" s="6">
        <v>10</v>
      </c>
      <c r="K179" s="6">
        <v>30</v>
      </c>
      <c r="L179" s="6">
        <v>60</v>
      </c>
      <c r="M179" s="5">
        <v>3</v>
      </c>
      <c r="N179" s="5"/>
      <c r="O179" s="5">
        <v>12</v>
      </c>
      <c r="P179" s="5" t="s">
        <v>752</v>
      </c>
      <c r="Q179" s="5">
        <v>1</v>
      </c>
    </row>
    <row r="180" spans="1:17" x14ac:dyDescent="0.25">
      <c r="A180" s="2" t="s">
        <v>625</v>
      </c>
      <c r="B180" s="2" t="s">
        <v>407</v>
      </c>
      <c r="C180" s="2" t="s">
        <v>729</v>
      </c>
      <c r="D180" s="2" t="s">
        <v>729</v>
      </c>
      <c r="E180" s="2" t="s">
        <v>138</v>
      </c>
      <c r="F180" s="2" t="s">
        <v>137</v>
      </c>
      <c r="G180" s="2">
        <v>2</v>
      </c>
      <c r="H180" s="2" t="s">
        <v>51</v>
      </c>
      <c r="I180" s="5">
        <v>15</v>
      </c>
      <c r="J180" s="6">
        <v>30</v>
      </c>
      <c r="K180" s="6">
        <v>90</v>
      </c>
      <c r="L180" s="6">
        <v>180</v>
      </c>
      <c r="M180" s="5">
        <v>1</v>
      </c>
      <c r="N180" s="5">
        <v>2</v>
      </c>
      <c r="O180" s="5">
        <v>30</v>
      </c>
      <c r="P180" s="7" t="s">
        <v>791</v>
      </c>
      <c r="Q180" s="5">
        <v>3</v>
      </c>
    </row>
    <row r="181" spans="1:17" x14ac:dyDescent="0.25">
      <c r="A181" s="2" t="s">
        <v>620</v>
      </c>
      <c r="B181" s="2" t="s">
        <v>408</v>
      </c>
      <c r="C181" s="2" t="s">
        <v>729</v>
      </c>
      <c r="D181" s="2" t="s">
        <v>729</v>
      </c>
      <c r="E181" s="2" t="s">
        <v>84</v>
      </c>
      <c r="F181" s="2" t="s">
        <v>83</v>
      </c>
      <c r="G181" s="2">
        <v>6.2</v>
      </c>
      <c r="H181" s="2" t="s">
        <v>46</v>
      </c>
      <c r="I181" s="5">
        <v>100</v>
      </c>
      <c r="J181" s="6">
        <v>200</v>
      </c>
      <c r="K181" s="6">
        <v>600</v>
      </c>
      <c r="L181" s="6">
        <v>1200</v>
      </c>
      <c r="M181" s="5">
        <v>2</v>
      </c>
      <c r="N181" s="5"/>
      <c r="O181" s="5">
        <v>10</v>
      </c>
      <c r="P181" s="5" t="s">
        <v>749</v>
      </c>
      <c r="Q181" s="5">
        <v>1</v>
      </c>
    </row>
    <row r="182" spans="1:17" x14ac:dyDescent="0.25">
      <c r="A182" s="2" t="s">
        <v>620</v>
      </c>
      <c r="B182" s="2" t="s">
        <v>409</v>
      </c>
      <c r="C182" s="2" t="s">
        <v>729</v>
      </c>
      <c r="D182" s="2" t="s">
        <v>729</v>
      </c>
      <c r="E182" s="2" t="s">
        <v>84</v>
      </c>
      <c r="F182" s="2" t="s">
        <v>83</v>
      </c>
      <c r="G182" s="2">
        <v>4.3</v>
      </c>
      <c r="H182" s="2" t="s">
        <v>46</v>
      </c>
      <c r="I182" s="5">
        <v>108</v>
      </c>
      <c r="J182" s="6">
        <v>216</v>
      </c>
      <c r="K182" s="6">
        <v>650</v>
      </c>
      <c r="L182" s="6">
        <v>1300</v>
      </c>
      <c r="M182" s="5">
        <v>2</v>
      </c>
      <c r="N182" s="5"/>
      <c r="O182" s="5">
        <v>10</v>
      </c>
      <c r="P182" s="5" t="s">
        <v>755</v>
      </c>
      <c r="Q182" s="5">
        <v>1</v>
      </c>
    </row>
    <row r="183" spans="1:17" x14ac:dyDescent="0.25">
      <c r="A183" s="2" t="s">
        <v>620</v>
      </c>
      <c r="B183" s="2" t="s">
        <v>410</v>
      </c>
      <c r="C183" s="2" t="s">
        <v>729</v>
      </c>
      <c r="D183" s="2" t="s">
        <v>729</v>
      </c>
      <c r="E183" s="2" t="s">
        <v>84</v>
      </c>
      <c r="F183" s="2" t="s">
        <v>83</v>
      </c>
      <c r="G183" s="2">
        <v>4.2</v>
      </c>
      <c r="H183" s="2" t="s">
        <v>46</v>
      </c>
      <c r="I183" s="5">
        <v>100</v>
      </c>
      <c r="J183" s="6">
        <v>200</v>
      </c>
      <c r="K183" s="6">
        <v>600</v>
      </c>
      <c r="L183" s="6">
        <v>1200</v>
      </c>
      <c r="M183" s="5">
        <v>2</v>
      </c>
      <c r="N183" s="5"/>
      <c r="O183" s="5">
        <v>30</v>
      </c>
      <c r="P183" s="5" t="s">
        <v>752</v>
      </c>
      <c r="Q183" s="5">
        <v>1</v>
      </c>
    </row>
    <row r="184" spans="1:17" x14ac:dyDescent="0.25">
      <c r="A184" s="2" t="s">
        <v>625</v>
      </c>
      <c r="B184" s="2" t="s">
        <v>411</v>
      </c>
      <c r="C184" s="2" t="s">
        <v>729</v>
      </c>
      <c r="D184" s="2" t="s">
        <v>729</v>
      </c>
      <c r="E184" s="2" t="s">
        <v>218</v>
      </c>
      <c r="F184" s="2" t="s">
        <v>263</v>
      </c>
      <c r="G184" s="2">
        <v>1.65</v>
      </c>
      <c r="H184" s="2" t="s">
        <v>51</v>
      </c>
      <c r="I184" s="5">
        <v>6</v>
      </c>
      <c r="J184" s="6">
        <v>13</v>
      </c>
      <c r="K184" s="6">
        <v>40</v>
      </c>
      <c r="L184" s="6">
        <v>80</v>
      </c>
      <c r="M184" s="5">
        <v>2</v>
      </c>
      <c r="N184" s="5">
        <v>5</v>
      </c>
      <c r="O184" s="5">
        <v>25</v>
      </c>
      <c r="P184" s="9" t="s">
        <v>780</v>
      </c>
      <c r="Q184" s="5">
        <v>5</v>
      </c>
    </row>
    <row r="185" spans="1:17" x14ac:dyDescent="0.25">
      <c r="A185" s="2" t="s">
        <v>623</v>
      </c>
      <c r="B185" s="2" t="s">
        <v>412</v>
      </c>
      <c r="C185" s="2" t="s">
        <v>729</v>
      </c>
      <c r="D185" s="2" t="s">
        <v>729</v>
      </c>
      <c r="E185" s="2" t="s">
        <v>15</v>
      </c>
      <c r="F185" s="2" t="s">
        <v>16</v>
      </c>
      <c r="G185" s="2">
        <v>6.1</v>
      </c>
      <c r="H185" s="2" t="s">
        <v>9</v>
      </c>
      <c r="I185" s="5">
        <v>50</v>
      </c>
      <c r="J185" s="6">
        <v>100</v>
      </c>
      <c r="K185" s="6">
        <v>300</v>
      </c>
      <c r="L185" s="6">
        <v>600</v>
      </c>
      <c r="M185" s="5">
        <v>1</v>
      </c>
      <c r="N185" s="5">
        <v>2</v>
      </c>
      <c r="O185" s="5">
        <v>30</v>
      </c>
      <c r="P185" s="9" t="s">
        <v>770</v>
      </c>
      <c r="Q185" s="5">
        <v>3</v>
      </c>
    </row>
    <row r="186" spans="1:17" x14ac:dyDescent="0.25">
      <c r="A186" s="2" t="s">
        <v>623</v>
      </c>
      <c r="B186" s="2" t="s">
        <v>413</v>
      </c>
      <c r="C186" s="2" t="s">
        <v>729</v>
      </c>
      <c r="D186" s="2" t="s">
        <v>729</v>
      </c>
      <c r="E186" s="2" t="s">
        <v>57</v>
      </c>
      <c r="F186" s="2" t="s">
        <v>58</v>
      </c>
      <c r="G186" s="2">
        <v>2.9</v>
      </c>
      <c r="H186" s="2" t="s">
        <v>20</v>
      </c>
      <c r="I186" s="5">
        <v>50</v>
      </c>
      <c r="J186" s="6">
        <v>100</v>
      </c>
      <c r="K186" s="6">
        <v>300</v>
      </c>
      <c r="L186" s="6">
        <v>600</v>
      </c>
      <c r="M186" s="5">
        <v>2</v>
      </c>
      <c r="N186" s="5">
        <v>8</v>
      </c>
      <c r="O186" s="5">
        <v>30</v>
      </c>
      <c r="P186" s="8" t="s">
        <v>798</v>
      </c>
      <c r="Q186" s="5">
        <v>8</v>
      </c>
    </row>
    <row r="187" spans="1:17" x14ac:dyDescent="0.25">
      <c r="A187" s="2" t="s">
        <v>623</v>
      </c>
      <c r="B187" s="2" t="s">
        <v>414</v>
      </c>
      <c r="C187" s="2" t="s">
        <v>729</v>
      </c>
      <c r="D187" s="2" t="s">
        <v>729</v>
      </c>
      <c r="E187" s="2" t="s">
        <v>5</v>
      </c>
      <c r="F187" s="2" t="s">
        <v>6</v>
      </c>
      <c r="G187" s="2">
        <v>3</v>
      </c>
      <c r="H187" s="2" t="s">
        <v>9</v>
      </c>
      <c r="I187" s="5">
        <v>50</v>
      </c>
      <c r="J187" s="6">
        <v>100</v>
      </c>
      <c r="K187" s="6">
        <v>300</v>
      </c>
      <c r="L187" s="6">
        <v>600</v>
      </c>
      <c r="M187" s="5">
        <v>2</v>
      </c>
      <c r="N187" s="5">
        <v>8</v>
      </c>
      <c r="O187" s="5">
        <v>30</v>
      </c>
      <c r="P187" s="8" t="s">
        <v>798</v>
      </c>
      <c r="Q187" s="5">
        <v>8</v>
      </c>
    </row>
    <row r="188" spans="1:17" x14ac:dyDescent="0.25">
      <c r="A188" s="2" t="s">
        <v>623</v>
      </c>
      <c r="B188" s="2" t="s">
        <v>415</v>
      </c>
      <c r="C188" s="2" t="s">
        <v>729</v>
      </c>
      <c r="D188" s="2" t="s">
        <v>729</v>
      </c>
      <c r="E188" s="2" t="s">
        <v>5</v>
      </c>
      <c r="F188" s="2" t="s">
        <v>6</v>
      </c>
      <c r="G188" s="2">
        <v>3.8</v>
      </c>
      <c r="H188" s="2" t="s">
        <v>9</v>
      </c>
      <c r="I188" s="5">
        <v>50</v>
      </c>
      <c r="J188" s="6">
        <v>100</v>
      </c>
      <c r="K188" s="6">
        <v>300</v>
      </c>
      <c r="L188" s="6">
        <v>600</v>
      </c>
      <c r="M188" s="5">
        <v>2</v>
      </c>
      <c r="N188" s="5">
        <v>3</v>
      </c>
      <c r="O188" s="5">
        <v>30</v>
      </c>
      <c r="P188" s="9" t="s">
        <v>799</v>
      </c>
      <c r="Q188" s="5">
        <v>3</v>
      </c>
    </row>
    <row r="189" spans="1:17" x14ac:dyDescent="0.25">
      <c r="A189" s="2" t="s">
        <v>623</v>
      </c>
      <c r="B189" s="2" t="s">
        <v>416</v>
      </c>
      <c r="C189" s="2" t="s">
        <v>729</v>
      </c>
      <c r="D189" s="2" t="s">
        <v>729</v>
      </c>
      <c r="E189" s="2" t="s">
        <v>15</v>
      </c>
      <c r="F189" s="2" t="s">
        <v>16</v>
      </c>
      <c r="G189" s="2">
        <v>3.45</v>
      </c>
      <c r="H189" s="2" t="s">
        <v>9</v>
      </c>
      <c r="I189" s="5">
        <v>50</v>
      </c>
      <c r="J189" s="6">
        <v>100</v>
      </c>
      <c r="K189" s="6">
        <v>300</v>
      </c>
      <c r="L189" s="6">
        <v>600</v>
      </c>
      <c r="M189" s="5">
        <v>2</v>
      </c>
      <c r="N189" s="5">
        <v>3</v>
      </c>
      <c r="O189" s="5">
        <v>30</v>
      </c>
      <c r="P189" s="9" t="s">
        <v>799</v>
      </c>
      <c r="Q189" s="5">
        <v>3</v>
      </c>
    </row>
    <row r="190" spans="1:17" x14ac:dyDescent="0.25">
      <c r="A190" s="2" t="s">
        <v>623</v>
      </c>
      <c r="B190" s="2" t="s">
        <v>417</v>
      </c>
      <c r="C190" s="2" t="s">
        <v>729</v>
      </c>
      <c r="D190" s="2" t="s">
        <v>729</v>
      </c>
      <c r="E190" s="2" t="s">
        <v>5</v>
      </c>
      <c r="F190" s="2" t="s">
        <v>6</v>
      </c>
      <c r="G190" s="2">
        <v>2.9</v>
      </c>
      <c r="H190" s="2" t="s">
        <v>9</v>
      </c>
      <c r="I190" s="5">
        <v>50</v>
      </c>
      <c r="J190" s="6">
        <v>100</v>
      </c>
      <c r="K190" s="6">
        <v>300</v>
      </c>
      <c r="L190" s="6">
        <v>600</v>
      </c>
      <c r="M190" s="5">
        <v>2</v>
      </c>
      <c r="N190" s="5">
        <v>3</v>
      </c>
      <c r="O190" s="5">
        <v>30</v>
      </c>
      <c r="P190" s="9" t="s">
        <v>799</v>
      </c>
      <c r="Q190" s="5">
        <v>3</v>
      </c>
    </row>
    <row r="191" spans="1:17" x14ac:dyDescent="0.25">
      <c r="A191" s="2" t="s">
        <v>623</v>
      </c>
      <c r="B191" s="2" t="s">
        <v>418</v>
      </c>
      <c r="C191" s="2" t="s">
        <v>729</v>
      </c>
      <c r="D191" s="2" t="s">
        <v>729</v>
      </c>
      <c r="E191" s="2" t="s">
        <v>57</v>
      </c>
      <c r="F191" s="2" t="s">
        <v>58</v>
      </c>
      <c r="G191" s="2">
        <v>3.3</v>
      </c>
      <c r="H191" s="2" t="s">
        <v>20</v>
      </c>
      <c r="I191" s="5">
        <v>50</v>
      </c>
      <c r="J191" s="6">
        <v>100</v>
      </c>
      <c r="K191" s="6">
        <v>300</v>
      </c>
      <c r="L191" s="6">
        <v>600</v>
      </c>
      <c r="M191" s="5">
        <v>2</v>
      </c>
      <c r="N191" s="5">
        <v>3</v>
      </c>
      <c r="O191" s="5">
        <v>30</v>
      </c>
      <c r="P191" s="9" t="s">
        <v>800</v>
      </c>
      <c r="Q191" s="5">
        <v>3</v>
      </c>
    </row>
    <row r="192" spans="1:17" x14ac:dyDescent="0.25">
      <c r="A192" s="2" t="s">
        <v>623</v>
      </c>
      <c r="B192" s="2" t="s">
        <v>419</v>
      </c>
      <c r="C192" s="2" t="s">
        <v>729</v>
      </c>
      <c r="D192" s="2" t="s">
        <v>729</v>
      </c>
      <c r="E192" s="2" t="s">
        <v>57</v>
      </c>
      <c r="F192" s="2" t="s">
        <v>58</v>
      </c>
      <c r="G192" s="2">
        <v>4.3</v>
      </c>
      <c r="H192" s="2" t="s">
        <v>20</v>
      </c>
      <c r="I192" s="5">
        <v>50</v>
      </c>
      <c r="J192" s="6">
        <v>100</v>
      </c>
      <c r="K192" s="6">
        <v>300</v>
      </c>
      <c r="L192" s="6">
        <v>600</v>
      </c>
      <c r="M192" s="5">
        <v>2</v>
      </c>
      <c r="N192" s="5">
        <v>10</v>
      </c>
      <c r="O192" s="5">
        <v>30</v>
      </c>
      <c r="P192" s="7" t="s">
        <v>744</v>
      </c>
      <c r="Q192" s="5">
        <v>10</v>
      </c>
    </row>
    <row r="193" spans="1:18" x14ac:dyDescent="0.25">
      <c r="A193" s="2" t="s">
        <v>623</v>
      </c>
      <c r="B193" s="2" t="s">
        <v>420</v>
      </c>
      <c r="C193" s="2" t="s">
        <v>729</v>
      </c>
      <c r="D193" s="2" t="s">
        <v>729</v>
      </c>
      <c r="E193" s="2" t="s">
        <v>5</v>
      </c>
      <c r="F193" s="2" t="s">
        <v>6</v>
      </c>
      <c r="G193" s="2">
        <v>3.6</v>
      </c>
      <c r="H193" s="2" t="s">
        <v>9</v>
      </c>
      <c r="I193" s="5">
        <v>50</v>
      </c>
      <c r="J193" s="6">
        <v>100</v>
      </c>
      <c r="K193" s="6">
        <v>300</v>
      </c>
      <c r="L193" s="6">
        <v>600</v>
      </c>
      <c r="M193" s="5">
        <v>2</v>
      </c>
      <c r="N193" s="5">
        <v>5</v>
      </c>
      <c r="O193" s="5">
        <v>30</v>
      </c>
      <c r="P193" s="9" t="s">
        <v>785</v>
      </c>
      <c r="Q193" s="5">
        <v>5</v>
      </c>
    </row>
    <row r="194" spans="1:18" x14ac:dyDescent="0.25">
      <c r="A194" s="2" t="s">
        <v>623</v>
      </c>
      <c r="B194" s="2" t="s">
        <v>421</v>
      </c>
      <c r="C194" s="2" t="s">
        <v>729</v>
      </c>
      <c r="D194" s="2" t="s">
        <v>729</v>
      </c>
      <c r="E194" s="2" t="s">
        <v>138</v>
      </c>
      <c r="F194" s="2" t="s">
        <v>137</v>
      </c>
      <c r="G194" s="2">
        <v>3.1</v>
      </c>
      <c r="H194" s="2" t="s">
        <v>52</v>
      </c>
      <c r="I194" s="5">
        <v>66</v>
      </c>
      <c r="J194" s="6">
        <v>133</v>
      </c>
      <c r="K194" s="6">
        <v>400</v>
      </c>
      <c r="L194" s="6">
        <v>800</v>
      </c>
      <c r="M194" s="5">
        <v>1</v>
      </c>
      <c r="N194" s="5">
        <v>2</v>
      </c>
      <c r="O194" s="5">
        <v>20</v>
      </c>
      <c r="P194" s="9" t="s">
        <v>784</v>
      </c>
      <c r="Q194" s="5">
        <v>3</v>
      </c>
    </row>
    <row r="195" spans="1:18" x14ac:dyDescent="0.25">
      <c r="A195" s="2" t="s">
        <v>623</v>
      </c>
      <c r="B195" s="2" t="s">
        <v>422</v>
      </c>
      <c r="C195" s="2" t="s">
        <v>729</v>
      </c>
      <c r="D195" s="2" t="s">
        <v>729</v>
      </c>
      <c r="E195" s="2" t="s">
        <v>57</v>
      </c>
      <c r="F195" s="2" t="s">
        <v>58</v>
      </c>
      <c r="G195" s="2">
        <v>3.15</v>
      </c>
      <c r="H195" s="2" t="s">
        <v>20</v>
      </c>
      <c r="I195" s="5">
        <v>50</v>
      </c>
      <c r="J195" s="6">
        <v>100</v>
      </c>
      <c r="K195" s="6">
        <v>300</v>
      </c>
      <c r="L195" s="6">
        <v>600</v>
      </c>
      <c r="M195" s="5">
        <v>2</v>
      </c>
      <c r="N195" s="5">
        <v>5</v>
      </c>
      <c r="O195" s="5">
        <v>30</v>
      </c>
      <c r="P195" s="9" t="s">
        <v>785</v>
      </c>
      <c r="Q195" s="5">
        <v>5</v>
      </c>
    </row>
    <row r="196" spans="1:18" x14ac:dyDescent="0.25">
      <c r="A196" s="2" t="s">
        <v>623</v>
      </c>
      <c r="B196" s="2" t="s">
        <v>423</v>
      </c>
      <c r="C196" s="2" t="s">
        <v>729</v>
      </c>
      <c r="D196" s="2" t="s">
        <v>729</v>
      </c>
      <c r="E196" s="2" t="s">
        <v>57</v>
      </c>
      <c r="F196" s="2" t="s">
        <v>58</v>
      </c>
      <c r="G196" s="2">
        <v>3.46</v>
      </c>
      <c r="H196" s="2" t="s">
        <v>20</v>
      </c>
      <c r="I196" s="5">
        <v>50</v>
      </c>
      <c r="J196" s="6">
        <v>100</v>
      </c>
      <c r="K196" s="6">
        <v>300</v>
      </c>
      <c r="L196" s="6">
        <v>600</v>
      </c>
      <c r="M196" s="5">
        <v>2</v>
      </c>
      <c r="N196" s="5">
        <v>5</v>
      </c>
      <c r="O196" s="5">
        <v>30</v>
      </c>
      <c r="P196" s="9" t="s">
        <v>785</v>
      </c>
      <c r="Q196" s="5">
        <v>5</v>
      </c>
    </row>
    <row r="197" spans="1:18" x14ac:dyDescent="0.25">
      <c r="A197" s="2" t="s">
        <v>625</v>
      </c>
      <c r="B197" s="2" t="s">
        <v>424</v>
      </c>
      <c r="C197" s="2" t="s">
        <v>729</v>
      </c>
      <c r="D197" s="2" t="s">
        <v>729</v>
      </c>
      <c r="E197" s="2" t="s">
        <v>5</v>
      </c>
      <c r="F197" s="2" t="s">
        <v>6</v>
      </c>
      <c r="G197" s="2">
        <v>2.5</v>
      </c>
      <c r="H197" s="2" t="s">
        <v>8</v>
      </c>
      <c r="I197" s="5">
        <v>16</v>
      </c>
      <c r="J197" s="6">
        <v>33</v>
      </c>
      <c r="K197" s="6">
        <v>100</v>
      </c>
      <c r="L197" s="6">
        <v>200</v>
      </c>
      <c r="M197" s="5">
        <v>2</v>
      </c>
      <c r="N197" s="5">
        <v>5</v>
      </c>
      <c r="O197" s="5">
        <v>30</v>
      </c>
      <c r="P197" s="9" t="s">
        <v>801</v>
      </c>
      <c r="Q197" s="5">
        <v>5</v>
      </c>
    </row>
    <row r="198" spans="1:18" x14ac:dyDescent="0.25">
      <c r="A198" s="2" t="s">
        <v>623</v>
      </c>
      <c r="B198" s="2" t="s">
        <v>425</v>
      </c>
      <c r="C198" s="2" t="s">
        <v>729</v>
      </c>
      <c r="D198" s="2" t="s">
        <v>729</v>
      </c>
      <c r="E198" s="2" t="s">
        <v>5</v>
      </c>
      <c r="F198" s="2" t="s">
        <v>6</v>
      </c>
      <c r="G198" s="2">
        <v>2.68</v>
      </c>
      <c r="H198" s="2" t="s">
        <v>9</v>
      </c>
      <c r="I198" s="5">
        <v>45</v>
      </c>
      <c r="J198" s="6">
        <v>90</v>
      </c>
      <c r="K198" s="6">
        <v>270</v>
      </c>
      <c r="L198" s="6">
        <v>540</v>
      </c>
      <c r="M198" s="5">
        <v>2</v>
      </c>
      <c r="N198" s="5">
        <v>10</v>
      </c>
      <c r="O198" s="5">
        <v>30</v>
      </c>
      <c r="P198" s="8" t="s">
        <v>802</v>
      </c>
      <c r="Q198" s="5">
        <v>10</v>
      </c>
    </row>
    <row r="199" spans="1:18" x14ac:dyDescent="0.25">
      <c r="A199" s="2" t="s">
        <v>625</v>
      </c>
      <c r="B199" s="2" t="s">
        <v>426</v>
      </c>
      <c r="C199" s="2" t="s">
        <v>729</v>
      </c>
      <c r="D199" s="2" t="s">
        <v>729</v>
      </c>
      <c r="E199" s="2" t="s">
        <v>218</v>
      </c>
      <c r="F199" s="2" t="s">
        <v>102</v>
      </c>
      <c r="H199" s="2" t="s">
        <v>51</v>
      </c>
      <c r="I199" s="5">
        <v>50</v>
      </c>
      <c r="J199" s="6">
        <v>100</v>
      </c>
      <c r="K199" s="6">
        <v>300</v>
      </c>
      <c r="L199" s="6">
        <v>600</v>
      </c>
      <c r="M199" s="5">
        <v>9</v>
      </c>
      <c r="N199" s="5"/>
      <c r="O199" s="5">
        <v>30</v>
      </c>
      <c r="P199" s="5" t="s">
        <v>752</v>
      </c>
      <c r="Q199" s="5">
        <v>1</v>
      </c>
    </row>
    <row r="200" spans="1:18" x14ac:dyDescent="0.25">
      <c r="A200" s="2" t="s">
        <v>623</v>
      </c>
      <c r="B200" s="2" t="s">
        <v>427</v>
      </c>
      <c r="C200" s="2" t="s">
        <v>729</v>
      </c>
      <c r="D200" s="2" t="s">
        <v>729</v>
      </c>
      <c r="E200" s="2" t="s">
        <v>428</v>
      </c>
      <c r="F200" s="2" t="s">
        <v>429</v>
      </c>
      <c r="H200" s="2" t="s">
        <v>46</v>
      </c>
      <c r="I200" s="5">
        <v>8</v>
      </c>
      <c r="J200" s="6">
        <v>16</v>
      </c>
      <c r="K200" s="6">
        <v>50</v>
      </c>
      <c r="L200" s="6">
        <v>100</v>
      </c>
      <c r="M200" s="5">
        <v>14</v>
      </c>
      <c r="N200" s="5"/>
      <c r="O200" s="5">
        <v>10</v>
      </c>
      <c r="P200" s="5" t="s">
        <v>752</v>
      </c>
      <c r="Q200" s="5">
        <v>1</v>
      </c>
    </row>
    <row r="201" spans="1:18" x14ac:dyDescent="0.25">
      <c r="A201" s="2" t="s">
        <v>622</v>
      </c>
      <c r="B201" s="2" t="s">
        <v>430</v>
      </c>
      <c r="C201" s="2" t="s">
        <v>729</v>
      </c>
      <c r="D201" s="2" t="s">
        <v>729</v>
      </c>
      <c r="E201" s="2" t="s">
        <v>164</v>
      </c>
      <c r="F201" s="2" t="s">
        <v>163</v>
      </c>
      <c r="G201" s="2">
        <v>50</v>
      </c>
      <c r="H201" s="2" t="s">
        <v>165</v>
      </c>
      <c r="I201" s="5">
        <v>250</v>
      </c>
      <c r="J201" s="6">
        <v>500</v>
      </c>
      <c r="K201" s="6">
        <v>1500</v>
      </c>
      <c r="L201" s="6">
        <v>3000</v>
      </c>
      <c r="M201" s="5"/>
      <c r="N201" s="5">
        <v>5</v>
      </c>
      <c r="O201" s="5">
        <v>50</v>
      </c>
      <c r="P201" s="5">
        <v>75</v>
      </c>
      <c r="Q201" s="5">
        <v>10</v>
      </c>
    </row>
    <row r="202" spans="1:18" x14ac:dyDescent="0.25">
      <c r="A202" s="2" t="s">
        <v>620</v>
      </c>
      <c r="B202" s="2" t="s">
        <v>431</v>
      </c>
      <c r="C202" s="2" t="s">
        <v>729</v>
      </c>
      <c r="D202" s="2" t="s">
        <v>729</v>
      </c>
      <c r="E202" s="2" t="s">
        <v>72</v>
      </c>
      <c r="F202" s="2" t="s">
        <v>73</v>
      </c>
      <c r="G202" s="2">
        <v>4.43</v>
      </c>
      <c r="H202" s="2" t="s">
        <v>46</v>
      </c>
      <c r="I202" s="5">
        <v>100</v>
      </c>
      <c r="J202" s="6">
        <v>200</v>
      </c>
      <c r="K202" s="6">
        <v>600</v>
      </c>
      <c r="L202" s="6">
        <v>1200</v>
      </c>
      <c r="M202" s="5">
        <v>2</v>
      </c>
      <c r="N202" s="5"/>
      <c r="O202" s="5">
        <v>10</v>
      </c>
      <c r="P202" s="5" t="s">
        <v>763</v>
      </c>
      <c r="Q202" s="5">
        <v>1</v>
      </c>
    </row>
    <row r="203" spans="1:18" x14ac:dyDescent="0.25">
      <c r="A203" s="2" t="s">
        <v>620</v>
      </c>
      <c r="B203" s="2" t="s">
        <v>431</v>
      </c>
      <c r="C203" s="2" t="s">
        <v>729</v>
      </c>
      <c r="D203" s="2" t="s">
        <v>729</v>
      </c>
      <c r="E203" s="2" t="s">
        <v>72</v>
      </c>
      <c r="F203" s="2" t="s">
        <v>73</v>
      </c>
      <c r="G203" s="2">
        <v>4.42</v>
      </c>
      <c r="H203" s="2" t="s">
        <v>46</v>
      </c>
      <c r="I203" s="5">
        <v>100</v>
      </c>
      <c r="J203" s="6">
        <v>200</v>
      </c>
      <c r="K203" s="6">
        <v>600</v>
      </c>
      <c r="L203" s="6">
        <v>1200</v>
      </c>
      <c r="M203" s="5">
        <v>2</v>
      </c>
      <c r="N203" s="5"/>
      <c r="O203" s="5">
        <v>10</v>
      </c>
      <c r="P203" s="5" t="s">
        <v>752</v>
      </c>
      <c r="Q203" s="5">
        <v>1</v>
      </c>
    </row>
    <row r="204" spans="1:18" x14ac:dyDescent="0.25">
      <c r="A204" s="2" t="s">
        <v>622</v>
      </c>
      <c r="B204" s="2" t="s">
        <v>432</v>
      </c>
      <c r="C204" s="2" t="s">
        <v>729</v>
      </c>
      <c r="D204" s="2" t="s">
        <v>729</v>
      </c>
      <c r="E204" s="2" t="s">
        <v>15</v>
      </c>
      <c r="F204" s="2" t="s">
        <v>16</v>
      </c>
      <c r="G204" s="2">
        <v>4.5999999999999996</v>
      </c>
      <c r="H204" s="2" t="s">
        <v>9</v>
      </c>
      <c r="I204" s="5">
        <v>66</v>
      </c>
      <c r="J204" s="6">
        <v>133</v>
      </c>
      <c r="K204" s="6">
        <v>400</v>
      </c>
      <c r="L204" s="6">
        <v>800</v>
      </c>
      <c r="M204" s="5">
        <v>1</v>
      </c>
      <c r="N204" s="5">
        <v>5</v>
      </c>
      <c r="O204" s="5">
        <v>30</v>
      </c>
      <c r="P204" s="9" t="s">
        <v>803</v>
      </c>
      <c r="Q204" s="5">
        <v>10</v>
      </c>
    </row>
    <row r="205" spans="1:18" x14ac:dyDescent="0.25">
      <c r="A205" s="2" t="s">
        <v>622</v>
      </c>
      <c r="B205" s="2" t="s">
        <v>433</v>
      </c>
      <c r="C205" s="2" t="s">
        <v>729</v>
      </c>
      <c r="D205" s="2" t="s">
        <v>729</v>
      </c>
      <c r="E205" s="2" t="s">
        <v>15</v>
      </c>
      <c r="F205" s="2" t="s">
        <v>16</v>
      </c>
      <c r="G205" s="2">
        <v>6.4</v>
      </c>
      <c r="H205" s="2" t="s">
        <v>9</v>
      </c>
      <c r="I205" s="5">
        <v>66</v>
      </c>
      <c r="J205" s="6">
        <v>133</v>
      </c>
      <c r="K205" s="6">
        <v>400</v>
      </c>
      <c r="L205" s="6">
        <v>800</v>
      </c>
      <c r="M205" s="5">
        <v>1</v>
      </c>
      <c r="N205" s="5">
        <v>5</v>
      </c>
      <c r="O205" s="5">
        <v>30</v>
      </c>
      <c r="P205" s="9" t="s">
        <v>803</v>
      </c>
      <c r="Q205" s="5">
        <v>10</v>
      </c>
    </row>
    <row r="206" spans="1:18" x14ac:dyDescent="0.25">
      <c r="A206" s="2" t="s">
        <v>622</v>
      </c>
      <c r="B206" s="2" t="s">
        <v>434</v>
      </c>
      <c r="C206" s="2" t="s">
        <v>729</v>
      </c>
      <c r="D206" s="2" t="s">
        <v>729</v>
      </c>
      <c r="E206" s="2" t="s">
        <v>72</v>
      </c>
      <c r="F206" s="2" t="s">
        <v>73</v>
      </c>
      <c r="G206" s="2">
        <v>6</v>
      </c>
      <c r="H206" s="2" t="s">
        <v>46</v>
      </c>
      <c r="I206" s="5">
        <v>66</v>
      </c>
      <c r="J206" s="6">
        <v>133</v>
      </c>
      <c r="K206" s="6">
        <v>400</v>
      </c>
      <c r="L206" s="6">
        <v>800</v>
      </c>
      <c r="M206" s="5">
        <v>2</v>
      </c>
      <c r="N206" s="5"/>
      <c r="O206" s="5">
        <v>20</v>
      </c>
      <c r="P206" s="5" t="s">
        <v>763</v>
      </c>
      <c r="Q206" s="5">
        <v>1</v>
      </c>
    </row>
    <row r="207" spans="1:18" x14ac:dyDescent="0.25">
      <c r="A207" s="2" t="s">
        <v>627</v>
      </c>
      <c r="B207" s="2" t="s">
        <v>435</v>
      </c>
      <c r="C207" s="2" t="s">
        <v>729</v>
      </c>
      <c r="D207" s="2" t="s">
        <v>729</v>
      </c>
      <c r="E207" s="2" t="s">
        <v>390</v>
      </c>
      <c r="F207" s="2" t="s">
        <v>92</v>
      </c>
      <c r="G207" s="2">
        <v>3</v>
      </c>
      <c r="H207" s="2" t="s">
        <v>46</v>
      </c>
      <c r="I207" s="5">
        <v>50</v>
      </c>
      <c r="J207" s="6">
        <v>100</v>
      </c>
      <c r="K207" s="6">
        <v>300</v>
      </c>
      <c r="L207" s="6">
        <v>600</v>
      </c>
      <c r="M207" s="5">
        <v>3</v>
      </c>
      <c r="N207" s="5"/>
      <c r="O207" s="5">
        <v>5</v>
      </c>
      <c r="P207" s="5" t="s">
        <v>749</v>
      </c>
      <c r="Q207" s="5">
        <v>1</v>
      </c>
      <c r="R207" s="2" t="s">
        <v>836</v>
      </c>
    </row>
    <row r="208" spans="1:18" x14ac:dyDescent="0.25">
      <c r="A208" s="2" t="s">
        <v>627</v>
      </c>
      <c r="B208" s="2" t="s">
        <v>436</v>
      </c>
      <c r="C208" s="2" t="s">
        <v>729</v>
      </c>
      <c r="D208" s="2" t="s">
        <v>729</v>
      </c>
      <c r="E208" s="2" t="s">
        <v>70</v>
      </c>
      <c r="F208" s="2" t="s">
        <v>71</v>
      </c>
      <c r="G208" s="2">
        <v>4.12</v>
      </c>
      <c r="H208" s="2" t="s">
        <v>43</v>
      </c>
      <c r="I208" s="5">
        <v>66</v>
      </c>
      <c r="J208" s="6">
        <v>133</v>
      </c>
      <c r="K208" s="6">
        <v>400</v>
      </c>
      <c r="L208" s="6">
        <v>800</v>
      </c>
      <c r="M208" s="5">
        <v>2</v>
      </c>
      <c r="N208" s="5"/>
      <c r="O208" s="5">
        <v>10</v>
      </c>
      <c r="P208" s="5" t="s">
        <v>749</v>
      </c>
      <c r="Q208" s="5">
        <v>1</v>
      </c>
    </row>
    <row r="209" spans="1:18" x14ac:dyDescent="0.25">
      <c r="A209" s="2" t="s">
        <v>622</v>
      </c>
      <c r="B209" s="2" t="s">
        <v>437</v>
      </c>
      <c r="C209" s="2" t="s">
        <v>729</v>
      </c>
      <c r="D209" s="2" t="s">
        <v>729</v>
      </c>
      <c r="E209" s="2" t="s">
        <v>70</v>
      </c>
      <c r="F209" s="2" t="s">
        <v>71</v>
      </c>
      <c r="G209" s="2">
        <v>12.7</v>
      </c>
      <c r="H209" s="2" t="s">
        <v>135</v>
      </c>
      <c r="I209" s="5">
        <v>33</v>
      </c>
      <c r="J209" s="6">
        <v>66</v>
      </c>
      <c r="K209" s="6">
        <v>200</v>
      </c>
      <c r="L209" s="6">
        <v>400</v>
      </c>
      <c r="M209" s="5"/>
      <c r="N209" s="5">
        <v>5</v>
      </c>
      <c r="O209" s="5">
        <v>47</v>
      </c>
      <c r="P209" s="7" t="s">
        <v>804</v>
      </c>
      <c r="Q209" s="5">
        <v>10</v>
      </c>
    </row>
    <row r="210" spans="1:18" x14ac:dyDescent="0.25">
      <c r="A210" s="2" t="s">
        <v>625</v>
      </c>
      <c r="B210" s="2" t="s">
        <v>438</v>
      </c>
      <c r="C210" s="2" t="s">
        <v>729</v>
      </c>
      <c r="D210" s="2" t="s">
        <v>729</v>
      </c>
      <c r="E210" s="2" t="s">
        <v>218</v>
      </c>
      <c r="F210" s="2" t="s">
        <v>102</v>
      </c>
      <c r="G210" s="2">
        <v>4.3</v>
      </c>
      <c r="H210" s="2" t="s">
        <v>51</v>
      </c>
      <c r="I210" s="5">
        <v>15</v>
      </c>
      <c r="J210" s="6">
        <v>30</v>
      </c>
      <c r="K210" s="6">
        <v>90</v>
      </c>
      <c r="L210" s="6">
        <v>180</v>
      </c>
      <c r="M210" s="5">
        <v>1</v>
      </c>
      <c r="N210" s="5">
        <v>5</v>
      </c>
      <c r="O210" s="5">
        <v>34</v>
      </c>
      <c r="P210" s="7" t="s">
        <v>767</v>
      </c>
      <c r="Q210" s="5">
        <v>10</v>
      </c>
    </row>
    <row r="211" spans="1:18" x14ac:dyDescent="0.25">
      <c r="A211" s="2" t="s">
        <v>619</v>
      </c>
      <c r="B211" s="2" t="s">
        <v>439</v>
      </c>
      <c r="C211" s="2" t="s">
        <v>729</v>
      </c>
      <c r="D211" s="2" t="s">
        <v>729</v>
      </c>
      <c r="E211" s="2" t="s">
        <v>218</v>
      </c>
      <c r="F211" s="2" t="s">
        <v>102</v>
      </c>
      <c r="G211" s="2">
        <v>1.1200000000000001</v>
      </c>
      <c r="H211" s="2" t="s">
        <v>51</v>
      </c>
      <c r="I211" s="5">
        <v>6</v>
      </c>
      <c r="J211" s="6">
        <v>13</v>
      </c>
      <c r="K211" s="6">
        <v>40</v>
      </c>
      <c r="L211" s="6">
        <v>80</v>
      </c>
      <c r="M211" s="5">
        <v>3</v>
      </c>
      <c r="N211" s="5"/>
      <c r="O211" s="5">
        <v>17</v>
      </c>
      <c r="P211" s="5" t="s">
        <v>752</v>
      </c>
      <c r="Q211" s="5">
        <v>1</v>
      </c>
    </row>
    <row r="212" spans="1:18" x14ac:dyDescent="0.25">
      <c r="A212" s="2" t="s">
        <v>619</v>
      </c>
      <c r="B212" s="2" t="s">
        <v>440</v>
      </c>
      <c r="C212" s="2" t="s">
        <v>729</v>
      </c>
      <c r="D212" s="2" t="s">
        <v>729</v>
      </c>
      <c r="E212" s="2" t="s">
        <v>218</v>
      </c>
      <c r="F212" s="2" t="s">
        <v>102</v>
      </c>
      <c r="G212" s="2">
        <v>0.87</v>
      </c>
      <c r="H212" s="2" t="s">
        <v>51</v>
      </c>
      <c r="I212" s="5">
        <v>5</v>
      </c>
      <c r="J212" s="6">
        <v>11</v>
      </c>
      <c r="K212" s="6">
        <v>35</v>
      </c>
      <c r="L212" s="6">
        <v>70</v>
      </c>
      <c r="M212" s="5">
        <v>3</v>
      </c>
      <c r="N212" s="5"/>
      <c r="O212" s="5">
        <v>8</v>
      </c>
      <c r="P212" s="5" t="s">
        <v>752</v>
      </c>
      <c r="Q212" s="5">
        <v>1</v>
      </c>
      <c r="R212" s="2" t="s">
        <v>835</v>
      </c>
    </row>
    <row r="213" spans="1:18" x14ac:dyDescent="0.25">
      <c r="A213" s="2" t="s">
        <v>625</v>
      </c>
      <c r="B213" s="2" t="s">
        <v>441</v>
      </c>
      <c r="C213" s="2" t="s">
        <v>729</v>
      </c>
      <c r="D213" s="2" t="s">
        <v>729</v>
      </c>
      <c r="E213" s="2" t="s">
        <v>218</v>
      </c>
      <c r="F213" s="2" t="s">
        <v>102</v>
      </c>
      <c r="G213" s="2">
        <v>3.9</v>
      </c>
      <c r="H213" s="2" t="s">
        <v>51</v>
      </c>
      <c r="I213" s="5">
        <v>5</v>
      </c>
      <c r="J213" s="6">
        <v>11</v>
      </c>
      <c r="K213" s="6">
        <v>35</v>
      </c>
      <c r="L213" s="6">
        <v>70</v>
      </c>
      <c r="M213" s="5">
        <v>1</v>
      </c>
      <c r="N213" s="5">
        <v>3</v>
      </c>
      <c r="O213" s="5">
        <v>40</v>
      </c>
      <c r="P213" s="7" t="s">
        <v>805</v>
      </c>
      <c r="Q213" s="5">
        <v>5</v>
      </c>
    </row>
    <row r="214" spans="1:18" x14ac:dyDescent="0.25">
      <c r="A214" s="2" t="s">
        <v>625</v>
      </c>
      <c r="B214" s="2" t="s">
        <v>442</v>
      </c>
      <c r="C214" s="2" t="s">
        <v>729</v>
      </c>
      <c r="D214" s="2" t="s">
        <v>729</v>
      </c>
      <c r="E214" s="2" t="s">
        <v>218</v>
      </c>
      <c r="F214" s="2" t="s">
        <v>102</v>
      </c>
      <c r="G214" s="2">
        <v>4.5640000000000001</v>
      </c>
      <c r="H214" s="2" t="s">
        <v>51</v>
      </c>
      <c r="I214" s="5">
        <v>5</v>
      </c>
      <c r="J214" s="6">
        <v>11</v>
      </c>
      <c r="K214" s="6">
        <v>35</v>
      </c>
      <c r="L214" s="6">
        <v>70</v>
      </c>
      <c r="M214" s="5">
        <v>1</v>
      </c>
      <c r="N214" s="5">
        <v>3</v>
      </c>
      <c r="O214" s="5">
        <v>40</v>
      </c>
      <c r="P214" s="7" t="s">
        <v>806</v>
      </c>
      <c r="Q214" s="5">
        <v>5</v>
      </c>
    </row>
    <row r="215" spans="1:18" x14ac:dyDescent="0.25">
      <c r="A215" s="2" t="s">
        <v>622</v>
      </c>
      <c r="B215" s="2" t="s">
        <v>443</v>
      </c>
      <c r="C215" s="2" t="s">
        <v>729</v>
      </c>
      <c r="D215" s="2" t="s">
        <v>729</v>
      </c>
      <c r="E215" s="2" t="s">
        <v>72</v>
      </c>
      <c r="F215" s="2" t="s">
        <v>354</v>
      </c>
      <c r="G215" s="2">
        <v>16.3</v>
      </c>
      <c r="H215" s="2" t="s">
        <v>46</v>
      </c>
      <c r="I215" s="5">
        <v>100</v>
      </c>
      <c r="J215" s="6">
        <v>200</v>
      </c>
      <c r="K215" s="6">
        <v>600</v>
      </c>
      <c r="L215" s="6">
        <v>1200</v>
      </c>
      <c r="M215" s="5"/>
      <c r="N215" s="5">
        <v>50</v>
      </c>
      <c r="O215" s="5">
        <v>1000</v>
      </c>
      <c r="P215" s="5">
        <v>100</v>
      </c>
      <c r="Q215" s="5">
        <v>100</v>
      </c>
    </row>
    <row r="216" spans="1:18" x14ac:dyDescent="0.25">
      <c r="A216" s="2" t="s">
        <v>627</v>
      </c>
      <c r="B216" s="2" t="s">
        <v>444</v>
      </c>
      <c r="C216" s="2" t="s">
        <v>729</v>
      </c>
      <c r="D216" s="2" t="s">
        <v>729</v>
      </c>
      <c r="E216" s="2" t="s">
        <v>72</v>
      </c>
      <c r="F216" s="2" t="s">
        <v>354</v>
      </c>
      <c r="G216" s="2">
        <v>4.17</v>
      </c>
      <c r="H216" s="2" t="s">
        <v>46</v>
      </c>
      <c r="I216" s="5">
        <v>100</v>
      </c>
      <c r="J216" s="6">
        <v>200</v>
      </c>
      <c r="K216" s="6">
        <v>600</v>
      </c>
      <c r="L216" s="6">
        <v>1200</v>
      </c>
      <c r="M216" s="5">
        <v>2</v>
      </c>
      <c r="N216" s="5"/>
      <c r="O216" s="5">
        <v>10</v>
      </c>
      <c r="P216" s="5" t="s">
        <v>752</v>
      </c>
      <c r="Q216" s="5">
        <v>1</v>
      </c>
    </row>
    <row r="217" spans="1:18" x14ac:dyDescent="0.25">
      <c r="A217" s="2" t="s">
        <v>620</v>
      </c>
      <c r="B217" s="2" t="s">
        <v>445</v>
      </c>
      <c r="C217" s="2" t="s">
        <v>729</v>
      </c>
      <c r="D217" s="2" t="s">
        <v>729</v>
      </c>
      <c r="E217" s="2" t="s">
        <v>72</v>
      </c>
      <c r="F217" s="2" t="s">
        <v>73</v>
      </c>
      <c r="G217" s="2">
        <v>6.57</v>
      </c>
      <c r="H217" s="2" t="s">
        <v>46</v>
      </c>
      <c r="I217" s="5">
        <v>116</v>
      </c>
      <c r="J217" s="6">
        <v>233</v>
      </c>
      <c r="K217" s="6">
        <v>700</v>
      </c>
      <c r="L217" s="6">
        <v>1400</v>
      </c>
      <c r="M217" s="5">
        <v>2</v>
      </c>
      <c r="N217" s="5"/>
      <c r="O217" s="5">
        <v>5</v>
      </c>
      <c r="P217" s="5" t="s">
        <v>763</v>
      </c>
      <c r="Q217" s="5">
        <v>1</v>
      </c>
    </row>
    <row r="218" spans="1:18" x14ac:dyDescent="0.25">
      <c r="A218" s="2" t="s">
        <v>622</v>
      </c>
      <c r="B218" s="2" t="s">
        <v>446</v>
      </c>
      <c r="C218" s="2" t="s">
        <v>729</v>
      </c>
      <c r="D218" s="2" t="s">
        <v>729</v>
      </c>
      <c r="E218" s="2" t="s">
        <v>72</v>
      </c>
      <c r="F218" s="2" t="s">
        <v>73</v>
      </c>
      <c r="G218" s="2">
        <v>10.51</v>
      </c>
      <c r="H218" s="2" t="s">
        <v>46</v>
      </c>
      <c r="I218" s="5">
        <v>100</v>
      </c>
      <c r="J218" s="6">
        <v>200</v>
      </c>
      <c r="K218" s="6">
        <v>600</v>
      </c>
      <c r="L218" s="6">
        <v>1200</v>
      </c>
      <c r="M218" s="5">
        <v>1</v>
      </c>
      <c r="N218" s="5">
        <v>3</v>
      </c>
      <c r="O218" s="5">
        <v>50</v>
      </c>
      <c r="P218" s="9" t="s">
        <v>807</v>
      </c>
      <c r="Q218" s="5">
        <v>5</v>
      </c>
    </row>
    <row r="219" spans="1:18" x14ac:dyDescent="0.25">
      <c r="A219" s="2" t="s">
        <v>622</v>
      </c>
      <c r="B219" s="2" t="s">
        <v>447</v>
      </c>
      <c r="C219" s="2" t="s">
        <v>729</v>
      </c>
      <c r="D219" s="2" t="s">
        <v>729</v>
      </c>
      <c r="E219" s="2" t="s">
        <v>72</v>
      </c>
      <c r="F219" s="2" t="s">
        <v>73</v>
      </c>
      <c r="G219" s="2">
        <v>8.5050000000000008</v>
      </c>
      <c r="H219" s="2" t="s">
        <v>46</v>
      </c>
      <c r="I219" s="5">
        <v>100</v>
      </c>
      <c r="J219" s="6">
        <v>200</v>
      </c>
      <c r="K219" s="6">
        <v>600</v>
      </c>
      <c r="L219" s="6">
        <v>1200</v>
      </c>
      <c r="M219" s="5">
        <v>1</v>
      </c>
      <c r="N219" s="5">
        <v>3</v>
      </c>
      <c r="O219" s="5">
        <v>50</v>
      </c>
      <c r="P219" s="9" t="s">
        <v>807</v>
      </c>
      <c r="Q219" s="5">
        <v>5</v>
      </c>
    </row>
    <row r="220" spans="1:18" x14ac:dyDescent="0.25">
      <c r="A220" s="2" t="s">
        <v>622</v>
      </c>
      <c r="B220" s="2" t="s">
        <v>448</v>
      </c>
      <c r="C220" s="2" t="s">
        <v>729</v>
      </c>
      <c r="D220" s="2" t="s">
        <v>729</v>
      </c>
      <c r="E220" s="2" t="s">
        <v>72</v>
      </c>
      <c r="F220" s="2" t="s">
        <v>73</v>
      </c>
      <c r="G220" s="2">
        <v>8.3919999999999995</v>
      </c>
      <c r="H220" s="2" t="s">
        <v>46</v>
      </c>
      <c r="I220" s="5">
        <v>100</v>
      </c>
      <c r="J220" s="6">
        <v>200</v>
      </c>
      <c r="K220" s="6">
        <v>600</v>
      </c>
      <c r="L220" s="6">
        <v>1200</v>
      </c>
      <c r="M220" s="5">
        <v>1</v>
      </c>
      <c r="N220" s="5">
        <v>3</v>
      </c>
      <c r="O220" s="5">
        <v>50</v>
      </c>
      <c r="P220" s="9" t="s">
        <v>807</v>
      </c>
      <c r="Q220" s="5">
        <v>5</v>
      </c>
    </row>
    <row r="221" spans="1:18" x14ac:dyDescent="0.25">
      <c r="A221" s="2" t="s">
        <v>625</v>
      </c>
      <c r="B221" s="2" t="s">
        <v>449</v>
      </c>
      <c r="C221" s="2" t="s">
        <v>729</v>
      </c>
      <c r="D221" s="2" t="s">
        <v>729</v>
      </c>
      <c r="E221" s="2" t="s">
        <v>218</v>
      </c>
      <c r="F221" s="2" t="s">
        <v>102</v>
      </c>
      <c r="G221" s="2">
        <v>2.2000000000000002</v>
      </c>
      <c r="H221" s="2" t="s">
        <v>51</v>
      </c>
      <c r="I221" s="5">
        <v>6</v>
      </c>
      <c r="J221" s="6">
        <v>13</v>
      </c>
      <c r="K221" s="6">
        <v>40</v>
      </c>
      <c r="L221" s="6">
        <v>80</v>
      </c>
      <c r="M221" s="5">
        <v>2</v>
      </c>
      <c r="N221" s="5">
        <v>5</v>
      </c>
      <c r="O221" s="5">
        <v>30</v>
      </c>
      <c r="P221" s="9" t="s">
        <v>807</v>
      </c>
      <c r="Q221" s="5">
        <v>5</v>
      </c>
    </row>
    <row r="222" spans="1:18" x14ac:dyDescent="0.25">
      <c r="A222" s="2" t="s">
        <v>625</v>
      </c>
      <c r="B222" s="2" t="s">
        <v>450</v>
      </c>
      <c r="C222" s="2" t="s">
        <v>729</v>
      </c>
      <c r="D222" s="2" t="s">
        <v>729</v>
      </c>
      <c r="E222" s="2" t="s">
        <v>218</v>
      </c>
      <c r="F222" s="2" t="s">
        <v>102</v>
      </c>
      <c r="G222" s="2">
        <v>2.2999999999999998</v>
      </c>
      <c r="H222" s="2" t="s">
        <v>51</v>
      </c>
      <c r="I222" s="5">
        <v>6</v>
      </c>
      <c r="J222" s="6">
        <v>13</v>
      </c>
      <c r="K222" s="6">
        <v>40</v>
      </c>
      <c r="L222" s="6">
        <v>80</v>
      </c>
      <c r="M222" s="5">
        <v>2</v>
      </c>
      <c r="N222" s="5">
        <v>5</v>
      </c>
      <c r="O222" s="5">
        <v>30</v>
      </c>
      <c r="P222" s="9" t="s">
        <v>807</v>
      </c>
      <c r="Q222" s="5">
        <v>5</v>
      </c>
    </row>
    <row r="223" spans="1:18" x14ac:dyDescent="0.25">
      <c r="A223" s="2" t="s">
        <v>619</v>
      </c>
      <c r="B223" s="2" t="s">
        <v>451</v>
      </c>
      <c r="C223" s="2" t="s">
        <v>729</v>
      </c>
      <c r="D223" s="2" t="s">
        <v>729</v>
      </c>
      <c r="E223" s="2" t="s">
        <v>38</v>
      </c>
      <c r="F223" s="2" t="s">
        <v>39</v>
      </c>
      <c r="G223" s="2">
        <v>0.27500000000000002</v>
      </c>
      <c r="H223" s="2" t="s">
        <v>28</v>
      </c>
      <c r="I223" s="5">
        <v>2</v>
      </c>
      <c r="J223" s="6">
        <v>4</v>
      </c>
      <c r="K223" s="6">
        <v>12</v>
      </c>
      <c r="L223" s="6">
        <v>24</v>
      </c>
      <c r="M223" s="5">
        <v>4</v>
      </c>
      <c r="N223" s="5"/>
      <c r="O223" s="5">
        <v>6</v>
      </c>
      <c r="P223" s="5" t="s">
        <v>752</v>
      </c>
      <c r="Q223" s="5">
        <v>1</v>
      </c>
    </row>
    <row r="224" spans="1:18" x14ac:dyDescent="0.25">
      <c r="A224" s="2" t="s">
        <v>619</v>
      </c>
      <c r="B224" s="2" t="s">
        <v>452</v>
      </c>
      <c r="C224" s="2" t="s">
        <v>729</v>
      </c>
      <c r="D224" s="2" t="s">
        <v>729</v>
      </c>
      <c r="E224" s="2" t="s">
        <v>86</v>
      </c>
      <c r="F224" s="2" t="s">
        <v>87</v>
      </c>
      <c r="G224" s="2">
        <v>0.31</v>
      </c>
      <c r="H224" s="2" t="s">
        <v>33</v>
      </c>
      <c r="I224" s="5">
        <v>4</v>
      </c>
      <c r="J224" s="6">
        <v>8</v>
      </c>
      <c r="K224" s="6">
        <v>25</v>
      </c>
      <c r="L224" s="6">
        <v>50</v>
      </c>
      <c r="M224" s="5">
        <v>5</v>
      </c>
      <c r="N224" s="5"/>
      <c r="O224" s="5">
        <v>6</v>
      </c>
      <c r="P224" s="5" t="s">
        <v>752</v>
      </c>
      <c r="Q224" s="5">
        <v>1</v>
      </c>
    </row>
    <row r="225" spans="1:18" x14ac:dyDescent="0.25">
      <c r="A225" s="2" t="s">
        <v>622</v>
      </c>
      <c r="B225" s="2" t="s">
        <v>453</v>
      </c>
      <c r="C225" s="2" t="s">
        <v>729</v>
      </c>
      <c r="D225" s="2" t="s">
        <v>729</v>
      </c>
      <c r="E225" s="2" t="s">
        <v>72</v>
      </c>
      <c r="F225" s="2" t="s">
        <v>73</v>
      </c>
      <c r="G225" s="2">
        <v>10</v>
      </c>
      <c r="H225" s="2" t="s">
        <v>46</v>
      </c>
      <c r="I225" s="5">
        <v>100</v>
      </c>
      <c r="J225" s="6">
        <v>200</v>
      </c>
      <c r="K225" s="6">
        <v>600</v>
      </c>
      <c r="L225" s="6">
        <v>1200</v>
      </c>
      <c r="M225" s="5"/>
      <c r="N225" s="5">
        <v>5</v>
      </c>
      <c r="O225" s="5">
        <v>100</v>
      </c>
      <c r="P225" s="5">
        <v>75</v>
      </c>
      <c r="Q225" s="5">
        <v>10</v>
      </c>
    </row>
    <row r="226" spans="1:18" x14ac:dyDescent="0.25">
      <c r="A226" s="2" t="s">
        <v>619</v>
      </c>
      <c r="B226" s="2" t="s">
        <v>454</v>
      </c>
      <c r="C226" s="2" t="s">
        <v>729</v>
      </c>
      <c r="D226" s="2" t="s">
        <v>729</v>
      </c>
      <c r="E226" s="2" t="s">
        <v>218</v>
      </c>
      <c r="F226" s="2" t="s">
        <v>102</v>
      </c>
      <c r="G226" s="2">
        <v>0.86</v>
      </c>
      <c r="H226" s="2" t="s">
        <v>51</v>
      </c>
      <c r="I226" s="5">
        <v>5</v>
      </c>
      <c r="J226" s="6">
        <v>11</v>
      </c>
      <c r="K226" s="6">
        <v>35</v>
      </c>
      <c r="L226" s="6">
        <v>70</v>
      </c>
      <c r="M226" s="5">
        <v>3</v>
      </c>
      <c r="N226" s="5"/>
      <c r="O226" s="5">
        <v>9</v>
      </c>
      <c r="P226" s="5" t="s">
        <v>752</v>
      </c>
      <c r="Q226" s="5">
        <v>1</v>
      </c>
    </row>
    <row r="227" spans="1:18" x14ac:dyDescent="0.25">
      <c r="A227" s="2" t="s">
        <v>619</v>
      </c>
      <c r="B227" s="2" t="s">
        <v>455</v>
      </c>
      <c r="C227" s="2" t="s">
        <v>729</v>
      </c>
      <c r="D227" s="2" t="s">
        <v>729</v>
      </c>
      <c r="E227" s="2" t="s">
        <v>203</v>
      </c>
      <c r="F227" s="2" t="s">
        <v>204</v>
      </c>
      <c r="G227" s="2">
        <v>1.78</v>
      </c>
      <c r="H227" s="2" t="s">
        <v>25</v>
      </c>
      <c r="I227" s="5">
        <v>16</v>
      </c>
      <c r="J227" s="6">
        <v>33</v>
      </c>
      <c r="K227" s="6">
        <v>100</v>
      </c>
      <c r="L227" s="6">
        <v>200</v>
      </c>
      <c r="M227" s="5">
        <v>3</v>
      </c>
      <c r="N227" s="5"/>
      <c r="O227" s="5">
        <v>7</v>
      </c>
      <c r="P227" s="5" t="s">
        <v>752</v>
      </c>
      <c r="Q227" s="5">
        <v>1</v>
      </c>
    </row>
    <row r="228" spans="1:18" x14ac:dyDescent="0.25">
      <c r="A228" s="2" t="s">
        <v>619</v>
      </c>
      <c r="B228" s="2" t="s">
        <v>456</v>
      </c>
      <c r="C228" s="2" t="s">
        <v>729</v>
      </c>
      <c r="D228" s="2" t="s">
        <v>729</v>
      </c>
      <c r="E228" s="2" t="s">
        <v>118</v>
      </c>
      <c r="F228" s="2" t="s">
        <v>119</v>
      </c>
      <c r="G228" s="2">
        <v>1.64</v>
      </c>
      <c r="H228" s="2" t="s">
        <v>51</v>
      </c>
      <c r="I228" s="5">
        <v>12</v>
      </c>
      <c r="J228" s="6">
        <v>25</v>
      </c>
      <c r="K228" s="6">
        <v>75</v>
      </c>
      <c r="L228" s="6">
        <v>150</v>
      </c>
      <c r="M228" s="5">
        <v>2</v>
      </c>
      <c r="N228" s="5"/>
      <c r="O228" s="5">
        <v>9</v>
      </c>
      <c r="P228" s="5" t="s">
        <v>752</v>
      </c>
      <c r="Q228" s="5">
        <v>1</v>
      </c>
    </row>
    <row r="229" spans="1:18" x14ac:dyDescent="0.25">
      <c r="A229" s="2" t="s">
        <v>619</v>
      </c>
      <c r="B229" s="2" t="s">
        <v>457</v>
      </c>
      <c r="C229" s="2" t="s">
        <v>729</v>
      </c>
      <c r="D229" s="2" t="s">
        <v>729</v>
      </c>
      <c r="E229" s="2" t="s">
        <v>126</v>
      </c>
      <c r="F229" s="2" t="s">
        <v>458</v>
      </c>
      <c r="G229" s="2">
        <v>1.78</v>
      </c>
      <c r="H229" s="2" t="s">
        <v>25</v>
      </c>
      <c r="I229" s="5">
        <v>16</v>
      </c>
      <c r="J229" s="6">
        <v>33</v>
      </c>
      <c r="K229" s="6">
        <v>100</v>
      </c>
      <c r="L229" s="6">
        <v>200</v>
      </c>
      <c r="M229" s="5">
        <v>3</v>
      </c>
      <c r="N229" s="5"/>
      <c r="O229" s="5">
        <v>8</v>
      </c>
      <c r="P229" s="5" t="s">
        <v>752</v>
      </c>
      <c r="Q229" s="5">
        <v>1</v>
      </c>
    </row>
    <row r="230" spans="1:18" x14ac:dyDescent="0.25">
      <c r="A230" s="2" t="s">
        <v>619</v>
      </c>
      <c r="B230" s="2" t="s">
        <v>459</v>
      </c>
      <c r="C230" s="2" t="s">
        <v>729</v>
      </c>
      <c r="D230" s="2" t="s">
        <v>729</v>
      </c>
      <c r="E230" s="2" t="s">
        <v>98</v>
      </c>
      <c r="F230" s="2" t="s">
        <v>99</v>
      </c>
      <c r="G230" s="2">
        <v>0.73</v>
      </c>
      <c r="H230" s="2" t="s">
        <v>33</v>
      </c>
      <c r="I230" s="5">
        <v>5</v>
      </c>
      <c r="J230" s="6">
        <v>10</v>
      </c>
      <c r="K230" s="6">
        <v>30</v>
      </c>
      <c r="L230" s="6">
        <v>60</v>
      </c>
      <c r="M230" s="5">
        <v>3</v>
      </c>
      <c r="N230" s="5"/>
      <c r="O230" s="5">
        <v>8</v>
      </c>
      <c r="P230" s="5" t="s">
        <v>752</v>
      </c>
      <c r="Q230" s="5">
        <v>1</v>
      </c>
    </row>
    <row r="231" spans="1:18" x14ac:dyDescent="0.25">
      <c r="A231" s="2" t="s">
        <v>619</v>
      </c>
      <c r="B231" s="2" t="s">
        <v>460</v>
      </c>
      <c r="C231" s="2" t="s">
        <v>729</v>
      </c>
      <c r="D231" s="2" t="s">
        <v>729</v>
      </c>
      <c r="E231" s="2" t="s">
        <v>218</v>
      </c>
      <c r="F231" s="2" t="s">
        <v>102</v>
      </c>
      <c r="G231" s="2">
        <v>0</v>
      </c>
      <c r="H231" s="2" t="s">
        <v>51</v>
      </c>
      <c r="I231" s="5">
        <v>5</v>
      </c>
      <c r="J231" s="6">
        <v>11</v>
      </c>
      <c r="K231" s="6">
        <v>35</v>
      </c>
      <c r="L231" s="6">
        <v>70</v>
      </c>
      <c r="M231" s="5">
        <v>17</v>
      </c>
      <c r="N231" s="5"/>
      <c r="O231" s="5">
        <v>15</v>
      </c>
      <c r="P231" s="5" t="s">
        <v>752</v>
      </c>
      <c r="Q231" s="5">
        <v>1</v>
      </c>
    </row>
    <row r="232" spans="1:18" x14ac:dyDescent="0.25">
      <c r="A232" s="2" t="s">
        <v>619</v>
      </c>
      <c r="B232" s="2" t="s">
        <v>461</v>
      </c>
      <c r="C232" s="2" t="s">
        <v>729</v>
      </c>
      <c r="D232" s="2" t="s">
        <v>729</v>
      </c>
      <c r="E232" s="2" t="s">
        <v>218</v>
      </c>
      <c r="F232" s="2" t="s">
        <v>102</v>
      </c>
      <c r="G232" s="2">
        <v>1.07</v>
      </c>
      <c r="H232" s="2" t="s">
        <v>51</v>
      </c>
      <c r="I232" s="5">
        <v>5</v>
      </c>
      <c r="J232" s="6">
        <v>11</v>
      </c>
      <c r="K232" s="6">
        <v>35</v>
      </c>
      <c r="L232" s="6">
        <v>70</v>
      </c>
      <c r="M232" s="5">
        <v>3</v>
      </c>
      <c r="N232" s="5"/>
      <c r="O232" s="5">
        <v>15</v>
      </c>
      <c r="P232" s="5" t="s">
        <v>752</v>
      </c>
      <c r="Q232" s="5">
        <v>1</v>
      </c>
    </row>
    <row r="233" spans="1:18" x14ac:dyDescent="0.25">
      <c r="A233" s="2" t="s">
        <v>628</v>
      </c>
      <c r="B233" s="2" t="s">
        <v>462</v>
      </c>
      <c r="C233" s="2" t="s">
        <v>729</v>
      </c>
      <c r="D233" s="2" t="s">
        <v>729</v>
      </c>
      <c r="E233" s="2" t="s">
        <v>118</v>
      </c>
      <c r="F233" s="2" t="s">
        <v>119</v>
      </c>
      <c r="G233" s="2">
        <v>0.94</v>
      </c>
      <c r="H233" s="2" t="s">
        <v>51</v>
      </c>
      <c r="I233" s="5">
        <v>8</v>
      </c>
      <c r="J233" s="6">
        <v>16</v>
      </c>
      <c r="K233" s="6">
        <v>50</v>
      </c>
      <c r="L233" s="6">
        <v>100</v>
      </c>
      <c r="M233" s="5">
        <v>3</v>
      </c>
      <c r="N233" s="5"/>
      <c r="O233" s="5">
        <v>6</v>
      </c>
      <c r="P233" s="5" t="s">
        <v>756</v>
      </c>
      <c r="Q233" s="5">
        <v>1</v>
      </c>
    </row>
    <row r="234" spans="1:18" x14ac:dyDescent="0.25">
      <c r="A234" s="2" t="s">
        <v>628</v>
      </c>
      <c r="B234" s="2" t="s">
        <v>463</v>
      </c>
      <c r="C234" s="2" t="s">
        <v>729</v>
      </c>
      <c r="D234" s="2" t="s">
        <v>729</v>
      </c>
      <c r="E234" s="2" t="s">
        <v>118</v>
      </c>
      <c r="F234" s="2" t="s">
        <v>119</v>
      </c>
      <c r="G234" s="2">
        <v>0.91</v>
      </c>
      <c r="H234" s="2" t="s">
        <v>51</v>
      </c>
      <c r="I234" s="5">
        <v>8</v>
      </c>
      <c r="J234" s="6">
        <v>16</v>
      </c>
      <c r="K234" s="6">
        <v>50</v>
      </c>
      <c r="L234" s="6">
        <v>100</v>
      </c>
      <c r="M234" s="5">
        <v>3</v>
      </c>
      <c r="N234" s="5"/>
      <c r="O234" s="5">
        <v>6</v>
      </c>
      <c r="P234" s="5" t="s">
        <v>756</v>
      </c>
      <c r="Q234" s="5">
        <v>1</v>
      </c>
    </row>
    <row r="235" spans="1:18" x14ac:dyDescent="0.25">
      <c r="A235" s="2" t="s">
        <v>619</v>
      </c>
      <c r="B235" s="2" t="s">
        <v>464</v>
      </c>
      <c r="C235" s="2" t="s">
        <v>729</v>
      </c>
      <c r="D235" s="2" t="s">
        <v>729</v>
      </c>
      <c r="E235" s="2" t="s">
        <v>86</v>
      </c>
      <c r="F235" s="2" t="s">
        <v>87</v>
      </c>
      <c r="G235" s="2">
        <v>0.68</v>
      </c>
      <c r="H235" s="2" t="s">
        <v>33</v>
      </c>
      <c r="I235" s="5">
        <v>5</v>
      </c>
      <c r="J235" s="6">
        <v>10</v>
      </c>
      <c r="K235" s="6">
        <v>30</v>
      </c>
      <c r="L235" s="6">
        <v>60</v>
      </c>
      <c r="M235" s="5">
        <v>3</v>
      </c>
      <c r="N235" s="5"/>
      <c r="O235" s="5">
        <v>8</v>
      </c>
      <c r="P235" s="5" t="s">
        <v>752</v>
      </c>
      <c r="Q235" s="5">
        <v>1</v>
      </c>
    </row>
    <row r="236" spans="1:18" x14ac:dyDescent="0.25">
      <c r="A236" s="2" t="s">
        <v>619</v>
      </c>
      <c r="B236" s="2" t="s">
        <v>465</v>
      </c>
      <c r="C236" s="2" t="s">
        <v>729</v>
      </c>
      <c r="D236" s="2" t="s">
        <v>729</v>
      </c>
      <c r="E236" s="2" t="s">
        <v>86</v>
      </c>
      <c r="F236" s="2" t="s">
        <v>87</v>
      </c>
      <c r="G236" s="2">
        <v>0.56000000000000005</v>
      </c>
      <c r="H236" s="2" t="s">
        <v>33</v>
      </c>
      <c r="I236" s="5">
        <v>4</v>
      </c>
      <c r="J236" s="6">
        <v>8</v>
      </c>
      <c r="K236" s="6">
        <v>25</v>
      </c>
      <c r="L236" s="6">
        <v>50</v>
      </c>
      <c r="M236" s="5">
        <v>3</v>
      </c>
      <c r="N236" s="5"/>
      <c r="O236" s="5">
        <v>7</v>
      </c>
      <c r="P236" s="5" t="s">
        <v>752</v>
      </c>
      <c r="Q236" s="5">
        <v>1</v>
      </c>
    </row>
    <row r="237" spans="1:18" x14ac:dyDescent="0.25">
      <c r="A237" s="2" t="s">
        <v>622</v>
      </c>
      <c r="B237" s="2" t="s">
        <v>466</v>
      </c>
      <c r="C237" s="2" t="s">
        <v>729</v>
      </c>
      <c r="D237" s="2" t="s">
        <v>729</v>
      </c>
      <c r="E237" s="2" t="s">
        <v>390</v>
      </c>
      <c r="F237" s="2" t="s">
        <v>92</v>
      </c>
      <c r="G237" s="2">
        <v>12.3</v>
      </c>
      <c r="H237" s="2" t="s">
        <v>46</v>
      </c>
      <c r="I237" s="5">
        <v>83</v>
      </c>
      <c r="J237" s="6">
        <v>166</v>
      </c>
      <c r="K237" s="6">
        <v>500</v>
      </c>
      <c r="L237" s="6">
        <v>1000</v>
      </c>
      <c r="M237" s="5"/>
      <c r="N237" s="5">
        <v>10</v>
      </c>
      <c r="O237" s="5">
        <v>200</v>
      </c>
      <c r="P237" s="5">
        <v>60</v>
      </c>
      <c r="Q237" s="5">
        <v>20</v>
      </c>
      <c r="R237" s="2" t="s">
        <v>846</v>
      </c>
    </row>
    <row r="238" spans="1:18" x14ac:dyDescent="0.25">
      <c r="A238" s="2" t="s">
        <v>623</v>
      </c>
      <c r="B238" s="2" t="s">
        <v>467</v>
      </c>
      <c r="C238" s="2" t="s">
        <v>729</v>
      </c>
      <c r="D238" s="2" t="s">
        <v>729</v>
      </c>
      <c r="E238" s="2" t="s">
        <v>18</v>
      </c>
      <c r="F238" s="2" t="s">
        <v>16</v>
      </c>
      <c r="G238" s="2">
        <v>3.78</v>
      </c>
      <c r="H238" s="2" t="s">
        <v>14</v>
      </c>
      <c r="I238" s="5">
        <v>50</v>
      </c>
      <c r="J238" s="6">
        <v>100</v>
      </c>
      <c r="K238" s="6">
        <v>300</v>
      </c>
      <c r="L238" s="6">
        <v>600</v>
      </c>
      <c r="M238" s="5">
        <v>2</v>
      </c>
      <c r="N238" s="5">
        <v>3</v>
      </c>
      <c r="O238" s="5">
        <v>25</v>
      </c>
      <c r="P238" s="9" t="s">
        <v>793</v>
      </c>
      <c r="Q238" s="5">
        <v>3</v>
      </c>
    </row>
    <row r="239" spans="1:18" x14ac:dyDescent="0.25">
      <c r="A239" s="2" t="s">
        <v>623</v>
      </c>
      <c r="B239" s="2" t="s">
        <v>468</v>
      </c>
      <c r="C239" s="2" t="s">
        <v>729</v>
      </c>
      <c r="D239" s="2" t="s">
        <v>729</v>
      </c>
      <c r="E239" s="2" t="s">
        <v>18</v>
      </c>
      <c r="F239" s="2" t="s">
        <v>16</v>
      </c>
      <c r="G239" s="2">
        <v>3.12</v>
      </c>
      <c r="H239" s="2" t="s">
        <v>9</v>
      </c>
      <c r="I239" s="5">
        <v>25</v>
      </c>
      <c r="J239" s="6">
        <v>50</v>
      </c>
      <c r="K239" s="6">
        <v>150</v>
      </c>
      <c r="L239" s="6">
        <v>300</v>
      </c>
      <c r="M239" s="5">
        <v>2</v>
      </c>
      <c r="N239" s="5">
        <v>3</v>
      </c>
      <c r="O239" s="5">
        <v>30</v>
      </c>
      <c r="P239" s="9" t="s">
        <v>792</v>
      </c>
      <c r="Q239" s="5">
        <v>3</v>
      </c>
    </row>
    <row r="240" spans="1:18" x14ac:dyDescent="0.25">
      <c r="A240" s="2" t="s">
        <v>623</v>
      </c>
      <c r="B240" s="2" t="s">
        <v>469</v>
      </c>
      <c r="C240" s="2" t="s">
        <v>729</v>
      </c>
      <c r="D240" s="2" t="s">
        <v>729</v>
      </c>
      <c r="E240" s="2" t="s">
        <v>18</v>
      </c>
      <c r="F240" s="2" t="s">
        <v>16</v>
      </c>
      <c r="G240" s="2">
        <v>3.5</v>
      </c>
      <c r="H240" s="2" t="s">
        <v>14</v>
      </c>
      <c r="I240" s="5">
        <v>50</v>
      </c>
      <c r="J240" s="6">
        <v>100</v>
      </c>
      <c r="K240" s="6">
        <v>300</v>
      </c>
      <c r="L240" s="6">
        <v>600</v>
      </c>
      <c r="M240" s="5">
        <v>2</v>
      </c>
      <c r="N240" s="5">
        <v>3</v>
      </c>
      <c r="O240" s="5">
        <v>30</v>
      </c>
      <c r="P240" s="9" t="s">
        <v>792</v>
      </c>
      <c r="Q240" s="5">
        <v>3</v>
      </c>
    </row>
    <row r="241" spans="1:18" x14ac:dyDescent="0.25">
      <c r="A241" s="2" t="s">
        <v>623</v>
      </c>
      <c r="B241" s="2" t="s">
        <v>470</v>
      </c>
      <c r="C241" s="2" t="s">
        <v>729</v>
      </c>
      <c r="D241" s="2" t="s">
        <v>729</v>
      </c>
      <c r="E241" s="2" t="s">
        <v>18</v>
      </c>
      <c r="F241" s="2" t="s">
        <v>16</v>
      </c>
      <c r="G241" s="2">
        <v>3.8</v>
      </c>
      <c r="H241" s="2" t="s">
        <v>14</v>
      </c>
      <c r="I241" s="5">
        <v>50</v>
      </c>
      <c r="J241" s="6">
        <v>100</v>
      </c>
      <c r="K241" s="6">
        <v>300</v>
      </c>
      <c r="L241" s="6">
        <v>600</v>
      </c>
      <c r="M241" s="5">
        <v>2</v>
      </c>
      <c r="N241" s="5">
        <v>3</v>
      </c>
      <c r="O241" s="5">
        <v>30</v>
      </c>
      <c r="P241" s="9" t="s">
        <v>792</v>
      </c>
      <c r="Q241" s="5">
        <v>3</v>
      </c>
    </row>
    <row r="242" spans="1:18" x14ac:dyDescent="0.25">
      <c r="A242" s="2" t="s">
        <v>622</v>
      </c>
      <c r="B242" s="2" t="s">
        <v>471</v>
      </c>
      <c r="C242" s="2" t="s">
        <v>729</v>
      </c>
      <c r="D242" s="2" t="s">
        <v>729</v>
      </c>
      <c r="E242" s="2" t="s">
        <v>40</v>
      </c>
      <c r="F242" s="2" t="s">
        <v>41</v>
      </c>
      <c r="G242" s="2">
        <v>9.1</v>
      </c>
      <c r="H242" s="2" t="s">
        <v>44</v>
      </c>
      <c r="I242" s="5">
        <v>83</v>
      </c>
      <c r="J242" s="6">
        <v>166</v>
      </c>
      <c r="K242" s="6">
        <v>500</v>
      </c>
      <c r="L242" s="6">
        <v>1000</v>
      </c>
      <c r="M242" s="5">
        <v>1</v>
      </c>
      <c r="N242" s="5">
        <v>5</v>
      </c>
      <c r="O242" s="5">
        <v>30</v>
      </c>
      <c r="P242" s="7" t="s">
        <v>808</v>
      </c>
      <c r="Q242" s="5">
        <v>10</v>
      </c>
      <c r="R242" s="2" t="s">
        <v>847</v>
      </c>
    </row>
    <row r="243" spans="1:18" x14ac:dyDescent="0.25">
      <c r="A243" s="2" t="s">
        <v>620</v>
      </c>
      <c r="B243" s="2" t="s">
        <v>472</v>
      </c>
      <c r="C243" s="2" t="s">
        <v>729</v>
      </c>
      <c r="D243" s="2" t="s">
        <v>729</v>
      </c>
      <c r="E243" s="2" t="s">
        <v>40</v>
      </c>
      <c r="F243" s="2" t="s">
        <v>41</v>
      </c>
      <c r="G243" s="2">
        <v>5.2</v>
      </c>
      <c r="H243" s="2" t="s">
        <v>44</v>
      </c>
      <c r="I243" s="5">
        <v>116</v>
      </c>
      <c r="J243" s="6">
        <v>233</v>
      </c>
      <c r="K243" s="6">
        <v>700</v>
      </c>
      <c r="L243" s="6">
        <v>1400</v>
      </c>
      <c r="M243" s="5">
        <v>2</v>
      </c>
      <c r="N243" s="5"/>
      <c r="O243" s="5">
        <v>10</v>
      </c>
      <c r="P243" s="5" t="s">
        <v>763</v>
      </c>
      <c r="Q243" s="5">
        <v>1</v>
      </c>
    </row>
    <row r="244" spans="1:18" x14ac:dyDescent="0.25">
      <c r="A244" s="2" t="s">
        <v>620</v>
      </c>
      <c r="B244" s="2" t="s">
        <v>473</v>
      </c>
      <c r="C244" s="2" t="s">
        <v>729</v>
      </c>
      <c r="D244" s="2" t="s">
        <v>729</v>
      </c>
      <c r="E244" s="2" t="s">
        <v>72</v>
      </c>
      <c r="F244" s="2" t="s">
        <v>73</v>
      </c>
      <c r="G244" s="2">
        <v>5.34</v>
      </c>
      <c r="H244" s="2" t="s">
        <v>46</v>
      </c>
      <c r="I244" s="5">
        <v>100</v>
      </c>
      <c r="J244" s="6">
        <v>200</v>
      </c>
      <c r="K244" s="6">
        <v>600</v>
      </c>
      <c r="L244" s="6">
        <v>1200</v>
      </c>
      <c r="M244" s="5">
        <v>2</v>
      </c>
      <c r="N244" s="5"/>
      <c r="O244" s="5">
        <v>10</v>
      </c>
      <c r="P244" s="5" t="s">
        <v>763</v>
      </c>
      <c r="Q244" s="5">
        <v>1</v>
      </c>
    </row>
    <row r="245" spans="1:18" x14ac:dyDescent="0.25">
      <c r="A245" s="2" t="s">
        <v>627</v>
      </c>
      <c r="B245" s="2" t="s">
        <v>474</v>
      </c>
      <c r="C245" s="2" t="s">
        <v>729</v>
      </c>
      <c r="D245" s="2" t="s">
        <v>729</v>
      </c>
      <c r="E245" s="2" t="s">
        <v>40</v>
      </c>
      <c r="F245" s="2" t="s">
        <v>41</v>
      </c>
      <c r="G245" s="2">
        <v>3.72</v>
      </c>
      <c r="H245" s="2" t="s">
        <v>44</v>
      </c>
      <c r="I245" s="5">
        <v>50</v>
      </c>
      <c r="J245" s="6">
        <v>100</v>
      </c>
      <c r="K245" s="6">
        <v>300</v>
      </c>
      <c r="L245" s="6">
        <v>600</v>
      </c>
      <c r="M245" s="5">
        <v>2</v>
      </c>
      <c r="N245" s="5"/>
      <c r="O245" s="5">
        <v>5</v>
      </c>
      <c r="P245" s="5" t="s">
        <v>749</v>
      </c>
      <c r="Q245" s="5">
        <v>1</v>
      </c>
      <c r="R245" s="2" t="s">
        <v>834</v>
      </c>
    </row>
    <row r="246" spans="1:18" x14ac:dyDescent="0.25">
      <c r="A246" s="2" t="s">
        <v>627</v>
      </c>
      <c r="B246" s="2" t="s">
        <v>475</v>
      </c>
      <c r="C246" s="2" t="s">
        <v>729</v>
      </c>
      <c r="D246" s="2" t="s">
        <v>729</v>
      </c>
      <c r="E246" s="2" t="s">
        <v>40</v>
      </c>
      <c r="F246" s="2" t="s">
        <v>41</v>
      </c>
      <c r="G246" s="2">
        <v>3.74</v>
      </c>
      <c r="H246" s="2" t="s">
        <v>44</v>
      </c>
      <c r="I246" s="5">
        <v>41</v>
      </c>
      <c r="J246" s="6">
        <v>83</v>
      </c>
      <c r="K246" s="6">
        <v>250</v>
      </c>
      <c r="L246" s="6">
        <v>500</v>
      </c>
      <c r="M246" s="5">
        <v>2</v>
      </c>
      <c r="N246" s="5"/>
      <c r="O246" s="5">
        <v>5</v>
      </c>
      <c r="P246" s="5" t="s">
        <v>749</v>
      </c>
      <c r="Q246" s="5">
        <v>1</v>
      </c>
      <c r="R246" s="2" t="s">
        <v>834</v>
      </c>
    </row>
    <row r="247" spans="1:18" x14ac:dyDescent="0.25">
      <c r="A247" s="2" t="s">
        <v>625</v>
      </c>
      <c r="B247" s="2" t="s">
        <v>476</v>
      </c>
      <c r="C247" s="2" t="s">
        <v>729</v>
      </c>
      <c r="D247" s="2" t="s">
        <v>729</v>
      </c>
      <c r="E247" s="2" t="s">
        <v>477</v>
      </c>
      <c r="F247" s="2" t="s">
        <v>209</v>
      </c>
      <c r="G247" s="2">
        <v>2.9</v>
      </c>
      <c r="H247" s="2" t="s">
        <v>44</v>
      </c>
      <c r="I247" s="5">
        <v>10</v>
      </c>
      <c r="J247" s="6">
        <v>20</v>
      </c>
      <c r="K247" s="6">
        <v>60</v>
      </c>
      <c r="L247" s="6">
        <v>120</v>
      </c>
      <c r="M247" s="5">
        <v>1</v>
      </c>
      <c r="N247" s="5">
        <v>10</v>
      </c>
      <c r="O247" s="5">
        <v>32</v>
      </c>
      <c r="P247" s="7" t="s">
        <v>744</v>
      </c>
      <c r="Q247" s="5">
        <v>10</v>
      </c>
      <c r="R247" s="2" t="s">
        <v>833</v>
      </c>
    </row>
    <row r="248" spans="1:18" x14ac:dyDescent="0.25">
      <c r="A248" s="2" t="s">
        <v>627</v>
      </c>
      <c r="B248" s="2" t="s">
        <v>478</v>
      </c>
      <c r="C248" s="2" t="s">
        <v>729</v>
      </c>
      <c r="D248" s="2" t="s">
        <v>729</v>
      </c>
      <c r="E248" s="2" t="s">
        <v>40</v>
      </c>
      <c r="F248" s="2" t="s">
        <v>41</v>
      </c>
      <c r="G248" s="2">
        <v>4.1500000000000004</v>
      </c>
      <c r="H248" s="2" t="s">
        <v>44</v>
      </c>
      <c r="I248" s="5">
        <v>66</v>
      </c>
      <c r="J248" s="6">
        <v>133</v>
      </c>
      <c r="K248" s="6">
        <v>400</v>
      </c>
      <c r="L248" s="6">
        <v>800</v>
      </c>
      <c r="M248" s="5">
        <v>2</v>
      </c>
      <c r="N248" s="5"/>
      <c r="O248" s="5">
        <v>10</v>
      </c>
      <c r="P248" s="5" t="s">
        <v>752</v>
      </c>
      <c r="Q248" s="5">
        <v>1</v>
      </c>
      <c r="R248" s="2" t="s">
        <v>832</v>
      </c>
    </row>
    <row r="249" spans="1:18" x14ac:dyDescent="0.25">
      <c r="A249" s="2" t="s">
        <v>623</v>
      </c>
      <c r="B249" s="2" t="s">
        <v>479</v>
      </c>
      <c r="C249" s="2" t="s">
        <v>729</v>
      </c>
      <c r="D249" s="2" t="s">
        <v>729</v>
      </c>
      <c r="E249" s="2" t="s">
        <v>40</v>
      </c>
      <c r="F249" s="2" t="s">
        <v>41</v>
      </c>
      <c r="G249" s="2">
        <v>3.9</v>
      </c>
      <c r="H249" s="2" t="s">
        <v>44</v>
      </c>
      <c r="I249" s="5">
        <v>116</v>
      </c>
      <c r="J249" s="6">
        <v>233</v>
      </c>
      <c r="K249" s="6">
        <v>700</v>
      </c>
      <c r="L249" s="6">
        <v>1400</v>
      </c>
      <c r="M249" s="5">
        <v>2</v>
      </c>
      <c r="N249" s="5"/>
      <c r="O249" s="5">
        <v>10</v>
      </c>
      <c r="P249" s="5" t="s">
        <v>752</v>
      </c>
      <c r="Q249" s="5">
        <v>1</v>
      </c>
      <c r="R249" s="2" t="s">
        <v>831</v>
      </c>
    </row>
    <row r="250" spans="1:18" x14ac:dyDescent="0.25">
      <c r="A250" s="2" t="s">
        <v>629</v>
      </c>
      <c r="B250" s="2" t="s">
        <v>480</v>
      </c>
      <c r="C250" s="2" t="s">
        <v>729</v>
      </c>
      <c r="D250" s="2" t="s">
        <v>729</v>
      </c>
      <c r="E250" s="2" t="s">
        <v>40</v>
      </c>
      <c r="F250" s="2" t="s">
        <v>41</v>
      </c>
      <c r="G250" s="2">
        <v>4.2</v>
      </c>
      <c r="H250" s="2" t="s">
        <v>44</v>
      </c>
      <c r="I250" s="5">
        <v>116</v>
      </c>
      <c r="J250" s="6">
        <v>233</v>
      </c>
      <c r="K250" s="6">
        <v>700</v>
      </c>
      <c r="L250" s="6">
        <v>1400</v>
      </c>
      <c r="M250" s="5">
        <v>2</v>
      </c>
      <c r="N250" s="5"/>
      <c r="O250" s="5">
        <v>10</v>
      </c>
      <c r="P250" s="5" t="s">
        <v>752</v>
      </c>
      <c r="Q250" s="5">
        <v>1</v>
      </c>
    </row>
    <row r="251" spans="1:18" x14ac:dyDescent="0.25">
      <c r="A251" s="2" t="s">
        <v>631</v>
      </c>
      <c r="B251" s="2" t="s">
        <v>481</v>
      </c>
      <c r="C251" s="2" t="s">
        <v>729</v>
      </c>
      <c r="D251" s="2" t="s">
        <v>729</v>
      </c>
      <c r="E251" s="2" t="s">
        <v>210</v>
      </c>
      <c r="F251" s="2" t="s">
        <v>211</v>
      </c>
      <c r="G251" s="2">
        <v>0.91</v>
      </c>
      <c r="H251" s="2" t="s">
        <v>95</v>
      </c>
      <c r="I251" s="5">
        <v>4</v>
      </c>
      <c r="J251" s="6">
        <v>8</v>
      </c>
      <c r="K251" s="6">
        <v>25</v>
      </c>
      <c r="L251" s="6">
        <v>50</v>
      </c>
      <c r="M251" s="5">
        <v>3</v>
      </c>
      <c r="N251" s="5"/>
      <c r="O251" s="5">
        <v>6</v>
      </c>
      <c r="P251" s="5" t="s">
        <v>749</v>
      </c>
      <c r="Q251" s="5">
        <v>1</v>
      </c>
      <c r="R251" s="2" t="s">
        <v>830</v>
      </c>
    </row>
    <row r="252" spans="1:18" x14ac:dyDescent="0.25">
      <c r="A252" s="2" t="s">
        <v>625</v>
      </c>
      <c r="B252" s="2" t="s">
        <v>482</v>
      </c>
      <c r="C252" s="2" t="s">
        <v>729</v>
      </c>
      <c r="D252" s="2" t="s">
        <v>729</v>
      </c>
      <c r="E252" s="2" t="s">
        <v>218</v>
      </c>
      <c r="F252" s="2" t="s">
        <v>102</v>
      </c>
      <c r="G252" s="2">
        <v>3.64</v>
      </c>
      <c r="H252" s="2" t="s">
        <v>51</v>
      </c>
      <c r="I252" s="5">
        <v>15</v>
      </c>
      <c r="J252" s="6">
        <v>30</v>
      </c>
      <c r="K252" s="6">
        <v>90</v>
      </c>
      <c r="L252" s="6">
        <v>180</v>
      </c>
      <c r="M252" s="5"/>
      <c r="N252" s="5">
        <v>3</v>
      </c>
      <c r="O252" s="5">
        <v>32</v>
      </c>
      <c r="P252" s="7" t="s">
        <v>805</v>
      </c>
      <c r="Q252" s="5">
        <v>5</v>
      </c>
    </row>
    <row r="253" spans="1:18" x14ac:dyDescent="0.25">
      <c r="A253" s="2" t="s">
        <v>619</v>
      </c>
      <c r="B253" s="2" t="s">
        <v>483</v>
      </c>
      <c r="C253" s="2" t="s">
        <v>729</v>
      </c>
      <c r="D253" s="2" t="s">
        <v>729</v>
      </c>
      <c r="E253" s="2" t="s">
        <v>49</v>
      </c>
      <c r="F253" s="2" t="s">
        <v>50</v>
      </c>
      <c r="G253" s="2">
        <v>1.22</v>
      </c>
      <c r="H253" s="2" t="s">
        <v>51</v>
      </c>
      <c r="I253" s="5">
        <v>12</v>
      </c>
      <c r="J253" s="6">
        <v>25</v>
      </c>
      <c r="K253" s="6">
        <v>75</v>
      </c>
      <c r="L253" s="6">
        <v>150</v>
      </c>
      <c r="M253" s="5">
        <v>3</v>
      </c>
      <c r="N253" s="5"/>
      <c r="O253" s="5">
        <v>10</v>
      </c>
      <c r="P253" s="5" t="s">
        <v>752</v>
      </c>
      <c r="Q253" s="5">
        <v>1</v>
      </c>
      <c r="R253" s="2" t="s">
        <v>829</v>
      </c>
    </row>
    <row r="254" spans="1:18" x14ac:dyDescent="0.25">
      <c r="A254" s="2" t="s">
        <v>619</v>
      </c>
      <c r="B254" s="2" t="s">
        <v>484</v>
      </c>
      <c r="C254" s="2" t="s">
        <v>729</v>
      </c>
      <c r="D254" s="2" t="s">
        <v>729</v>
      </c>
      <c r="E254" s="2" t="s">
        <v>218</v>
      </c>
      <c r="F254" s="2" t="s">
        <v>102</v>
      </c>
      <c r="G254" s="2">
        <v>1.22</v>
      </c>
      <c r="H254" s="2" t="s">
        <v>51</v>
      </c>
      <c r="I254" s="5">
        <v>10</v>
      </c>
      <c r="J254" s="6">
        <v>20</v>
      </c>
      <c r="K254" s="6">
        <v>60</v>
      </c>
      <c r="L254" s="6">
        <v>120</v>
      </c>
      <c r="M254" s="5">
        <v>3</v>
      </c>
      <c r="N254" s="5"/>
      <c r="O254" s="5">
        <v>10</v>
      </c>
      <c r="P254" s="5" t="s">
        <v>752</v>
      </c>
      <c r="Q254" s="5">
        <v>5</v>
      </c>
    </row>
    <row r="255" spans="1:18" x14ac:dyDescent="0.25">
      <c r="A255" s="2" t="s">
        <v>625</v>
      </c>
      <c r="B255" s="2" t="s">
        <v>485</v>
      </c>
      <c r="C255" s="2" t="s">
        <v>729</v>
      </c>
      <c r="D255" s="2" t="s">
        <v>729</v>
      </c>
      <c r="E255" s="2" t="s">
        <v>49</v>
      </c>
      <c r="F255" s="2" t="s">
        <v>50</v>
      </c>
      <c r="G255" s="2">
        <v>1.3</v>
      </c>
      <c r="H255" s="2" t="s">
        <v>51</v>
      </c>
      <c r="I255" s="5">
        <v>12</v>
      </c>
      <c r="J255" s="6">
        <v>25</v>
      </c>
      <c r="K255" s="6">
        <v>75</v>
      </c>
      <c r="L255" s="6">
        <v>150</v>
      </c>
      <c r="M255" s="5"/>
      <c r="N255" s="5">
        <v>10</v>
      </c>
      <c r="O255" s="5">
        <v>20</v>
      </c>
      <c r="P255" s="5">
        <v>50</v>
      </c>
      <c r="Q255" s="5">
        <v>10</v>
      </c>
      <c r="R255" s="2" t="s">
        <v>829</v>
      </c>
    </row>
    <row r="256" spans="1:18" x14ac:dyDescent="0.25">
      <c r="A256" s="2" t="s">
        <v>627</v>
      </c>
      <c r="B256" s="2" t="s">
        <v>486</v>
      </c>
      <c r="C256" s="2" t="s">
        <v>729</v>
      </c>
      <c r="D256" s="2" t="s">
        <v>729</v>
      </c>
      <c r="E256" s="2" t="s">
        <v>487</v>
      </c>
      <c r="F256" s="2" t="s">
        <v>90</v>
      </c>
      <c r="G256" s="2">
        <v>3.9</v>
      </c>
      <c r="H256" s="2" t="s">
        <v>44</v>
      </c>
      <c r="I256" s="5">
        <v>66</v>
      </c>
      <c r="J256" s="6">
        <v>133</v>
      </c>
      <c r="K256" s="6">
        <v>400</v>
      </c>
      <c r="L256" s="6">
        <v>800</v>
      </c>
      <c r="M256" s="5">
        <v>2</v>
      </c>
      <c r="N256" s="5"/>
      <c r="O256" s="5">
        <v>5</v>
      </c>
      <c r="P256" s="5" t="s">
        <v>749</v>
      </c>
      <c r="Q256" s="5">
        <v>1</v>
      </c>
      <c r="R256" s="2" t="s">
        <v>828</v>
      </c>
    </row>
    <row r="257" spans="1:17" x14ac:dyDescent="0.25">
      <c r="A257" s="2" t="s">
        <v>622</v>
      </c>
      <c r="B257" s="2" t="s">
        <v>488</v>
      </c>
      <c r="C257" s="2" t="s">
        <v>729</v>
      </c>
      <c r="D257" s="2" t="s">
        <v>729</v>
      </c>
      <c r="E257" s="2" t="s">
        <v>72</v>
      </c>
      <c r="F257" s="2" t="s">
        <v>73</v>
      </c>
      <c r="G257" s="2">
        <v>12</v>
      </c>
      <c r="H257" s="2" t="s">
        <v>46</v>
      </c>
      <c r="I257" s="5">
        <v>100</v>
      </c>
      <c r="J257" s="6">
        <v>200</v>
      </c>
      <c r="K257" s="6">
        <v>600</v>
      </c>
      <c r="L257" s="6">
        <v>1200</v>
      </c>
      <c r="M257" s="5">
        <v>1</v>
      </c>
      <c r="N257" s="5">
        <v>5</v>
      </c>
      <c r="O257" s="5">
        <v>100</v>
      </c>
      <c r="P257" s="7" t="s">
        <v>809</v>
      </c>
      <c r="Q257" s="5">
        <v>10</v>
      </c>
    </row>
    <row r="258" spans="1:17" x14ac:dyDescent="0.25">
      <c r="A258" s="2" t="s">
        <v>627</v>
      </c>
      <c r="B258" s="2" t="s">
        <v>489</v>
      </c>
      <c r="C258" s="2" t="s">
        <v>729</v>
      </c>
      <c r="D258" s="2" t="s">
        <v>729</v>
      </c>
      <c r="E258" s="2" t="s">
        <v>72</v>
      </c>
      <c r="F258" s="2" t="s">
        <v>73</v>
      </c>
      <c r="G258" s="2">
        <v>6.1230000000000002</v>
      </c>
      <c r="H258" s="2" t="s">
        <v>46</v>
      </c>
      <c r="I258" s="5">
        <v>100</v>
      </c>
      <c r="J258" s="6">
        <v>200</v>
      </c>
      <c r="K258" s="6">
        <v>600</v>
      </c>
      <c r="L258" s="6">
        <v>1200</v>
      </c>
      <c r="M258" s="5">
        <v>2</v>
      </c>
      <c r="N258" s="5"/>
      <c r="O258" s="5">
        <v>3</v>
      </c>
      <c r="P258" s="5" t="s">
        <v>763</v>
      </c>
      <c r="Q258" s="5">
        <v>1</v>
      </c>
    </row>
    <row r="259" spans="1:17" x14ac:dyDescent="0.25">
      <c r="A259" s="2" t="s">
        <v>619</v>
      </c>
      <c r="B259" s="2" t="s">
        <v>490</v>
      </c>
      <c r="C259" s="2" t="s">
        <v>729</v>
      </c>
      <c r="D259" s="2" t="s">
        <v>729</v>
      </c>
      <c r="E259" s="2" t="s">
        <v>218</v>
      </c>
      <c r="F259" s="2" t="s">
        <v>102</v>
      </c>
      <c r="G259" s="2">
        <v>3.2890000000000001</v>
      </c>
      <c r="H259" s="2" t="s">
        <v>51</v>
      </c>
      <c r="I259" s="5">
        <v>5</v>
      </c>
      <c r="J259" s="6">
        <v>10</v>
      </c>
      <c r="K259" s="6">
        <v>30</v>
      </c>
      <c r="L259" s="6">
        <v>60</v>
      </c>
      <c r="M259" s="5">
        <v>1</v>
      </c>
      <c r="N259" s="5">
        <v>3</v>
      </c>
      <c r="O259" s="5">
        <v>20</v>
      </c>
      <c r="P259" s="9" t="s">
        <v>810</v>
      </c>
      <c r="Q259" s="5">
        <v>5</v>
      </c>
    </row>
    <row r="260" spans="1:17" x14ac:dyDescent="0.25">
      <c r="A260" s="2" t="s">
        <v>624</v>
      </c>
      <c r="B260" s="2" t="s">
        <v>491</v>
      </c>
      <c r="C260" s="2" t="s">
        <v>729</v>
      </c>
      <c r="D260" s="2" t="s">
        <v>729</v>
      </c>
      <c r="E260" s="2" t="s">
        <v>194</v>
      </c>
      <c r="F260" s="2" t="s">
        <v>492</v>
      </c>
      <c r="G260" s="2">
        <v>3</v>
      </c>
      <c r="H260" s="2" t="s">
        <v>21</v>
      </c>
      <c r="I260" s="5">
        <v>6</v>
      </c>
      <c r="J260" s="6">
        <v>13</v>
      </c>
      <c r="K260" s="6">
        <v>40</v>
      </c>
      <c r="L260" s="6">
        <v>80</v>
      </c>
      <c r="M260" s="5">
        <v>2</v>
      </c>
      <c r="N260" s="5"/>
      <c r="O260" s="5">
        <v>5</v>
      </c>
      <c r="P260" s="5" t="s">
        <v>753</v>
      </c>
      <c r="Q260" s="5">
        <v>1</v>
      </c>
    </row>
    <row r="261" spans="1:17" x14ac:dyDescent="0.25">
      <c r="A261" s="2" t="s">
        <v>627</v>
      </c>
      <c r="B261" s="2" t="s">
        <v>493</v>
      </c>
      <c r="C261" s="2" t="s">
        <v>729</v>
      </c>
      <c r="D261" s="2" t="s">
        <v>729</v>
      </c>
      <c r="E261" s="2" t="s">
        <v>184</v>
      </c>
      <c r="F261" s="2" t="s">
        <v>185</v>
      </c>
      <c r="G261" s="2">
        <v>3.48</v>
      </c>
      <c r="H261" s="2" t="s">
        <v>46</v>
      </c>
      <c r="I261" s="5">
        <v>6</v>
      </c>
      <c r="J261" s="6">
        <v>13</v>
      </c>
      <c r="K261" s="6">
        <v>40</v>
      </c>
      <c r="L261" s="6">
        <v>80</v>
      </c>
      <c r="M261" s="5">
        <v>2</v>
      </c>
      <c r="N261" s="5"/>
      <c r="O261" s="5">
        <v>5</v>
      </c>
      <c r="P261" s="5" t="s">
        <v>752</v>
      </c>
      <c r="Q261" s="5">
        <v>1</v>
      </c>
    </row>
    <row r="262" spans="1:17" x14ac:dyDescent="0.25">
      <c r="A262" s="2" t="s">
        <v>624</v>
      </c>
      <c r="B262" s="2" t="s">
        <v>494</v>
      </c>
      <c r="C262" s="2" t="s">
        <v>729</v>
      </c>
      <c r="D262" s="2" t="s">
        <v>729</v>
      </c>
      <c r="E262" s="2" t="s">
        <v>184</v>
      </c>
      <c r="F262" s="2" t="s">
        <v>185</v>
      </c>
      <c r="G262" s="2">
        <v>3</v>
      </c>
      <c r="H262" s="2" t="s">
        <v>46</v>
      </c>
      <c r="I262" s="5">
        <v>6</v>
      </c>
      <c r="J262" s="6">
        <v>13</v>
      </c>
      <c r="K262" s="6">
        <v>40</v>
      </c>
      <c r="L262" s="6">
        <v>80</v>
      </c>
      <c r="M262" s="5">
        <v>3</v>
      </c>
      <c r="N262" s="5"/>
      <c r="O262" s="5">
        <v>6</v>
      </c>
      <c r="P262" s="5" t="s">
        <v>753</v>
      </c>
      <c r="Q262" s="5">
        <v>1</v>
      </c>
    </row>
    <row r="263" spans="1:17" x14ac:dyDescent="0.25">
      <c r="A263" s="2" t="s">
        <v>619</v>
      </c>
      <c r="B263" s="2" t="s">
        <v>495</v>
      </c>
      <c r="C263" s="2" t="s">
        <v>729</v>
      </c>
      <c r="D263" s="2" t="s">
        <v>729</v>
      </c>
      <c r="E263" s="2" t="s">
        <v>218</v>
      </c>
      <c r="F263" s="2" t="s">
        <v>496</v>
      </c>
      <c r="G263" s="2">
        <v>0.76</v>
      </c>
      <c r="H263" s="2" t="s">
        <v>51</v>
      </c>
      <c r="I263" s="5">
        <v>5</v>
      </c>
      <c r="J263" s="6">
        <v>10</v>
      </c>
      <c r="K263" s="6">
        <v>30</v>
      </c>
      <c r="L263" s="6">
        <v>60</v>
      </c>
      <c r="M263" s="5">
        <v>4</v>
      </c>
      <c r="N263" s="5"/>
      <c r="O263" s="5">
        <v>17</v>
      </c>
      <c r="P263" s="5" t="s">
        <v>752</v>
      </c>
      <c r="Q263" s="5">
        <v>1</v>
      </c>
    </row>
    <row r="264" spans="1:17" x14ac:dyDescent="0.25">
      <c r="A264" s="2" t="s">
        <v>619</v>
      </c>
      <c r="B264" s="2" t="s">
        <v>497</v>
      </c>
      <c r="C264" s="2" t="s">
        <v>729</v>
      </c>
      <c r="D264" s="2" t="s">
        <v>729</v>
      </c>
      <c r="E264" s="2" t="s">
        <v>132</v>
      </c>
      <c r="F264" s="2" t="s">
        <v>127</v>
      </c>
      <c r="G264" s="2">
        <v>0.76</v>
      </c>
      <c r="H264" s="2" t="s">
        <v>51</v>
      </c>
      <c r="I264" s="5">
        <v>5</v>
      </c>
      <c r="J264" s="6">
        <v>11</v>
      </c>
      <c r="K264" s="6">
        <v>35</v>
      </c>
      <c r="L264" s="6">
        <v>70</v>
      </c>
      <c r="M264" s="5">
        <v>4</v>
      </c>
      <c r="N264" s="5"/>
      <c r="O264" s="5">
        <v>17</v>
      </c>
      <c r="P264" s="5" t="s">
        <v>752</v>
      </c>
      <c r="Q264" s="5">
        <v>1</v>
      </c>
    </row>
    <row r="265" spans="1:17" x14ac:dyDescent="0.25">
      <c r="A265" s="2" t="s">
        <v>625</v>
      </c>
      <c r="B265" s="2" t="s">
        <v>498</v>
      </c>
      <c r="C265" s="2" t="s">
        <v>729</v>
      </c>
      <c r="D265" s="2" t="s">
        <v>729</v>
      </c>
      <c r="E265" s="2" t="s">
        <v>218</v>
      </c>
      <c r="F265" s="2" t="s">
        <v>102</v>
      </c>
      <c r="G265" s="2">
        <v>2.93</v>
      </c>
      <c r="H265" s="2" t="s">
        <v>51</v>
      </c>
      <c r="I265" s="5">
        <v>6</v>
      </c>
      <c r="J265" s="6">
        <v>13</v>
      </c>
      <c r="K265" s="6">
        <v>40</v>
      </c>
      <c r="L265" s="6">
        <v>80</v>
      </c>
      <c r="M265" s="5">
        <v>1</v>
      </c>
      <c r="N265" s="5">
        <v>3</v>
      </c>
      <c r="O265" s="5">
        <v>25</v>
      </c>
      <c r="P265" s="9" t="s">
        <v>785</v>
      </c>
      <c r="Q265" s="5">
        <v>5</v>
      </c>
    </row>
    <row r="266" spans="1:17" x14ac:dyDescent="0.25">
      <c r="A266" s="2" t="s">
        <v>622</v>
      </c>
      <c r="B266" s="2" t="s">
        <v>499</v>
      </c>
      <c r="C266" s="2" t="s">
        <v>729</v>
      </c>
      <c r="D266" s="2" t="s">
        <v>729</v>
      </c>
      <c r="E266" s="2" t="s">
        <v>15</v>
      </c>
      <c r="F266" s="2" t="s">
        <v>16</v>
      </c>
      <c r="G266" s="2">
        <v>7.6</v>
      </c>
      <c r="H266" s="2" t="s">
        <v>9</v>
      </c>
      <c r="I266" s="5">
        <v>50</v>
      </c>
      <c r="J266" s="6">
        <v>100</v>
      </c>
      <c r="K266" s="6">
        <v>300</v>
      </c>
      <c r="L266" s="6">
        <v>600</v>
      </c>
      <c r="M266" s="5"/>
      <c r="N266" s="5">
        <v>5</v>
      </c>
      <c r="O266" s="5">
        <v>50</v>
      </c>
      <c r="P266" s="5" t="s">
        <v>764</v>
      </c>
      <c r="Q266" s="5">
        <v>10</v>
      </c>
    </row>
    <row r="267" spans="1:17" x14ac:dyDescent="0.25">
      <c r="A267" s="2" t="s">
        <v>624</v>
      </c>
      <c r="B267" s="2" t="s">
        <v>500</v>
      </c>
      <c r="C267" s="2" t="s">
        <v>729</v>
      </c>
      <c r="D267" s="2" t="s">
        <v>729</v>
      </c>
      <c r="E267" s="2" t="s">
        <v>184</v>
      </c>
      <c r="F267" s="2" t="s">
        <v>185</v>
      </c>
      <c r="G267" s="2">
        <v>3.9</v>
      </c>
      <c r="H267" s="2" t="s">
        <v>46</v>
      </c>
      <c r="I267" s="5">
        <v>6</v>
      </c>
      <c r="J267" s="6">
        <v>13</v>
      </c>
      <c r="K267" s="6">
        <v>40</v>
      </c>
      <c r="L267" s="6">
        <v>80</v>
      </c>
      <c r="M267" s="5">
        <v>2</v>
      </c>
      <c r="N267" s="5"/>
      <c r="O267" s="5">
        <v>5</v>
      </c>
      <c r="P267" s="5" t="s">
        <v>753</v>
      </c>
      <c r="Q267" s="5">
        <v>1</v>
      </c>
    </row>
    <row r="268" spans="1:17" x14ac:dyDescent="0.25">
      <c r="A268" s="2" t="s">
        <v>623</v>
      </c>
      <c r="B268" s="2" t="s">
        <v>501</v>
      </c>
      <c r="C268" s="2" t="s">
        <v>729</v>
      </c>
      <c r="D268" s="2" t="s">
        <v>729</v>
      </c>
      <c r="E268" s="2" t="s">
        <v>5</v>
      </c>
      <c r="F268" s="2" t="s">
        <v>6</v>
      </c>
      <c r="G268" s="2">
        <v>3.83</v>
      </c>
      <c r="H268" s="2" t="s">
        <v>9</v>
      </c>
      <c r="I268" s="5">
        <v>50</v>
      </c>
      <c r="J268" s="6">
        <v>100</v>
      </c>
      <c r="K268" s="6">
        <v>300</v>
      </c>
      <c r="L268" s="6">
        <v>600</v>
      </c>
      <c r="M268" s="5">
        <v>2</v>
      </c>
      <c r="N268" s="5">
        <v>2</v>
      </c>
      <c r="O268" s="5">
        <v>30</v>
      </c>
      <c r="P268" s="9" t="s">
        <v>811</v>
      </c>
      <c r="Q268" s="5">
        <v>2</v>
      </c>
    </row>
    <row r="269" spans="1:17" x14ac:dyDescent="0.25">
      <c r="A269" s="2" t="s">
        <v>622</v>
      </c>
      <c r="B269" s="2" t="s">
        <v>502</v>
      </c>
      <c r="C269" s="2" t="s">
        <v>729</v>
      </c>
      <c r="D269" s="2" t="s">
        <v>729</v>
      </c>
      <c r="E269" s="2" t="s">
        <v>153</v>
      </c>
      <c r="F269" s="2" t="s">
        <v>154</v>
      </c>
      <c r="G269" s="2">
        <v>4.0999999999999996</v>
      </c>
      <c r="H269" s="2" t="s">
        <v>20</v>
      </c>
      <c r="I269" s="5">
        <v>75</v>
      </c>
      <c r="J269" s="6">
        <v>150</v>
      </c>
      <c r="K269" s="6">
        <v>450</v>
      </c>
      <c r="L269" s="6">
        <v>900</v>
      </c>
      <c r="M269" s="5">
        <v>2</v>
      </c>
      <c r="N269" s="5">
        <v>10</v>
      </c>
      <c r="O269" s="5">
        <v>75</v>
      </c>
      <c r="P269" s="7" t="s">
        <v>767</v>
      </c>
      <c r="Q269" s="5">
        <v>10</v>
      </c>
    </row>
    <row r="270" spans="1:17" x14ac:dyDescent="0.25">
      <c r="A270" s="2" t="s">
        <v>620</v>
      </c>
      <c r="B270" s="2" t="s">
        <v>503</v>
      </c>
      <c r="C270" s="2" t="s">
        <v>729</v>
      </c>
      <c r="D270" s="2" t="s">
        <v>729</v>
      </c>
      <c r="E270" s="2" t="s">
        <v>153</v>
      </c>
      <c r="F270" s="2" t="s">
        <v>154</v>
      </c>
      <c r="G270" s="2">
        <v>4.0999999999999996</v>
      </c>
      <c r="H270" s="2" t="s">
        <v>20</v>
      </c>
      <c r="I270" s="5">
        <v>83</v>
      </c>
      <c r="J270" s="6">
        <v>166</v>
      </c>
      <c r="K270" s="6">
        <v>500</v>
      </c>
      <c r="L270" s="6">
        <v>1000</v>
      </c>
      <c r="M270" s="5">
        <v>2</v>
      </c>
      <c r="N270" s="5"/>
      <c r="O270" s="5">
        <v>10</v>
      </c>
      <c r="P270" s="5" t="s">
        <v>752</v>
      </c>
      <c r="Q270" s="5">
        <v>1</v>
      </c>
    </row>
    <row r="271" spans="1:17" x14ac:dyDescent="0.25">
      <c r="A271" s="2" t="s">
        <v>623</v>
      </c>
      <c r="B271" s="2" t="s">
        <v>504</v>
      </c>
      <c r="C271" s="2" t="s">
        <v>729</v>
      </c>
      <c r="D271" s="2" t="s">
        <v>729</v>
      </c>
      <c r="E271" s="2" t="s">
        <v>153</v>
      </c>
      <c r="F271" s="2" t="s">
        <v>154</v>
      </c>
      <c r="G271" s="2">
        <v>3.5</v>
      </c>
      <c r="H271" s="2" t="s">
        <v>20</v>
      </c>
      <c r="I271" s="5">
        <v>50</v>
      </c>
      <c r="J271" s="6">
        <v>100</v>
      </c>
      <c r="K271" s="6">
        <v>300</v>
      </c>
      <c r="L271" s="6">
        <v>600</v>
      </c>
      <c r="M271" s="5">
        <v>2</v>
      </c>
      <c r="N271" s="5">
        <v>5</v>
      </c>
      <c r="O271" s="5">
        <v>30</v>
      </c>
      <c r="P271" s="9" t="s">
        <v>777</v>
      </c>
      <c r="Q271" s="5">
        <v>5</v>
      </c>
    </row>
    <row r="272" spans="1:17" x14ac:dyDescent="0.25">
      <c r="A272" s="2" t="s">
        <v>623</v>
      </c>
      <c r="B272" s="2" t="s">
        <v>505</v>
      </c>
      <c r="C272" s="2" t="s">
        <v>729</v>
      </c>
      <c r="D272" s="2" t="s">
        <v>729</v>
      </c>
      <c r="E272" s="2" t="s">
        <v>15</v>
      </c>
      <c r="F272" s="2" t="s">
        <v>506</v>
      </c>
      <c r="G272" s="2">
        <v>3.6</v>
      </c>
      <c r="H272" s="2" t="s">
        <v>9</v>
      </c>
      <c r="I272" s="5">
        <v>50</v>
      </c>
      <c r="J272" s="6">
        <v>100</v>
      </c>
      <c r="K272" s="6">
        <v>300</v>
      </c>
      <c r="L272" s="6">
        <v>600</v>
      </c>
      <c r="M272" s="5">
        <v>2</v>
      </c>
      <c r="N272" s="5">
        <v>5</v>
      </c>
      <c r="O272" s="5">
        <v>30</v>
      </c>
      <c r="P272" s="9" t="s">
        <v>777</v>
      </c>
      <c r="Q272" s="5">
        <v>5</v>
      </c>
    </row>
    <row r="273" spans="1:17" x14ac:dyDescent="0.25">
      <c r="A273" s="2" t="s">
        <v>619</v>
      </c>
      <c r="B273" s="2" t="s">
        <v>507</v>
      </c>
      <c r="C273" s="2" t="s">
        <v>729</v>
      </c>
      <c r="D273" s="2" t="s">
        <v>729</v>
      </c>
      <c r="E273" s="2" t="s">
        <v>86</v>
      </c>
      <c r="F273" s="2" t="s">
        <v>87</v>
      </c>
      <c r="G273" s="2">
        <v>1.08</v>
      </c>
      <c r="H273" s="2" t="s">
        <v>33</v>
      </c>
      <c r="I273" s="5">
        <v>3</v>
      </c>
      <c r="J273" s="6">
        <v>6</v>
      </c>
      <c r="K273" s="6">
        <v>20</v>
      </c>
      <c r="L273" s="6">
        <v>40</v>
      </c>
      <c r="M273" s="5">
        <v>2</v>
      </c>
      <c r="N273" s="5"/>
      <c r="O273" s="5">
        <v>9</v>
      </c>
      <c r="P273" s="5" t="s">
        <v>752</v>
      </c>
      <c r="Q273" s="5">
        <v>10</v>
      </c>
    </row>
    <row r="274" spans="1:17" x14ac:dyDescent="0.25">
      <c r="A274" s="2" t="s">
        <v>619</v>
      </c>
      <c r="B274" s="2" t="s">
        <v>508</v>
      </c>
      <c r="C274" s="2" t="s">
        <v>729</v>
      </c>
      <c r="D274" s="2" t="s">
        <v>729</v>
      </c>
      <c r="E274" s="2" t="s">
        <v>86</v>
      </c>
      <c r="F274" s="2" t="s">
        <v>87</v>
      </c>
      <c r="G274" s="2">
        <v>1.08</v>
      </c>
      <c r="H274" s="2" t="s">
        <v>33</v>
      </c>
      <c r="I274" s="5">
        <v>3</v>
      </c>
      <c r="J274" s="6">
        <v>6</v>
      </c>
      <c r="K274" s="6">
        <v>20</v>
      </c>
      <c r="L274" s="6">
        <v>40</v>
      </c>
      <c r="M274" s="5">
        <v>2</v>
      </c>
      <c r="N274" s="5"/>
      <c r="O274" s="5">
        <v>9</v>
      </c>
      <c r="P274" s="5" t="s">
        <v>765</v>
      </c>
      <c r="Q274" s="5">
        <v>1</v>
      </c>
    </row>
    <row r="275" spans="1:17" x14ac:dyDescent="0.25">
      <c r="A275" s="2" t="s">
        <v>625</v>
      </c>
      <c r="B275" s="2" t="s">
        <v>509</v>
      </c>
      <c r="C275" s="2" t="s">
        <v>729</v>
      </c>
      <c r="D275" s="2" t="s">
        <v>729</v>
      </c>
      <c r="E275" s="2" t="s">
        <v>49</v>
      </c>
      <c r="F275" s="2" t="s">
        <v>50</v>
      </c>
      <c r="G275" s="2">
        <v>1.9</v>
      </c>
      <c r="H275" s="2" t="s">
        <v>52</v>
      </c>
      <c r="I275" s="5">
        <v>8</v>
      </c>
      <c r="J275" s="6">
        <v>16</v>
      </c>
      <c r="K275" s="6">
        <v>50</v>
      </c>
      <c r="L275" s="6">
        <v>100</v>
      </c>
      <c r="M275" s="5">
        <v>2</v>
      </c>
      <c r="N275" s="5">
        <v>10</v>
      </c>
      <c r="O275" s="5">
        <v>30</v>
      </c>
      <c r="P275" s="7" t="s">
        <v>744</v>
      </c>
      <c r="Q275" s="5">
        <v>10</v>
      </c>
    </row>
    <row r="276" spans="1:17" x14ac:dyDescent="0.25">
      <c r="A276" s="2" t="s">
        <v>622</v>
      </c>
      <c r="B276" s="2" t="s">
        <v>510</v>
      </c>
      <c r="C276" s="2" t="s">
        <v>729</v>
      </c>
      <c r="D276" s="2" t="s">
        <v>729</v>
      </c>
      <c r="E276" s="2" t="s">
        <v>171</v>
      </c>
      <c r="F276" s="2" t="s">
        <v>172</v>
      </c>
      <c r="G276" s="2">
        <v>25</v>
      </c>
      <c r="H276" s="2" t="s">
        <v>173</v>
      </c>
      <c r="I276" s="5">
        <v>166</v>
      </c>
      <c r="J276" s="6">
        <v>333</v>
      </c>
      <c r="K276" s="6">
        <v>1000</v>
      </c>
      <c r="L276" s="6">
        <v>2000</v>
      </c>
      <c r="M276" s="5"/>
      <c r="N276" s="5">
        <v>5</v>
      </c>
      <c r="O276" s="5">
        <v>250</v>
      </c>
      <c r="P276" s="5">
        <v>160</v>
      </c>
      <c r="Q276" s="5">
        <v>10</v>
      </c>
    </row>
    <row r="277" spans="1:17" x14ac:dyDescent="0.25">
      <c r="A277" s="2" t="s">
        <v>623</v>
      </c>
      <c r="B277" s="2" t="s">
        <v>511</v>
      </c>
      <c r="C277" s="2" t="s">
        <v>729</v>
      </c>
      <c r="D277" s="2" t="s">
        <v>729</v>
      </c>
      <c r="E277" s="2" t="s">
        <v>57</v>
      </c>
      <c r="F277" s="2" t="s">
        <v>58</v>
      </c>
      <c r="G277" s="2">
        <v>3.2</v>
      </c>
      <c r="H277" s="2" t="s">
        <v>20</v>
      </c>
      <c r="I277" s="5">
        <v>50</v>
      </c>
      <c r="J277" s="6">
        <v>100</v>
      </c>
      <c r="K277" s="6">
        <v>300</v>
      </c>
      <c r="L277" s="6">
        <v>600</v>
      </c>
      <c r="M277" s="5">
        <v>2</v>
      </c>
      <c r="N277" s="5">
        <v>5</v>
      </c>
      <c r="O277" s="5">
        <v>30</v>
      </c>
      <c r="P277" s="7" t="s">
        <v>812</v>
      </c>
      <c r="Q277" s="5">
        <v>5</v>
      </c>
    </row>
    <row r="278" spans="1:17" x14ac:dyDescent="0.25">
      <c r="A278" s="2" t="s">
        <v>623</v>
      </c>
      <c r="B278" s="2" t="s">
        <v>512</v>
      </c>
      <c r="C278" s="2" t="s">
        <v>729</v>
      </c>
      <c r="D278" s="2" t="s">
        <v>729</v>
      </c>
      <c r="E278" s="2" t="s">
        <v>138</v>
      </c>
      <c r="F278" s="2" t="s">
        <v>137</v>
      </c>
      <c r="G278" s="2">
        <v>3.2</v>
      </c>
      <c r="H278" s="2" t="s">
        <v>52</v>
      </c>
      <c r="I278" s="5">
        <v>66</v>
      </c>
      <c r="J278" s="6">
        <v>133</v>
      </c>
      <c r="K278" s="6">
        <v>400</v>
      </c>
      <c r="L278" s="6">
        <v>800</v>
      </c>
      <c r="M278" s="5">
        <v>1</v>
      </c>
      <c r="N278" s="5">
        <v>3</v>
      </c>
      <c r="O278" s="5">
        <v>20</v>
      </c>
      <c r="P278" s="7" t="s">
        <v>812</v>
      </c>
      <c r="Q278" s="5">
        <v>5</v>
      </c>
    </row>
    <row r="279" spans="1:17" x14ac:dyDescent="0.25">
      <c r="A279" s="2" t="s">
        <v>625</v>
      </c>
      <c r="B279" s="2" t="s">
        <v>513</v>
      </c>
      <c r="C279" s="2" t="s">
        <v>729</v>
      </c>
      <c r="D279" s="2" t="s">
        <v>729</v>
      </c>
      <c r="E279" s="2" t="s">
        <v>218</v>
      </c>
      <c r="F279" s="2" t="s">
        <v>102</v>
      </c>
      <c r="G279" s="2">
        <v>1.2</v>
      </c>
      <c r="H279" s="2" t="s">
        <v>51</v>
      </c>
      <c r="I279" s="5">
        <v>5</v>
      </c>
      <c r="J279" s="6">
        <v>11</v>
      </c>
      <c r="K279" s="6">
        <v>35</v>
      </c>
      <c r="L279" s="6">
        <v>70</v>
      </c>
      <c r="M279" s="5">
        <v>3</v>
      </c>
      <c r="N279" s="5">
        <v>15</v>
      </c>
      <c r="O279" s="5">
        <v>25</v>
      </c>
      <c r="P279" s="7" t="s">
        <v>812</v>
      </c>
      <c r="Q279" s="5">
        <v>10</v>
      </c>
    </row>
    <row r="280" spans="1:17" x14ac:dyDescent="0.25">
      <c r="A280" s="2" t="s">
        <v>619</v>
      </c>
      <c r="B280" s="2" t="s">
        <v>514</v>
      </c>
      <c r="C280" s="2" t="s">
        <v>729</v>
      </c>
      <c r="D280" s="2" t="s">
        <v>729</v>
      </c>
      <c r="E280" s="2" t="s">
        <v>98</v>
      </c>
      <c r="F280" s="2" t="s">
        <v>99</v>
      </c>
      <c r="G280" s="2">
        <v>0.62</v>
      </c>
      <c r="H280" s="2" t="s">
        <v>33</v>
      </c>
      <c r="I280" s="5">
        <v>5</v>
      </c>
      <c r="J280" s="6">
        <v>10</v>
      </c>
      <c r="K280" s="6">
        <v>30</v>
      </c>
      <c r="L280" s="6">
        <v>60</v>
      </c>
      <c r="M280" s="5">
        <v>3</v>
      </c>
      <c r="N280" s="5"/>
      <c r="O280" s="5">
        <v>6</v>
      </c>
      <c r="P280" s="5" t="s">
        <v>752</v>
      </c>
      <c r="Q280" s="5">
        <v>1</v>
      </c>
    </row>
    <row r="281" spans="1:17" x14ac:dyDescent="0.25">
      <c r="A281" s="2" t="s">
        <v>620</v>
      </c>
      <c r="B281" s="2" t="s">
        <v>515</v>
      </c>
      <c r="C281" s="2" t="s">
        <v>729</v>
      </c>
      <c r="D281" s="2" t="s">
        <v>729</v>
      </c>
      <c r="E281" s="2" t="s">
        <v>72</v>
      </c>
      <c r="F281" s="2" t="s">
        <v>73</v>
      </c>
      <c r="G281" s="2">
        <v>5</v>
      </c>
      <c r="H281" s="2" t="s">
        <v>46</v>
      </c>
      <c r="I281" s="5">
        <v>100</v>
      </c>
      <c r="J281" s="6">
        <v>200</v>
      </c>
      <c r="K281" s="6">
        <v>600</v>
      </c>
      <c r="L281" s="6">
        <v>1200</v>
      </c>
      <c r="M281" s="5">
        <v>2</v>
      </c>
      <c r="N281" s="5"/>
      <c r="O281" s="5">
        <v>10</v>
      </c>
      <c r="P281" s="5" t="s">
        <v>749</v>
      </c>
      <c r="Q281" s="5">
        <v>1</v>
      </c>
    </row>
    <row r="282" spans="1:17" x14ac:dyDescent="0.25">
      <c r="A282" s="2" t="s">
        <v>620</v>
      </c>
      <c r="B282" s="2" t="s">
        <v>516</v>
      </c>
      <c r="C282" s="2" t="s">
        <v>729</v>
      </c>
      <c r="D282" s="2" t="s">
        <v>729</v>
      </c>
      <c r="E282" s="2" t="s">
        <v>156</v>
      </c>
      <c r="F282" s="2" t="s">
        <v>157</v>
      </c>
      <c r="G282" s="2">
        <v>15.8</v>
      </c>
      <c r="H282" s="2" t="s">
        <v>158</v>
      </c>
      <c r="I282" s="5">
        <v>200</v>
      </c>
      <c r="J282" s="6">
        <v>400</v>
      </c>
      <c r="K282" s="6">
        <v>1200</v>
      </c>
      <c r="L282" s="6">
        <v>2400</v>
      </c>
      <c r="M282" s="5">
        <v>1</v>
      </c>
      <c r="N282" s="5"/>
      <c r="O282" s="5">
        <v>7</v>
      </c>
      <c r="P282" s="5" t="s">
        <v>749</v>
      </c>
      <c r="Q282" s="5">
        <v>1</v>
      </c>
    </row>
    <row r="283" spans="1:17" x14ac:dyDescent="0.25">
      <c r="A283" s="2" t="s">
        <v>620</v>
      </c>
      <c r="B283" s="2" t="s">
        <v>517</v>
      </c>
      <c r="C283" s="2" t="s">
        <v>729</v>
      </c>
      <c r="D283" s="2" t="s">
        <v>729</v>
      </c>
      <c r="E283" s="2" t="s">
        <v>72</v>
      </c>
      <c r="F283" s="2" t="s">
        <v>73</v>
      </c>
      <c r="G283" s="2">
        <v>5.2</v>
      </c>
      <c r="H283" s="2" t="s">
        <v>46</v>
      </c>
      <c r="I283" s="5">
        <v>116</v>
      </c>
      <c r="J283" s="6">
        <v>233</v>
      </c>
      <c r="K283" s="6">
        <v>700</v>
      </c>
      <c r="L283" s="6">
        <v>1400</v>
      </c>
      <c r="M283" s="5">
        <v>2</v>
      </c>
      <c r="N283" s="5"/>
      <c r="O283" s="5">
        <v>5</v>
      </c>
      <c r="P283" s="5" t="s">
        <v>749</v>
      </c>
      <c r="Q283" s="5">
        <v>1</v>
      </c>
    </row>
    <row r="284" spans="1:17" x14ac:dyDescent="0.25">
      <c r="A284" s="2" t="s">
        <v>622</v>
      </c>
      <c r="B284" s="2" t="s">
        <v>518</v>
      </c>
      <c r="C284" s="2" t="s">
        <v>729</v>
      </c>
      <c r="D284" s="2" t="s">
        <v>729</v>
      </c>
      <c r="E284" s="2" t="s">
        <v>84</v>
      </c>
      <c r="F284" s="2" t="s">
        <v>83</v>
      </c>
      <c r="G284" s="2">
        <v>6.5</v>
      </c>
      <c r="H284" s="2" t="s">
        <v>46</v>
      </c>
      <c r="I284" s="5">
        <v>100</v>
      </c>
      <c r="J284" s="6">
        <v>200</v>
      </c>
      <c r="K284" s="6">
        <v>600</v>
      </c>
      <c r="L284" s="6">
        <v>1200</v>
      </c>
      <c r="M284" s="5"/>
      <c r="N284" s="5">
        <v>5</v>
      </c>
      <c r="O284" s="5">
        <v>50</v>
      </c>
      <c r="P284" s="5">
        <v>55</v>
      </c>
      <c r="Q284" s="5">
        <v>5</v>
      </c>
    </row>
    <row r="285" spans="1:17" x14ac:dyDescent="0.25">
      <c r="A285" s="2" t="s">
        <v>625</v>
      </c>
      <c r="B285" s="2" t="s">
        <v>519</v>
      </c>
      <c r="C285" s="2" t="s">
        <v>729</v>
      </c>
      <c r="D285" s="2" t="s">
        <v>729</v>
      </c>
      <c r="E285" s="2" t="s">
        <v>218</v>
      </c>
      <c r="F285" s="2" t="s">
        <v>102</v>
      </c>
      <c r="G285" s="2">
        <v>3.63</v>
      </c>
      <c r="H285" s="2" t="s">
        <v>51</v>
      </c>
      <c r="I285" s="5">
        <v>5</v>
      </c>
      <c r="J285" s="6">
        <v>10</v>
      </c>
      <c r="K285" s="6">
        <v>30</v>
      </c>
      <c r="L285" s="6">
        <v>60</v>
      </c>
      <c r="M285" s="5">
        <v>1</v>
      </c>
      <c r="N285" s="5">
        <v>3</v>
      </c>
      <c r="O285" s="5">
        <v>32</v>
      </c>
      <c r="P285" s="7" t="s">
        <v>812</v>
      </c>
      <c r="Q285" s="5">
        <v>5</v>
      </c>
    </row>
    <row r="286" spans="1:17" x14ac:dyDescent="0.25">
      <c r="A286" s="2" t="s">
        <v>625</v>
      </c>
      <c r="B286" s="2" t="s">
        <v>520</v>
      </c>
      <c r="C286" s="2" t="s">
        <v>729</v>
      </c>
      <c r="D286" s="2" t="s">
        <v>729</v>
      </c>
      <c r="E286" s="2" t="s">
        <v>49</v>
      </c>
      <c r="F286" s="2" t="s">
        <v>50</v>
      </c>
      <c r="G286" s="2">
        <v>4.13</v>
      </c>
      <c r="H286" s="2" t="s">
        <v>51</v>
      </c>
      <c r="I286" s="5">
        <v>4</v>
      </c>
      <c r="J286" s="6">
        <v>8</v>
      </c>
      <c r="K286" s="6">
        <v>25</v>
      </c>
      <c r="L286" s="6">
        <v>50</v>
      </c>
      <c r="M286" s="5">
        <v>1</v>
      </c>
      <c r="N286" s="5">
        <v>5</v>
      </c>
      <c r="O286" s="5">
        <v>71</v>
      </c>
      <c r="P286" s="7" t="s">
        <v>744</v>
      </c>
      <c r="Q286" s="5">
        <v>10</v>
      </c>
    </row>
    <row r="287" spans="1:17" x14ac:dyDescent="0.25">
      <c r="A287" s="2" t="s">
        <v>623</v>
      </c>
      <c r="B287" s="2" t="s">
        <v>521</v>
      </c>
      <c r="C287" s="2" t="s">
        <v>729</v>
      </c>
      <c r="D287" s="2" t="s">
        <v>729</v>
      </c>
      <c r="E287" s="2" t="s">
        <v>72</v>
      </c>
      <c r="F287" s="2" t="s">
        <v>73</v>
      </c>
      <c r="G287" s="2">
        <v>5.7</v>
      </c>
      <c r="H287" s="2" t="s">
        <v>46</v>
      </c>
      <c r="I287" s="5">
        <v>100</v>
      </c>
      <c r="J287" s="6">
        <v>200</v>
      </c>
      <c r="K287" s="6">
        <v>600</v>
      </c>
      <c r="L287" s="6">
        <v>1200</v>
      </c>
      <c r="M287" s="5">
        <v>2</v>
      </c>
      <c r="N287" s="5"/>
      <c r="O287" s="5">
        <v>5</v>
      </c>
      <c r="P287" s="5" t="s">
        <v>763</v>
      </c>
      <c r="Q287" s="5">
        <v>1</v>
      </c>
    </row>
    <row r="288" spans="1:17" x14ac:dyDescent="0.25">
      <c r="A288" s="2" t="s">
        <v>623</v>
      </c>
      <c r="B288" s="2" t="s">
        <v>521</v>
      </c>
      <c r="C288" s="2" t="s">
        <v>729</v>
      </c>
      <c r="D288" s="2" t="s">
        <v>729</v>
      </c>
      <c r="E288" s="2" t="s">
        <v>200</v>
      </c>
      <c r="F288" s="2" t="s">
        <v>200</v>
      </c>
      <c r="G288" s="2">
        <v>6.4420000000000002</v>
      </c>
      <c r="H288" s="2" t="s">
        <v>201</v>
      </c>
      <c r="I288" s="5">
        <v>100</v>
      </c>
      <c r="J288" s="6">
        <v>200</v>
      </c>
      <c r="K288" s="6">
        <v>600</v>
      </c>
      <c r="L288" s="6">
        <v>1200</v>
      </c>
      <c r="M288" s="5">
        <v>2</v>
      </c>
      <c r="N288" s="5"/>
      <c r="O288" s="5">
        <v>5</v>
      </c>
      <c r="P288" s="5" t="s">
        <v>763</v>
      </c>
      <c r="Q288" s="5">
        <v>1</v>
      </c>
    </row>
    <row r="289" spans="1:18" x14ac:dyDescent="0.25">
      <c r="A289" s="2" t="s">
        <v>623</v>
      </c>
      <c r="B289" s="2" t="s">
        <v>522</v>
      </c>
      <c r="C289" s="2" t="s">
        <v>729</v>
      </c>
      <c r="D289" s="2" t="s">
        <v>729</v>
      </c>
      <c r="E289" s="2" t="s">
        <v>156</v>
      </c>
      <c r="F289" s="2" t="s">
        <v>157</v>
      </c>
      <c r="G289" s="2">
        <v>15.153</v>
      </c>
      <c r="H289" s="2" t="s">
        <v>158</v>
      </c>
      <c r="I289" s="5">
        <v>200</v>
      </c>
      <c r="J289" s="6">
        <v>400</v>
      </c>
      <c r="K289" s="6">
        <v>1200</v>
      </c>
      <c r="L289" s="6">
        <v>2400</v>
      </c>
      <c r="M289" s="5">
        <v>2</v>
      </c>
      <c r="N289" s="5"/>
      <c r="O289" s="5">
        <v>5</v>
      </c>
      <c r="P289" s="5" t="s">
        <v>763</v>
      </c>
      <c r="Q289" s="5">
        <v>1</v>
      </c>
    </row>
    <row r="290" spans="1:18" x14ac:dyDescent="0.25">
      <c r="A290" s="2" t="s">
        <v>623</v>
      </c>
      <c r="B290" s="2" t="s">
        <v>522</v>
      </c>
      <c r="C290" s="2" t="s">
        <v>729</v>
      </c>
      <c r="D290" s="2" t="s">
        <v>729</v>
      </c>
      <c r="E290" s="2" t="s">
        <v>156</v>
      </c>
      <c r="F290" s="2" t="s">
        <v>157</v>
      </c>
      <c r="G290" s="2">
        <v>15.153</v>
      </c>
      <c r="H290" s="2" t="s">
        <v>158</v>
      </c>
      <c r="I290" s="5">
        <v>200</v>
      </c>
      <c r="J290" s="6">
        <v>400</v>
      </c>
      <c r="K290" s="6">
        <v>1200</v>
      </c>
      <c r="L290" s="6">
        <v>2400</v>
      </c>
      <c r="M290" s="5">
        <v>2</v>
      </c>
      <c r="N290" s="5"/>
      <c r="O290" s="5">
        <v>5</v>
      </c>
      <c r="P290" s="5" t="s">
        <v>763</v>
      </c>
      <c r="Q290" s="5">
        <v>1</v>
      </c>
    </row>
    <row r="291" spans="1:18" x14ac:dyDescent="0.25">
      <c r="A291" s="2" t="s">
        <v>624</v>
      </c>
      <c r="B291" s="2" t="s">
        <v>523</v>
      </c>
      <c r="C291" s="2" t="s">
        <v>729</v>
      </c>
      <c r="D291" s="2" t="s">
        <v>729</v>
      </c>
      <c r="E291" s="2" t="s">
        <v>184</v>
      </c>
      <c r="F291" s="2" t="s">
        <v>185</v>
      </c>
      <c r="G291" s="2">
        <v>3.58</v>
      </c>
      <c r="H291" s="2" t="s">
        <v>46</v>
      </c>
      <c r="I291" s="5">
        <v>6</v>
      </c>
      <c r="J291" s="6">
        <v>13</v>
      </c>
      <c r="K291" s="6">
        <v>40</v>
      </c>
      <c r="L291" s="6">
        <v>80</v>
      </c>
      <c r="M291" s="5">
        <v>2</v>
      </c>
      <c r="N291" s="5"/>
      <c r="O291" s="5">
        <v>6</v>
      </c>
      <c r="P291" s="5" t="s">
        <v>753</v>
      </c>
      <c r="Q291" s="5">
        <v>1</v>
      </c>
    </row>
    <row r="292" spans="1:18" x14ac:dyDescent="0.25">
      <c r="A292" s="2" t="s">
        <v>620</v>
      </c>
      <c r="B292" s="2" t="s">
        <v>524</v>
      </c>
      <c r="C292" s="2" t="s">
        <v>729</v>
      </c>
      <c r="D292" s="2" t="s">
        <v>729</v>
      </c>
      <c r="E292" s="2" t="s">
        <v>72</v>
      </c>
      <c r="F292" s="2" t="s">
        <v>73</v>
      </c>
      <c r="G292" s="2">
        <v>3.95</v>
      </c>
      <c r="H292" s="2" t="s">
        <v>46</v>
      </c>
      <c r="I292" s="5">
        <v>116</v>
      </c>
      <c r="J292" s="6">
        <v>233</v>
      </c>
      <c r="K292" s="6">
        <v>700</v>
      </c>
      <c r="L292" s="6">
        <v>1400</v>
      </c>
      <c r="M292" s="5">
        <v>2</v>
      </c>
      <c r="N292" s="5"/>
      <c r="O292" s="5">
        <v>10</v>
      </c>
      <c r="P292" s="5" t="s">
        <v>763</v>
      </c>
      <c r="Q292" s="5">
        <v>1</v>
      </c>
    </row>
    <row r="293" spans="1:18" x14ac:dyDescent="0.25">
      <c r="A293" s="2" t="s">
        <v>622</v>
      </c>
      <c r="B293" s="2" t="s">
        <v>525</v>
      </c>
      <c r="C293" s="2" t="s">
        <v>729</v>
      </c>
      <c r="D293" s="2" t="s">
        <v>729</v>
      </c>
      <c r="E293" s="2" t="s">
        <v>5</v>
      </c>
      <c r="F293" s="2" t="s">
        <v>6</v>
      </c>
      <c r="G293" s="2">
        <v>4.5999999999999996</v>
      </c>
      <c r="H293" s="2" t="s">
        <v>9</v>
      </c>
      <c r="I293" s="5">
        <v>50</v>
      </c>
      <c r="J293" s="6">
        <v>100</v>
      </c>
      <c r="K293" s="6">
        <v>300</v>
      </c>
      <c r="L293" s="6">
        <v>600</v>
      </c>
      <c r="M293" s="5"/>
      <c r="N293" s="5">
        <v>3</v>
      </c>
      <c r="O293" s="5">
        <v>100</v>
      </c>
      <c r="P293" s="5">
        <v>50</v>
      </c>
      <c r="Q293" s="5">
        <v>5</v>
      </c>
    </row>
    <row r="294" spans="1:18" x14ac:dyDescent="0.25">
      <c r="A294" s="2" t="s">
        <v>623</v>
      </c>
      <c r="B294" s="2" t="s">
        <v>526</v>
      </c>
      <c r="C294" s="2" t="s">
        <v>729</v>
      </c>
      <c r="D294" s="2" t="s">
        <v>729</v>
      </c>
      <c r="E294" s="2" t="s">
        <v>15</v>
      </c>
      <c r="F294" s="2" t="s">
        <v>16</v>
      </c>
      <c r="G294" s="2">
        <v>2.8919999999999999</v>
      </c>
      <c r="H294" s="2" t="s">
        <v>9</v>
      </c>
      <c r="I294" s="5">
        <v>33</v>
      </c>
      <c r="J294" s="6">
        <v>66</v>
      </c>
      <c r="K294" s="6">
        <v>200</v>
      </c>
      <c r="L294" s="6">
        <v>400</v>
      </c>
      <c r="M294" s="5">
        <v>2</v>
      </c>
      <c r="N294" s="5">
        <v>10</v>
      </c>
      <c r="O294" s="5">
        <v>30</v>
      </c>
      <c r="P294" s="7" t="s">
        <v>744</v>
      </c>
      <c r="Q294" s="5">
        <v>10</v>
      </c>
    </row>
    <row r="295" spans="1:18" x14ac:dyDescent="0.25">
      <c r="A295" s="2" t="s">
        <v>623</v>
      </c>
      <c r="B295" s="2" t="s">
        <v>527</v>
      </c>
      <c r="C295" s="2" t="s">
        <v>729</v>
      </c>
      <c r="D295" s="2" t="s">
        <v>729</v>
      </c>
      <c r="E295" s="2" t="s">
        <v>15</v>
      </c>
      <c r="F295" s="2" t="s">
        <v>16</v>
      </c>
      <c r="G295" s="2">
        <v>3.1469999999999998</v>
      </c>
      <c r="H295" s="2" t="s">
        <v>9</v>
      </c>
      <c r="I295" s="5">
        <v>25</v>
      </c>
      <c r="J295" s="6">
        <v>50</v>
      </c>
      <c r="K295" s="6">
        <v>150</v>
      </c>
      <c r="L295" s="6">
        <v>300</v>
      </c>
      <c r="M295" s="5">
        <v>2</v>
      </c>
      <c r="N295" s="5">
        <v>10</v>
      </c>
      <c r="O295" s="5">
        <v>30</v>
      </c>
      <c r="P295" s="7" t="s">
        <v>744</v>
      </c>
      <c r="Q295" s="5">
        <v>10</v>
      </c>
    </row>
    <row r="296" spans="1:18" x14ac:dyDescent="0.25">
      <c r="A296" s="2" t="s">
        <v>623</v>
      </c>
      <c r="B296" s="2" t="s">
        <v>528</v>
      </c>
      <c r="C296" s="2" t="s">
        <v>729</v>
      </c>
      <c r="D296" s="2" t="s">
        <v>729</v>
      </c>
      <c r="E296" s="2" t="s">
        <v>15</v>
      </c>
      <c r="F296" s="2" t="s">
        <v>16</v>
      </c>
      <c r="G296" s="2">
        <v>2.9</v>
      </c>
      <c r="H296" s="2" t="s">
        <v>9</v>
      </c>
      <c r="I296" s="5">
        <v>50</v>
      </c>
      <c r="J296" s="6">
        <v>100</v>
      </c>
      <c r="K296" s="6">
        <v>300</v>
      </c>
      <c r="L296" s="6">
        <v>600</v>
      </c>
      <c r="M296" s="5">
        <v>2</v>
      </c>
      <c r="N296" s="5"/>
      <c r="O296" s="5">
        <v>20</v>
      </c>
      <c r="P296" s="5" t="s">
        <v>752</v>
      </c>
      <c r="Q296" s="5">
        <v>1</v>
      </c>
    </row>
    <row r="297" spans="1:18" x14ac:dyDescent="0.25">
      <c r="A297" s="2" t="s">
        <v>628</v>
      </c>
      <c r="B297" s="2" t="s">
        <v>529</v>
      </c>
      <c r="C297" s="2" t="s">
        <v>729</v>
      </c>
      <c r="D297" s="2" t="s">
        <v>729</v>
      </c>
      <c r="E297" s="2" t="s">
        <v>126</v>
      </c>
      <c r="F297" s="2" t="s">
        <v>530</v>
      </c>
      <c r="G297" s="2">
        <v>1.54</v>
      </c>
      <c r="H297" s="2" t="s">
        <v>25</v>
      </c>
      <c r="I297" s="5">
        <v>6</v>
      </c>
      <c r="J297" s="6">
        <v>13</v>
      </c>
      <c r="K297" s="6">
        <v>40</v>
      </c>
      <c r="L297" s="6">
        <v>80</v>
      </c>
      <c r="M297" s="5">
        <v>3</v>
      </c>
      <c r="N297" s="5"/>
      <c r="O297" s="5">
        <v>6</v>
      </c>
      <c r="P297" s="5" t="s">
        <v>756</v>
      </c>
      <c r="Q297" s="5">
        <v>1</v>
      </c>
    </row>
    <row r="298" spans="1:18" x14ac:dyDescent="0.25">
      <c r="A298" s="2" t="s">
        <v>619</v>
      </c>
      <c r="B298" s="2" t="s">
        <v>531</v>
      </c>
      <c r="C298" s="2" t="s">
        <v>729</v>
      </c>
      <c r="D298" s="2" t="s">
        <v>729</v>
      </c>
      <c r="E298" s="2" t="s">
        <v>218</v>
      </c>
      <c r="F298" s="2" t="s">
        <v>102</v>
      </c>
      <c r="G298" s="2">
        <v>0.91</v>
      </c>
      <c r="H298" s="2" t="s">
        <v>51</v>
      </c>
      <c r="I298" s="5">
        <v>8</v>
      </c>
      <c r="J298" s="6">
        <v>16</v>
      </c>
      <c r="K298" s="6">
        <v>50</v>
      </c>
      <c r="L298" s="6">
        <v>100</v>
      </c>
      <c r="M298" s="5">
        <v>3</v>
      </c>
      <c r="N298" s="5"/>
      <c r="O298" s="5">
        <v>15</v>
      </c>
      <c r="P298" s="5" t="s">
        <v>752</v>
      </c>
      <c r="Q298" s="5">
        <v>1</v>
      </c>
    </row>
    <row r="299" spans="1:18" x14ac:dyDescent="0.25">
      <c r="A299" s="2" t="s">
        <v>625</v>
      </c>
      <c r="B299" s="2" t="s">
        <v>532</v>
      </c>
      <c r="C299" s="2" t="s">
        <v>729</v>
      </c>
      <c r="D299" s="2" t="s">
        <v>729</v>
      </c>
      <c r="E299" s="2" t="s">
        <v>86</v>
      </c>
      <c r="F299" s="2" t="s">
        <v>533</v>
      </c>
      <c r="G299" s="2">
        <v>2.8</v>
      </c>
      <c r="H299" s="2" t="s">
        <v>33</v>
      </c>
      <c r="I299" s="5">
        <v>25</v>
      </c>
      <c r="J299" s="6">
        <v>50</v>
      </c>
      <c r="K299" s="6">
        <v>150</v>
      </c>
      <c r="L299" s="6">
        <v>300</v>
      </c>
      <c r="M299" s="5">
        <v>1</v>
      </c>
      <c r="N299" s="5">
        <v>5</v>
      </c>
      <c r="O299" s="5">
        <v>30</v>
      </c>
      <c r="P299" s="7" t="s">
        <v>744</v>
      </c>
      <c r="Q299" s="5">
        <v>10</v>
      </c>
    </row>
    <row r="300" spans="1:18" x14ac:dyDescent="0.25">
      <c r="A300" s="2" t="s">
        <v>626</v>
      </c>
      <c r="B300" s="2" t="s">
        <v>534</v>
      </c>
      <c r="C300" s="2" t="s">
        <v>729</v>
      </c>
      <c r="D300" s="2" t="s">
        <v>729</v>
      </c>
      <c r="E300" s="2" t="s">
        <v>208</v>
      </c>
      <c r="F300" s="2" t="s">
        <v>209</v>
      </c>
      <c r="G300" s="2">
        <v>0.67</v>
      </c>
      <c r="H300" s="2" t="s">
        <v>33</v>
      </c>
      <c r="I300" s="5">
        <v>5</v>
      </c>
      <c r="J300" s="6">
        <v>11</v>
      </c>
      <c r="K300" s="6">
        <v>35</v>
      </c>
      <c r="L300" s="6">
        <v>70</v>
      </c>
      <c r="M300" s="5">
        <v>3</v>
      </c>
      <c r="N300" s="5"/>
      <c r="O300" s="5">
        <v>8</v>
      </c>
      <c r="P300" s="5" t="s">
        <v>752</v>
      </c>
      <c r="Q300" s="5">
        <v>1</v>
      </c>
      <c r="R300" s="2" t="s">
        <v>827</v>
      </c>
    </row>
    <row r="301" spans="1:18" x14ac:dyDescent="0.25">
      <c r="A301" s="2" t="s">
        <v>624</v>
      </c>
      <c r="B301" s="2" t="s">
        <v>535</v>
      </c>
      <c r="C301" s="2" t="s">
        <v>729</v>
      </c>
      <c r="D301" s="2" t="s">
        <v>729</v>
      </c>
      <c r="E301" s="2" t="s">
        <v>184</v>
      </c>
      <c r="F301" s="2" t="s">
        <v>185</v>
      </c>
      <c r="G301" s="2">
        <v>3.6</v>
      </c>
      <c r="H301" s="2" t="s">
        <v>46</v>
      </c>
      <c r="I301" s="5">
        <v>8</v>
      </c>
      <c r="J301" s="6">
        <v>16</v>
      </c>
      <c r="K301" s="6">
        <v>50</v>
      </c>
      <c r="L301" s="6">
        <v>100</v>
      </c>
      <c r="M301" s="5">
        <v>2</v>
      </c>
      <c r="N301" s="5"/>
      <c r="O301" s="5">
        <v>7</v>
      </c>
      <c r="P301" s="5" t="s">
        <v>752</v>
      </c>
      <c r="Q301" s="5">
        <v>1</v>
      </c>
    </row>
    <row r="302" spans="1:18" x14ac:dyDescent="0.25">
      <c r="A302" s="2" t="s">
        <v>623</v>
      </c>
      <c r="B302" s="2" t="s">
        <v>536</v>
      </c>
      <c r="C302" s="2" t="s">
        <v>729</v>
      </c>
      <c r="D302" s="2" t="s">
        <v>729</v>
      </c>
      <c r="E302" s="2" t="s">
        <v>15</v>
      </c>
      <c r="F302" s="2" t="s">
        <v>16</v>
      </c>
      <c r="G302" s="2">
        <v>3.4</v>
      </c>
      <c r="H302" s="2" t="s">
        <v>9</v>
      </c>
      <c r="I302" s="5">
        <v>50</v>
      </c>
      <c r="J302" s="6">
        <v>100</v>
      </c>
      <c r="K302" s="6">
        <v>300</v>
      </c>
      <c r="L302" s="6">
        <v>600</v>
      </c>
      <c r="M302" s="5">
        <v>2</v>
      </c>
      <c r="N302" s="5">
        <v>5</v>
      </c>
      <c r="O302" s="5">
        <v>30</v>
      </c>
      <c r="P302" s="7" t="s">
        <v>780</v>
      </c>
      <c r="Q302" s="5">
        <v>5</v>
      </c>
    </row>
    <row r="303" spans="1:18" x14ac:dyDescent="0.25">
      <c r="A303" s="2" t="s">
        <v>619</v>
      </c>
      <c r="B303" s="2" t="s">
        <v>537</v>
      </c>
      <c r="C303" s="2" t="s">
        <v>729</v>
      </c>
      <c r="D303" s="2" t="s">
        <v>729</v>
      </c>
      <c r="E303" s="2" t="s">
        <v>96</v>
      </c>
      <c r="F303" s="2" t="s">
        <v>97</v>
      </c>
      <c r="G303" s="2">
        <v>0.44</v>
      </c>
      <c r="H303" s="2" t="s">
        <v>33</v>
      </c>
      <c r="I303" s="5">
        <v>4</v>
      </c>
      <c r="J303" s="6">
        <v>8</v>
      </c>
      <c r="K303" s="6">
        <v>25</v>
      </c>
      <c r="L303" s="6">
        <v>50</v>
      </c>
      <c r="M303" s="5">
        <v>4</v>
      </c>
      <c r="N303" s="5"/>
      <c r="O303" s="5">
        <v>8</v>
      </c>
      <c r="P303" s="5" t="s">
        <v>752</v>
      </c>
      <c r="Q303" s="5">
        <v>1</v>
      </c>
    </row>
    <row r="304" spans="1:18" x14ac:dyDescent="0.25">
      <c r="A304" s="2" t="s">
        <v>619</v>
      </c>
      <c r="B304" s="2" t="s">
        <v>538</v>
      </c>
      <c r="C304" s="2" t="s">
        <v>729</v>
      </c>
      <c r="D304" s="2" t="s">
        <v>729</v>
      </c>
      <c r="E304" s="2" t="s">
        <v>218</v>
      </c>
      <c r="F304" s="2" t="s">
        <v>102</v>
      </c>
      <c r="G304" s="2">
        <v>0.46</v>
      </c>
      <c r="H304" s="2" t="s">
        <v>51</v>
      </c>
      <c r="I304" s="5">
        <v>5</v>
      </c>
      <c r="J304" s="6">
        <v>11</v>
      </c>
      <c r="K304" s="6">
        <v>35</v>
      </c>
      <c r="L304" s="6">
        <v>70</v>
      </c>
      <c r="M304" s="5">
        <v>6</v>
      </c>
      <c r="N304" s="5"/>
      <c r="O304" s="5">
        <v>7</v>
      </c>
      <c r="P304" s="5" t="s">
        <v>752</v>
      </c>
      <c r="Q304" s="5">
        <v>1</v>
      </c>
    </row>
    <row r="305" spans="1:17" x14ac:dyDescent="0.25">
      <c r="A305" s="2" t="s">
        <v>619</v>
      </c>
      <c r="B305" s="2" t="s">
        <v>539</v>
      </c>
      <c r="C305" s="2" t="s">
        <v>729</v>
      </c>
      <c r="D305" s="2" t="s">
        <v>729</v>
      </c>
      <c r="E305" s="2" t="s">
        <v>130</v>
      </c>
      <c r="F305" s="2" t="s">
        <v>245</v>
      </c>
      <c r="G305" s="2">
        <v>0.79</v>
      </c>
      <c r="H305" s="2" t="s">
        <v>51</v>
      </c>
      <c r="I305" s="5">
        <v>7</v>
      </c>
      <c r="J305" s="6">
        <v>15</v>
      </c>
      <c r="K305" s="6">
        <v>45</v>
      </c>
      <c r="L305" s="6">
        <v>90</v>
      </c>
      <c r="M305" s="5">
        <v>3</v>
      </c>
      <c r="N305" s="5"/>
      <c r="O305" s="5">
        <v>7</v>
      </c>
      <c r="P305" s="5" t="s">
        <v>752</v>
      </c>
      <c r="Q305" s="5">
        <v>1</v>
      </c>
    </row>
    <row r="306" spans="1:17" x14ac:dyDescent="0.25">
      <c r="A306" s="2" t="s">
        <v>624</v>
      </c>
      <c r="B306" s="2" t="s">
        <v>540</v>
      </c>
      <c r="C306" s="2" t="s">
        <v>729</v>
      </c>
      <c r="D306" s="2" t="s">
        <v>729</v>
      </c>
      <c r="E306" s="2" t="s">
        <v>184</v>
      </c>
      <c r="F306" s="2" t="s">
        <v>185</v>
      </c>
      <c r="G306" s="2">
        <v>3.4</v>
      </c>
      <c r="H306" s="2" t="s">
        <v>46</v>
      </c>
      <c r="I306" s="5">
        <v>6</v>
      </c>
      <c r="J306" s="6">
        <v>13</v>
      </c>
      <c r="K306" s="6">
        <v>40</v>
      </c>
      <c r="L306" s="6">
        <v>80</v>
      </c>
      <c r="M306" s="5">
        <v>2</v>
      </c>
      <c r="N306" s="5"/>
      <c r="O306" s="5">
        <v>2</v>
      </c>
      <c r="P306" s="5" t="s">
        <v>752</v>
      </c>
      <c r="Q306" s="5">
        <v>1</v>
      </c>
    </row>
    <row r="307" spans="1:17" x14ac:dyDescent="0.25">
      <c r="A307" s="2" t="s">
        <v>624</v>
      </c>
      <c r="B307" s="2" t="s">
        <v>541</v>
      </c>
      <c r="C307" s="2" t="s">
        <v>729</v>
      </c>
      <c r="D307" s="2" t="s">
        <v>729</v>
      </c>
      <c r="E307" s="2" t="s">
        <v>184</v>
      </c>
      <c r="F307" s="2" t="s">
        <v>185</v>
      </c>
      <c r="G307" s="2">
        <v>3.4</v>
      </c>
      <c r="H307" s="2" t="s">
        <v>46</v>
      </c>
      <c r="I307" s="5">
        <v>6</v>
      </c>
      <c r="J307" s="6">
        <v>13</v>
      </c>
      <c r="K307" s="6">
        <v>40</v>
      </c>
      <c r="L307" s="6">
        <v>80</v>
      </c>
      <c r="M307" s="5">
        <v>2</v>
      </c>
      <c r="N307" s="5"/>
      <c r="O307" s="5">
        <v>2</v>
      </c>
      <c r="P307" s="5" t="s">
        <v>752</v>
      </c>
      <c r="Q307" s="5">
        <v>1</v>
      </c>
    </row>
    <row r="308" spans="1:17" x14ac:dyDescent="0.25">
      <c r="A308" s="2" t="s">
        <v>624</v>
      </c>
      <c r="B308" s="2" t="s">
        <v>542</v>
      </c>
      <c r="C308" s="2" t="s">
        <v>729</v>
      </c>
      <c r="D308" s="2" t="s">
        <v>729</v>
      </c>
      <c r="E308" s="2" t="s">
        <v>184</v>
      </c>
      <c r="F308" s="2" t="s">
        <v>185</v>
      </c>
      <c r="G308" s="2">
        <v>3.4</v>
      </c>
      <c r="H308" s="2" t="s">
        <v>46</v>
      </c>
      <c r="I308" s="5">
        <v>6</v>
      </c>
      <c r="J308" s="6">
        <v>13</v>
      </c>
      <c r="K308" s="6">
        <v>40</v>
      </c>
      <c r="L308" s="6">
        <v>80</v>
      </c>
      <c r="M308" s="5">
        <v>2</v>
      </c>
      <c r="N308" s="5"/>
      <c r="O308" s="5">
        <v>2</v>
      </c>
      <c r="P308" s="5" t="s">
        <v>752</v>
      </c>
      <c r="Q308" s="5">
        <v>1</v>
      </c>
    </row>
    <row r="309" spans="1:17" x14ac:dyDescent="0.25">
      <c r="A309" s="2" t="s">
        <v>623</v>
      </c>
      <c r="B309" s="2" t="s">
        <v>543</v>
      </c>
      <c r="C309" s="2" t="s">
        <v>729</v>
      </c>
      <c r="D309" s="2" t="s">
        <v>729</v>
      </c>
      <c r="E309" s="2" t="s">
        <v>15</v>
      </c>
      <c r="F309" s="2" t="s">
        <v>16</v>
      </c>
      <c r="G309" s="2">
        <v>3.5950000000000002</v>
      </c>
      <c r="H309" s="2" t="s">
        <v>9</v>
      </c>
      <c r="I309" s="5">
        <v>50</v>
      </c>
      <c r="J309" s="6">
        <v>100</v>
      </c>
      <c r="K309" s="6">
        <v>300</v>
      </c>
      <c r="L309" s="6">
        <v>600</v>
      </c>
      <c r="M309" s="5">
        <v>2</v>
      </c>
      <c r="N309" s="5">
        <v>5</v>
      </c>
      <c r="O309" s="5">
        <v>30</v>
      </c>
      <c r="P309" s="7" t="s">
        <v>780</v>
      </c>
      <c r="Q309" s="5">
        <v>5</v>
      </c>
    </row>
    <row r="310" spans="1:17" x14ac:dyDescent="0.25">
      <c r="A310" s="2" t="s">
        <v>623</v>
      </c>
      <c r="B310" s="2" t="s">
        <v>544</v>
      </c>
      <c r="C310" s="2" t="s">
        <v>729</v>
      </c>
      <c r="D310" s="2" t="s">
        <v>729</v>
      </c>
      <c r="E310" s="2" t="s">
        <v>15</v>
      </c>
      <c r="F310" s="2" t="s">
        <v>16</v>
      </c>
      <c r="G310" s="2">
        <v>3.4449999999999998</v>
      </c>
      <c r="H310" s="2" t="s">
        <v>9</v>
      </c>
      <c r="I310" s="5">
        <v>50</v>
      </c>
      <c r="J310" s="6">
        <v>100</v>
      </c>
      <c r="K310" s="6">
        <v>300</v>
      </c>
      <c r="L310" s="6">
        <v>600</v>
      </c>
      <c r="M310" s="5">
        <v>2</v>
      </c>
      <c r="N310" s="5">
        <v>5</v>
      </c>
      <c r="O310" s="5">
        <v>25</v>
      </c>
      <c r="P310" s="7" t="s">
        <v>780</v>
      </c>
      <c r="Q310" s="5">
        <v>5</v>
      </c>
    </row>
    <row r="311" spans="1:17" x14ac:dyDescent="0.25">
      <c r="A311" s="2" t="s">
        <v>623</v>
      </c>
      <c r="B311" s="2" t="s">
        <v>545</v>
      </c>
      <c r="C311" s="2" t="s">
        <v>729</v>
      </c>
      <c r="D311" s="2" t="s">
        <v>729</v>
      </c>
      <c r="E311" s="2" t="s">
        <v>15</v>
      </c>
      <c r="F311" s="2" t="s">
        <v>16</v>
      </c>
      <c r="G311" s="2">
        <v>3.99</v>
      </c>
      <c r="H311" s="2" t="s">
        <v>9</v>
      </c>
      <c r="I311" s="5">
        <v>50</v>
      </c>
      <c r="J311" s="6">
        <v>100</v>
      </c>
      <c r="K311" s="6">
        <v>300</v>
      </c>
      <c r="L311" s="6">
        <v>600</v>
      </c>
      <c r="M311" s="5">
        <v>2</v>
      </c>
      <c r="N311" s="5">
        <v>3</v>
      </c>
      <c r="O311" s="5">
        <v>30</v>
      </c>
      <c r="P311" s="10" t="s">
        <v>780</v>
      </c>
      <c r="Q311" s="5">
        <v>3</v>
      </c>
    </row>
    <row r="312" spans="1:17" x14ac:dyDescent="0.25">
      <c r="A312" s="2" t="s">
        <v>623</v>
      </c>
      <c r="B312" s="2" t="s">
        <v>546</v>
      </c>
      <c r="C312" s="2" t="s">
        <v>729</v>
      </c>
      <c r="D312" s="2" t="s">
        <v>729</v>
      </c>
      <c r="E312" s="2" t="s">
        <v>72</v>
      </c>
      <c r="F312" s="2" t="s">
        <v>73</v>
      </c>
      <c r="G312" s="2">
        <v>3.49</v>
      </c>
      <c r="H312" s="2" t="s">
        <v>46</v>
      </c>
      <c r="I312" s="5">
        <v>100</v>
      </c>
      <c r="J312" s="6">
        <v>200</v>
      </c>
      <c r="K312" s="6">
        <v>600</v>
      </c>
      <c r="L312" s="6">
        <v>1200</v>
      </c>
      <c r="M312" s="5">
        <v>2</v>
      </c>
      <c r="N312" s="5">
        <v>3</v>
      </c>
      <c r="O312" s="5">
        <v>20</v>
      </c>
      <c r="P312" s="7" t="s">
        <v>770</v>
      </c>
      <c r="Q312" s="5">
        <v>3</v>
      </c>
    </row>
    <row r="313" spans="1:17" x14ac:dyDescent="0.25">
      <c r="A313" s="2" t="s">
        <v>623</v>
      </c>
      <c r="B313" s="2" t="s">
        <v>547</v>
      </c>
      <c r="C313" s="2" t="s">
        <v>729</v>
      </c>
      <c r="D313" s="2" t="s">
        <v>729</v>
      </c>
      <c r="E313" s="2" t="s">
        <v>72</v>
      </c>
      <c r="F313" s="2" t="s">
        <v>73</v>
      </c>
      <c r="G313" s="2">
        <v>3.58</v>
      </c>
      <c r="H313" s="2" t="s">
        <v>46</v>
      </c>
      <c r="I313" s="5">
        <v>100</v>
      </c>
      <c r="J313" s="6">
        <v>200</v>
      </c>
      <c r="K313" s="6">
        <v>600</v>
      </c>
      <c r="L313" s="6">
        <v>1200</v>
      </c>
      <c r="M313" s="5">
        <v>2</v>
      </c>
      <c r="N313" s="5">
        <v>3</v>
      </c>
      <c r="O313" s="5">
        <v>20</v>
      </c>
      <c r="P313" s="7" t="s">
        <v>770</v>
      </c>
      <c r="Q313" s="5">
        <v>3</v>
      </c>
    </row>
    <row r="314" spans="1:17" x14ac:dyDescent="0.25">
      <c r="A314" s="2" t="s">
        <v>620</v>
      </c>
      <c r="B314" s="2" t="s">
        <v>548</v>
      </c>
      <c r="C314" s="2" t="s">
        <v>729</v>
      </c>
      <c r="D314" s="2" t="s">
        <v>729</v>
      </c>
      <c r="E314" s="2" t="s">
        <v>72</v>
      </c>
      <c r="F314" s="2" t="s">
        <v>73</v>
      </c>
      <c r="G314" s="2">
        <v>3.72</v>
      </c>
      <c r="H314" s="2" t="s">
        <v>46</v>
      </c>
      <c r="I314" s="5">
        <v>100</v>
      </c>
      <c r="J314" s="6">
        <v>200</v>
      </c>
      <c r="K314" s="6">
        <v>600</v>
      </c>
      <c r="L314" s="6">
        <v>1200</v>
      </c>
      <c r="M314" s="5">
        <v>2</v>
      </c>
      <c r="N314" s="5">
        <v>3</v>
      </c>
      <c r="O314" s="5">
        <v>20</v>
      </c>
      <c r="P314" s="7" t="s">
        <v>770</v>
      </c>
      <c r="Q314" s="5">
        <v>3</v>
      </c>
    </row>
    <row r="315" spans="1:17" x14ac:dyDescent="0.25">
      <c r="A315" s="2" t="s">
        <v>623</v>
      </c>
      <c r="B315" s="2" t="s">
        <v>549</v>
      </c>
      <c r="C315" s="2" t="s">
        <v>729</v>
      </c>
      <c r="D315" s="2" t="s">
        <v>729</v>
      </c>
      <c r="E315" s="2" t="s">
        <v>15</v>
      </c>
      <c r="F315" s="2" t="s">
        <v>16</v>
      </c>
      <c r="G315" s="2">
        <v>3.04</v>
      </c>
      <c r="H315" s="2" t="s">
        <v>9</v>
      </c>
      <c r="I315" s="5">
        <v>50</v>
      </c>
      <c r="J315" s="6">
        <v>100</v>
      </c>
      <c r="K315" s="6">
        <v>300</v>
      </c>
      <c r="L315" s="6">
        <v>600</v>
      </c>
      <c r="M315" s="5">
        <v>2</v>
      </c>
      <c r="N315" s="5">
        <v>3</v>
      </c>
      <c r="O315" s="5">
        <v>30</v>
      </c>
      <c r="P315" s="7" t="s">
        <v>770</v>
      </c>
      <c r="Q315" s="5">
        <v>3</v>
      </c>
    </row>
    <row r="316" spans="1:17" x14ac:dyDescent="0.25">
      <c r="A316" s="2" t="s">
        <v>623</v>
      </c>
      <c r="B316" s="2" t="s">
        <v>550</v>
      </c>
      <c r="C316" s="2" t="s">
        <v>729</v>
      </c>
      <c r="D316" s="2" t="s">
        <v>729</v>
      </c>
      <c r="E316" s="2" t="s">
        <v>15</v>
      </c>
      <c r="F316" s="2" t="s">
        <v>16</v>
      </c>
      <c r="G316" s="2">
        <v>3.29</v>
      </c>
      <c r="H316" s="2" t="s">
        <v>9</v>
      </c>
      <c r="I316" s="5">
        <v>50</v>
      </c>
      <c r="J316" s="6">
        <v>100</v>
      </c>
      <c r="K316" s="6">
        <v>300</v>
      </c>
      <c r="L316" s="6">
        <v>600</v>
      </c>
      <c r="M316" s="5">
        <v>2</v>
      </c>
      <c r="N316" s="5">
        <v>3</v>
      </c>
      <c r="O316" s="5">
        <v>30</v>
      </c>
      <c r="P316" s="7" t="s">
        <v>770</v>
      </c>
      <c r="Q316" s="5">
        <v>3</v>
      </c>
    </row>
    <row r="317" spans="1:17" x14ac:dyDescent="0.25">
      <c r="A317" s="2" t="s">
        <v>623</v>
      </c>
      <c r="B317" s="2" t="s">
        <v>551</v>
      </c>
      <c r="C317" s="2" t="s">
        <v>729</v>
      </c>
      <c r="D317" s="2" t="s">
        <v>729</v>
      </c>
      <c r="E317" s="2" t="s">
        <v>15</v>
      </c>
      <c r="F317" s="2" t="s">
        <v>16</v>
      </c>
      <c r="G317" s="2">
        <v>3.79</v>
      </c>
      <c r="H317" s="2" t="s">
        <v>9</v>
      </c>
      <c r="I317" s="5">
        <v>50</v>
      </c>
      <c r="J317" s="6">
        <v>100</v>
      </c>
      <c r="K317" s="6">
        <v>300</v>
      </c>
      <c r="L317" s="6">
        <v>600</v>
      </c>
      <c r="M317" s="5">
        <v>2</v>
      </c>
      <c r="N317" s="5">
        <v>3</v>
      </c>
      <c r="O317" s="5">
        <v>30</v>
      </c>
      <c r="P317" s="7" t="s">
        <v>770</v>
      </c>
      <c r="Q317" s="5">
        <v>3</v>
      </c>
    </row>
    <row r="318" spans="1:17" x14ac:dyDescent="0.25">
      <c r="A318" s="2" t="s">
        <v>623</v>
      </c>
      <c r="B318" s="2" t="s">
        <v>552</v>
      </c>
      <c r="C318" s="2" t="s">
        <v>729</v>
      </c>
      <c r="D318" s="2" t="s">
        <v>729</v>
      </c>
      <c r="E318" s="2" t="s">
        <v>15</v>
      </c>
      <c r="F318" s="2" t="s">
        <v>16</v>
      </c>
      <c r="G318" s="2">
        <v>3.54</v>
      </c>
      <c r="H318" s="2" t="s">
        <v>9</v>
      </c>
      <c r="I318" s="5">
        <v>50</v>
      </c>
      <c r="J318" s="6">
        <v>100</v>
      </c>
      <c r="K318" s="6">
        <v>300</v>
      </c>
      <c r="L318" s="6">
        <v>600</v>
      </c>
      <c r="M318" s="5">
        <v>2</v>
      </c>
      <c r="N318" s="5">
        <v>10</v>
      </c>
      <c r="O318" s="5">
        <v>30</v>
      </c>
      <c r="P318" s="7" t="s">
        <v>767</v>
      </c>
      <c r="Q318" s="5">
        <v>10</v>
      </c>
    </row>
    <row r="319" spans="1:17" x14ac:dyDescent="0.25">
      <c r="A319" s="2" t="s">
        <v>623</v>
      </c>
      <c r="B319" s="2" t="s">
        <v>553</v>
      </c>
      <c r="C319" s="2" t="s">
        <v>729</v>
      </c>
      <c r="D319" s="2" t="s">
        <v>729</v>
      </c>
      <c r="E319" s="2" t="s">
        <v>72</v>
      </c>
      <c r="F319" s="2" t="s">
        <v>73</v>
      </c>
      <c r="G319" s="2">
        <v>3.55</v>
      </c>
      <c r="H319" s="2" t="s">
        <v>46</v>
      </c>
      <c r="I319" s="5">
        <v>100</v>
      </c>
      <c r="J319" s="6">
        <v>200</v>
      </c>
      <c r="K319" s="6">
        <v>600</v>
      </c>
      <c r="L319" s="6">
        <v>1200</v>
      </c>
      <c r="M319" s="5">
        <v>2</v>
      </c>
      <c r="N319" s="5">
        <v>10</v>
      </c>
      <c r="O319" s="5">
        <v>20</v>
      </c>
      <c r="P319" s="7" t="s">
        <v>776</v>
      </c>
      <c r="Q319" s="5">
        <v>10</v>
      </c>
    </row>
    <row r="320" spans="1:17" x14ac:dyDescent="0.25">
      <c r="A320" s="2" t="s">
        <v>623</v>
      </c>
      <c r="B320" s="2" t="s">
        <v>554</v>
      </c>
      <c r="C320" s="2" t="s">
        <v>729</v>
      </c>
      <c r="D320" s="2" t="s">
        <v>729</v>
      </c>
      <c r="E320" s="2" t="s">
        <v>15</v>
      </c>
      <c r="F320" s="2" t="s">
        <v>16</v>
      </c>
      <c r="G320" s="2">
        <v>3</v>
      </c>
      <c r="H320" s="2" t="s">
        <v>9</v>
      </c>
      <c r="I320" s="5">
        <v>50</v>
      </c>
      <c r="J320" s="6">
        <v>100</v>
      </c>
      <c r="K320" s="6">
        <v>300</v>
      </c>
      <c r="L320" s="6">
        <v>600</v>
      </c>
      <c r="M320" s="5">
        <v>2</v>
      </c>
      <c r="N320" s="5">
        <v>10</v>
      </c>
      <c r="O320" s="5">
        <v>30</v>
      </c>
      <c r="P320" s="7" t="s">
        <v>776</v>
      </c>
      <c r="Q320" s="5">
        <v>10</v>
      </c>
    </row>
    <row r="321" spans="1:17" x14ac:dyDescent="0.25">
      <c r="A321" s="2" t="s">
        <v>620</v>
      </c>
      <c r="B321" s="2" t="s">
        <v>555</v>
      </c>
      <c r="C321" s="2" t="s">
        <v>729</v>
      </c>
      <c r="D321" s="2" t="s">
        <v>729</v>
      </c>
      <c r="E321" s="2" t="s">
        <v>65</v>
      </c>
      <c r="F321" s="2" t="s">
        <v>66</v>
      </c>
      <c r="G321" s="2">
        <v>6.6219999999999999</v>
      </c>
      <c r="H321" s="2" t="s">
        <v>14</v>
      </c>
      <c r="I321" s="5">
        <v>66</v>
      </c>
      <c r="J321" s="6">
        <v>133</v>
      </c>
      <c r="K321" s="6">
        <v>400</v>
      </c>
      <c r="L321" s="6">
        <v>800</v>
      </c>
      <c r="M321" s="5">
        <v>1</v>
      </c>
      <c r="N321" s="5"/>
      <c r="O321" s="5">
        <v>4</v>
      </c>
      <c r="P321" s="5" t="s">
        <v>763</v>
      </c>
      <c r="Q321" s="5">
        <v>1</v>
      </c>
    </row>
    <row r="322" spans="1:17" x14ac:dyDescent="0.25">
      <c r="A322" s="2" t="s">
        <v>620</v>
      </c>
      <c r="B322" s="2" t="s">
        <v>556</v>
      </c>
      <c r="C322" s="2" t="s">
        <v>729</v>
      </c>
      <c r="D322" s="2" t="s">
        <v>729</v>
      </c>
      <c r="E322" s="2" t="s">
        <v>72</v>
      </c>
      <c r="F322" s="2" t="s">
        <v>73</v>
      </c>
      <c r="G322" s="2">
        <v>6.5220000000000002</v>
      </c>
      <c r="H322" s="2" t="s">
        <v>46</v>
      </c>
      <c r="I322" s="5">
        <v>100</v>
      </c>
      <c r="J322" s="6">
        <v>200</v>
      </c>
      <c r="K322" s="6">
        <v>600</v>
      </c>
      <c r="L322" s="6">
        <v>1200</v>
      </c>
      <c r="M322" s="5">
        <v>2</v>
      </c>
      <c r="N322" s="5"/>
      <c r="O322" s="5">
        <v>4</v>
      </c>
      <c r="P322" s="5" t="s">
        <v>763</v>
      </c>
      <c r="Q322" s="5">
        <v>1</v>
      </c>
    </row>
    <row r="323" spans="1:17" x14ac:dyDescent="0.25">
      <c r="A323" s="2" t="s">
        <v>620</v>
      </c>
      <c r="B323" s="2" t="s">
        <v>557</v>
      </c>
      <c r="C323" s="2" t="s">
        <v>729</v>
      </c>
      <c r="D323" s="2" t="s">
        <v>729</v>
      </c>
      <c r="E323" s="2" t="s">
        <v>40</v>
      </c>
      <c r="F323" s="2" t="s">
        <v>558</v>
      </c>
      <c r="G323" s="2">
        <v>6.5220000000000002</v>
      </c>
      <c r="H323" s="2" t="s">
        <v>44</v>
      </c>
      <c r="I323" s="5">
        <v>150</v>
      </c>
      <c r="J323" s="6">
        <v>300</v>
      </c>
      <c r="K323" s="6">
        <v>900</v>
      </c>
      <c r="L323" s="6">
        <v>1800</v>
      </c>
      <c r="M323" s="5">
        <v>2</v>
      </c>
      <c r="N323" s="5"/>
      <c r="O323" s="5">
        <v>4</v>
      </c>
      <c r="P323" s="5" t="s">
        <v>763</v>
      </c>
      <c r="Q323" s="5">
        <v>1</v>
      </c>
    </row>
    <row r="324" spans="1:17" x14ac:dyDescent="0.25">
      <c r="A324" s="2" t="s">
        <v>623</v>
      </c>
      <c r="B324" s="2" t="s">
        <v>559</v>
      </c>
      <c r="C324" s="2" t="s">
        <v>729</v>
      </c>
      <c r="D324" s="2" t="s">
        <v>729</v>
      </c>
      <c r="E324" s="2" t="s">
        <v>40</v>
      </c>
      <c r="F324" s="2" t="s">
        <v>558</v>
      </c>
      <c r="G324" s="2">
        <v>5.95</v>
      </c>
      <c r="H324" s="2" t="s">
        <v>44</v>
      </c>
      <c r="I324" s="5">
        <v>100</v>
      </c>
      <c r="J324" s="6">
        <v>200</v>
      </c>
      <c r="K324" s="6">
        <v>600</v>
      </c>
      <c r="L324" s="6">
        <v>1200</v>
      </c>
      <c r="M324" s="5">
        <v>2</v>
      </c>
      <c r="N324" s="5">
        <v>3</v>
      </c>
      <c r="O324" s="5">
        <v>24</v>
      </c>
      <c r="P324" s="7" t="s">
        <v>776</v>
      </c>
      <c r="Q324" s="5">
        <v>3</v>
      </c>
    </row>
    <row r="325" spans="1:17" x14ac:dyDescent="0.25">
      <c r="A325" s="2" t="s">
        <v>627</v>
      </c>
      <c r="B325" s="2" t="s">
        <v>560</v>
      </c>
      <c r="C325" s="2" t="s">
        <v>729</v>
      </c>
      <c r="D325" s="2" t="s">
        <v>729</v>
      </c>
      <c r="E325" s="2" t="s">
        <v>57</v>
      </c>
      <c r="F325" s="2" t="s">
        <v>58</v>
      </c>
      <c r="G325" s="2">
        <v>3.85</v>
      </c>
      <c r="H325" s="2" t="s">
        <v>20</v>
      </c>
      <c r="I325" s="5">
        <v>50</v>
      </c>
      <c r="J325" s="6">
        <v>100</v>
      </c>
      <c r="K325" s="6">
        <v>300</v>
      </c>
      <c r="L325" s="6">
        <v>600</v>
      </c>
      <c r="M325" s="5">
        <v>2</v>
      </c>
      <c r="N325" s="5"/>
      <c r="O325" s="5">
        <v>5</v>
      </c>
      <c r="P325" s="5" t="s">
        <v>752</v>
      </c>
      <c r="Q325" s="5">
        <v>1</v>
      </c>
    </row>
    <row r="326" spans="1:17" x14ac:dyDescent="0.25">
      <c r="A326" s="2" t="s">
        <v>619</v>
      </c>
      <c r="B326" s="2" t="s">
        <v>561</v>
      </c>
      <c r="C326" s="2" t="s">
        <v>729</v>
      </c>
      <c r="D326" s="2" t="s">
        <v>729</v>
      </c>
      <c r="E326" s="2" t="s">
        <v>132</v>
      </c>
      <c r="F326" s="2" t="s">
        <v>127</v>
      </c>
      <c r="H326" s="2" t="s">
        <v>51</v>
      </c>
      <c r="I326" s="5">
        <v>7</v>
      </c>
      <c r="J326" s="6">
        <v>15</v>
      </c>
      <c r="K326" s="6">
        <v>45</v>
      </c>
      <c r="L326" s="6">
        <v>90</v>
      </c>
      <c r="M326" s="5">
        <v>10</v>
      </c>
      <c r="N326" s="5"/>
      <c r="O326" s="5">
        <v>10</v>
      </c>
      <c r="P326" s="5" t="s">
        <v>752</v>
      </c>
      <c r="Q326" s="5">
        <v>1</v>
      </c>
    </row>
    <row r="327" spans="1:17" x14ac:dyDescent="0.25">
      <c r="A327" s="2" t="s">
        <v>619</v>
      </c>
      <c r="B327" s="2" t="s">
        <v>562</v>
      </c>
      <c r="C327" s="2" t="s">
        <v>729</v>
      </c>
      <c r="D327" s="2" t="s">
        <v>729</v>
      </c>
      <c r="E327" s="2" t="s">
        <v>218</v>
      </c>
      <c r="F327" s="2" t="s">
        <v>102</v>
      </c>
      <c r="H327" s="2" t="s">
        <v>51</v>
      </c>
      <c r="I327" s="5">
        <v>5</v>
      </c>
      <c r="J327" s="6">
        <v>10</v>
      </c>
      <c r="K327" s="6">
        <v>30</v>
      </c>
      <c r="L327" s="6">
        <v>60</v>
      </c>
      <c r="M327" s="5">
        <v>15</v>
      </c>
      <c r="N327" s="5"/>
      <c r="O327" s="5">
        <v>17</v>
      </c>
      <c r="P327" s="5" t="s">
        <v>752</v>
      </c>
      <c r="Q327" s="5">
        <v>1</v>
      </c>
    </row>
    <row r="328" spans="1:17" x14ac:dyDescent="0.25">
      <c r="A328" s="2" t="s">
        <v>628</v>
      </c>
      <c r="B328" s="2" t="s">
        <v>563</v>
      </c>
      <c r="C328" s="2" t="s">
        <v>729</v>
      </c>
      <c r="D328" s="2" t="s">
        <v>729</v>
      </c>
      <c r="E328" s="2" t="s">
        <v>126</v>
      </c>
      <c r="F328" s="2" t="s">
        <v>530</v>
      </c>
      <c r="H328" s="2" t="s">
        <v>25</v>
      </c>
      <c r="I328" s="5">
        <v>5</v>
      </c>
      <c r="J328" s="6">
        <v>11</v>
      </c>
      <c r="K328" s="6">
        <v>35</v>
      </c>
      <c r="L328" s="6">
        <v>70</v>
      </c>
      <c r="M328" s="5">
        <v>25</v>
      </c>
      <c r="N328" s="5"/>
      <c r="O328" s="5">
        <v>6</v>
      </c>
      <c r="P328" s="5" t="s">
        <v>756</v>
      </c>
      <c r="Q328" s="5">
        <v>1</v>
      </c>
    </row>
    <row r="329" spans="1:17" x14ac:dyDescent="0.25">
      <c r="A329" s="2" t="s">
        <v>628</v>
      </c>
      <c r="B329" s="2" t="s">
        <v>564</v>
      </c>
      <c r="C329" s="2" t="s">
        <v>729</v>
      </c>
      <c r="D329" s="2" t="s">
        <v>729</v>
      </c>
      <c r="E329" s="2" t="s">
        <v>118</v>
      </c>
      <c r="F329" s="2" t="s">
        <v>119</v>
      </c>
      <c r="H329" s="2" t="s">
        <v>51</v>
      </c>
      <c r="I329" s="5">
        <v>6</v>
      </c>
      <c r="J329" s="6">
        <v>13</v>
      </c>
      <c r="K329" s="6">
        <v>40</v>
      </c>
      <c r="L329" s="6">
        <v>80</v>
      </c>
      <c r="M329" s="5">
        <v>29</v>
      </c>
      <c r="N329" s="5"/>
      <c r="O329" s="5">
        <v>6</v>
      </c>
      <c r="P329" s="5" t="s">
        <v>756</v>
      </c>
      <c r="Q329" s="5">
        <v>1</v>
      </c>
    </row>
    <row r="330" spans="1:17" x14ac:dyDescent="0.25">
      <c r="A330" s="2" t="s">
        <v>628</v>
      </c>
      <c r="B330" s="2" t="s">
        <v>565</v>
      </c>
      <c r="C330" s="2" t="s">
        <v>729</v>
      </c>
      <c r="D330" s="2" t="s">
        <v>729</v>
      </c>
      <c r="E330" s="2" t="s">
        <v>285</v>
      </c>
      <c r="F330" s="2" t="s">
        <v>107</v>
      </c>
      <c r="H330" s="2" t="s">
        <v>33</v>
      </c>
      <c r="I330" s="5">
        <v>2</v>
      </c>
      <c r="J330" s="6">
        <v>4</v>
      </c>
      <c r="K330" s="6">
        <v>12</v>
      </c>
      <c r="L330" s="6">
        <v>24</v>
      </c>
      <c r="M330" s="5">
        <v>20</v>
      </c>
      <c r="N330" s="5"/>
      <c r="O330" s="5">
        <v>5</v>
      </c>
      <c r="P330" s="5" t="s">
        <v>756</v>
      </c>
      <c r="Q330" s="5">
        <v>1</v>
      </c>
    </row>
    <row r="331" spans="1:17" x14ac:dyDescent="0.25">
      <c r="A331" s="2" t="s">
        <v>619</v>
      </c>
      <c r="B331" s="2" t="s">
        <v>566</v>
      </c>
      <c r="C331" s="2" t="s">
        <v>729</v>
      </c>
      <c r="D331" s="2" t="s">
        <v>729</v>
      </c>
      <c r="E331" s="2" t="s">
        <v>218</v>
      </c>
      <c r="F331" s="2" t="s">
        <v>102</v>
      </c>
      <c r="H331" s="2" t="s">
        <v>51</v>
      </c>
      <c r="I331" s="5">
        <v>5</v>
      </c>
      <c r="J331" s="6">
        <v>11</v>
      </c>
      <c r="K331" s="6">
        <v>35</v>
      </c>
      <c r="L331" s="6">
        <v>70</v>
      </c>
      <c r="M331" s="5">
        <v>31</v>
      </c>
      <c r="N331" s="5"/>
      <c r="O331" s="5">
        <v>8</v>
      </c>
      <c r="P331" s="5" t="s">
        <v>752</v>
      </c>
      <c r="Q331" s="5">
        <v>1</v>
      </c>
    </row>
    <row r="332" spans="1:17" x14ac:dyDescent="0.25">
      <c r="A332" s="2" t="s">
        <v>619</v>
      </c>
      <c r="B332" s="2" t="s">
        <v>567</v>
      </c>
      <c r="C332" s="2" t="s">
        <v>729</v>
      </c>
      <c r="D332" s="2" t="s">
        <v>729</v>
      </c>
      <c r="E332" s="2" t="s">
        <v>218</v>
      </c>
      <c r="F332" s="2" t="s">
        <v>102</v>
      </c>
      <c r="H332" s="2" t="s">
        <v>51</v>
      </c>
      <c r="I332" s="5">
        <v>5</v>
      </c>
      <c r="J332" s="6">
        <v>11</v>
      </c>
      <c r="K332" s="6">
        <v>35</v>
      </c>
      <c r="L332" s="6">
        <v>70</v>
      </c>
      <c r="M332" s="5">
        <v>18</v>
      </c>
      <c r="N332" s="5"/>
      <c r="O332" s="5">
        <v>14</v>
      </c>
      <c r="P332" s="5" t="s">
        <v>752</v>
      </c>
      <c r="Q332" s="5">
        <v>1</v>
      </c>
    </row>
    <row r="333" spans="1:17" x14ac:dyDescent="0.25">
      <c r="A333" s="2" t="s">
        <v>623</v>
      </c>
      <c r="B333" s="2" t="s">
        <v>568</v>
      </c>
      <c r="C333" s="2" t="s">
        <v>729</v>
      </c>
      <c r="D333" s="2" t="s">
        <v>729</v>
      </c>
      <c r="E333" s="2" t="s">
        <v>218</v>
      </c>
      <c r="F333" s="2" t="s">
        <v>102</v>
      </c>
      <c r="G333" s="2">
        <v>2.903</v>
      </c>
      <c r="H333" s="2" t="s">
        <v>54</v>
      </c>
      <c r="I333" s="5">
        <v>5</v>
      </c>
      <c r="J333" s="6">
        <v>10</v>
      </c>
      <c r="K333" s="6">
        <v>30</v>
      </c>
      <c r="L333" s="6">
        <v>60</v>
      </c>
      <c r="M333" s="5">
        <v>1</v>
      </c>
      <c r="N333" s="5">
        <v>5</v>
      </c>
      <c r="O333" s="5">
        <v>30</v>
      </c>
      <c r="P333" s="9" t="s">
        <v>813</v>
      </c>
      <c r="Q333" s="5">
        <v>10</v>
      </c>
    </row>
    <row r="334" spans="1:17" x14ac:dyDescent="0.25">
      <c r="A334" s="2" t="s">
        <v>627</v>
      </c>
      <c r="B334" s="2" t="s">
        <v>569</v>
      </c>
      <c r="C334" s="2" t="s">
        <v>729</v>
      </c>
      <c r="D334" s="2" t="s">
        <v>729</v>
      </c>
      <c r="E334" s="2" t="s">
        <v>79</v>
      </c>
      <c r="F334" s="2" t="s">
        <v>80</v>
      </c>
      <c r="G334" s="2">
        <v>4.7</v>
      </c>
      <c r="H334" s="2" t="s">
        <v>64</v>
      </c>
      <c r="I334" s="5">
        <v>66</v>
      </c>
      <c r="J334" s="6">
        <v>133</v>
      </c>
      <c r="K334" s="6">
        <v>400</v>
      </c>
      <c r="L334" s="6">
        <v>800</v>
      </c>
      <c r="M334" s="5">
        <v>2</v>
      </c>
      <c r="N334" s="5"/>
      <c r="O334" s="5">
        <v>8</v>
      </c>
      <c r="P334" s="5" t="s">
        <v>752</v>
      </c>
      <c r="Q334" s="5">
        <v>1</v>
      </c>
    </row>
    <row r="335" spans="1:17" x14ac:dyDescent="0.25">
      <c r="A335" s="2" t="s">
        <v>620</v>
      </c>
      <c r="B335" s="2" t="s">
        <v>570</v>
      </c>
      <c r="C335" s="2" t="s">
        <v>729</v>
      </c>
      <c r="D335" s="2" t="s">
        <v>729</v>
      </c>
      <c r="E335" s="2" t="s">
        <v>72</v>
      </c>
      <c r="F335" s="2" t="s">
        <v>73</v>
      </c>
      <c r="G335" s="2">
        <v>5.27</v>
      </c>
      <c r="H335" s="2" t="s">
        <v>46</v>
      </c>
      <c r="I335" s="5">
        <v>91</v>
      </c>
      <c r="J335" s="6">
        <v>183</v>
      </c>
      <c r="K335" s="6">
        <v>550</v>
      </c>
      <c r="L335" s="6">
        <v>1100</v>
      </c>
      <c r="M335" s="5">
        <v>2</v>
      </c>
      <c r="N335" s="5"/>
      <c r="O335" s="5">
        <v>10</v>
      </c>
      <c r="P335" s="5" t="s">
        <v>755</v>
      </c>
      <c r="Q335" s="5">
        <v>1</v>
      </c>
    </row>
    <row r="336" spans="1:17" x14ac:dyDescent="0.25">
      <c r="A336" s="2" t="s">
        <v>625</v>
      </c>
      <c r="B336" s="2" t="s">
        <v>571</v>
      </c>
      <c r="C336" s="2" t="s">
        <v>729</v>
      </c>
      <c r="D336" s="2" t="s">
        <v>729</v>
      </c>
      <c r="E336" s="2" t="s">
        <v>218</v>
      </c>
      <c r="F336" s="2" t="s">
        <v>102</v>
      </c>
      <c r="G336" s="2">
        <v>2.72</v>
      </c>
      <c r="H336" s="2" t="s">
        <v>51</v>
      </c>
      <c r="I336" s="5">
        <v>15</v>
      </c>
      <c r="J336" s="6">
        <v>30</v>
      </c>
      <c r="K336" s="6">
        <v>90</v>
      </c>
      <c r="L336" s="6">
        <v>180</v>
      </c>
      <c r="M336" s="5">
        <v>1</v>
      </c>
      <c r="N336" s="5">
        <v>3</v>
      </c>
      <c r="O336" s="5">
        <v>34</v>
      </c>
      <c r="P336" s="9" t="s">
        <v>807</v>
      </c>
      <c r="Q336" s="5">
        <v>5</v>
      </c>
    </row>
    <row r="337" spans="1:18" x14ac:dyDescent="0.25">
      <c r="A337" s="2" t="s">
        <v>625</v>
      </c>
      <c r="B337" s="2" t="s">
        <v>572</v>
      </c>
      <c r="C337" s="2" t="s">
        <v>729</v>
      </c>
      <c r="D337" s="2" t="s">
        <v>729</v>
      </c>
      <c r="E337" s="2" t="s">
        <v>218</v>
      </c>
      <c r="F337" s="2" t="s">
        <v>102</v>
      </c>
      <c r="G337" s="2">
        <v>3.6</v>
      </c>
      <c r="H337" s="2" t="s">
        <v>51</v>
      </c>
      <c r="I337" s="5">
        <v>15</v>
      </c>
      <c r="J337" s="6">
        <v>30</v>
      </c>
      <c r="K337" s="6">
        <v>90</v>
      </c>
      <c r="L337" s="6">
        <v>180</v>
      </c>
      <c r="M337" s="5">
        <v>1</v>
      </c>
      <c r="N337" s="5">
        <v>3</v>
      </c>
      <c r="O337" s="5">
        <v>34</v>
      </c>
      <c r="P337" s="9" t="s">
        <v>807</v>
      </c>
      <c r="Q337" s="5">
        <v>5</v>
      </c>
    </row>
    <row r="338" spans="1:18" x14ac:dyDescent="0.25">
      <c r="A338" s="2" t="s">
        <v>623</v>
      </c>
      <c r="B338" s="2" t="s">
        <v>573</v>
      </c>
      <c r="C338" s="2" t="s">
        <v>729</v>
      </c>
      <c r="D338" s="2" t="s">
        <v>729</v>
      </c>
      <c r="E338" s="2" t="s">
        <v>15</v>
      </c>
      <c r="F338" s="2" t="s">
        <v>16</v>
      </c>
      <c r="G338" s="2">
        <v>3.266</v>
      </c>
      <c r="H338" s="2" t="s">
        <v>9</v>
      </c>
      <c r="I338" s="5">
        <v>50</v>
      </c>
      <c r="J338" s="6">
        <v>100</v>
      </c>
      <c r="K338" s="6">
        <v>300</v>
      </c>
      <c r="L338" s="6">
        <v>600</v>
      </c>
      <c r="M338" s="5">
        <v>2</v>
      </c>
      <c r="N338" s="5">
        <v>5</v>
      </c>
      <c r="O338" s="5">
        <v>30</v>
      </c>
      <c r="P338" s="9" t="s">
        <v>807</v>
      </c>
      <c r="Q338" s="5">
        <v>5</v>
      </c>
    </row>
    <row r="339" spans="1:18" x14ac:dyDescent="0.25">
      <c r="A339" s="2" t="s">
        <v>622</v>
      </c>
      <c r="B339" s="2" t="s">
        <v>574</v>
      </c>
      <c r="C339" s="2" t="s">
        <v>729</v>
      </c>
      <c r="D339" s="2" t="s">
        <v>729</v>
      </c>
      <c r="E339" s="2" t="s">
        <v>15</v>
      </c>
      <c r="F339" s="2" t="s">
        <v>16</v>
      </c>
      <c r="G339" s="2">
        <v>5.4429999999999996</v>
      </c>
      <c r="H339" s="2" t="s">
        <v>9</v>
      </c>
      <c r="I339" s="5">
        <v>50</v>
      </c>
      <c r="J339" s="6">
        <v>100</v>
      </c>
      <c r="K339" s="6">
        <v>300</v>
      </c>
      <c r="L339" s="6">
        <v>600</v>
      </c>
      <c r="M339" s="5">
        <v>1</v>
      </c>
      <c r="N339" s="5">
        <v>3</v>
      </c>
      <c r="O339" s="5">
        <v>50</v>
      </c>
      <c r="P339" s="9" t="s">
        <v>807</v>
      </c>
      <c r="Q339" s="5">
        <v>5</v>
      </c>
    </row>
    <row r="340" spans="1:18" x14ac:dyDescent="0.25">
      <c r="A340" s="2" t="s">
        <v>622</v>
      </c>
      <c r="B340" s="2" t="s">
        <v>575</v>
      </c>
      <c r="C340" s="2" t="s">
        <v>729</v>
      </c>
      <c r="D340" s="2" t="s">
        <v>729</v>
      </c>
      <c r="E340" s="2" t="s">
        <v>15</v>
      </c>
      <c r="F340" s="2" t="s">
        <v>16</v>
      </c>
      <c r="G340" s="2">
        <v>4.03</v>
      </c>
      <c r="H340" s="2" t="s">
        <v>9</v>
      </c>
      <c r="I340" s="5">
        <v>25</v>
      </c>
      <c r="J340" s="6">
        <v>50</v>
      </c>
      <c r="K340" s="6">
        <v>150</v>
      </c>
      <c r="L340" s="6">
        <v>300</v>
      </c>
      <c r="M340" s="5">
        <v>2</v>
      </c>
      <c r="N340" s="5">
        <v>10</v>
      </c>
      <c r="O340" s="5">
        <v>30</v>
      </c>
      <c r="P340" s="7" t="s">
        <v>814</v>
      </c>
      <c r="Q340" s="5">
        <v>10</v>
      </c>
    </row>
    <row r="341" spans="1:18" x14ac:dyDescent="0.25">
      <c r="A341" s="2" t="s">
        <v>623</v>
      </c>
      <c r="B341" s="2" t="s">
        <v>576</v>
      </c>
      <c r="C341" s="2" t="s">
        <v>729</v>
      </c>
      <c r="D341" s="2" t="s">
        <v>729</v>
      </c>
      <c r="E341" s="2" t="s">
        <v>218</v>
      </c>
      <c r="F341" s="2" t="s">
        <v>102</v>
      </c>
      <c r="G341" s="2">
        <v>3.3</v>
      </c>
      <c r="H341" s="2" t="s">
        <v>54</v>
      </c>
      <c r="I341" s="5">
        <v>16</v>
      </c>
      <c r="J341" s="6">
        <v>33</v>
      </c>
      <c r="K341" s="6">
        <v>100</v>
      </c>
      <c r="L341" s="6">
        <v>200</v>
      </c>
      <c r="M341" s="5">
        <v>1</v>
      </c>
      <c r="N341" s="5">
        <v>3</v>
      </c>
      <c r="O341" s="5">
        <v>30</v>
      </c>
      <c r="P341" s="9" t="s">
        <v>785</v>
      </c>
      <c r="Q341" s="5">
        <v>5</v>
      </c>
    </row>
    <row r="342" spans="1:18" x14ac:dyDescent="0.25">
      <c r="A342" s="2" t="s">
        <v>619</v>
      </c>
      <c r="B342" s="2" t="s">
        <v>577</v>
      </c>
      <c r="C342" s="2" t="s">
        <v>729</v>
      </c>
      <c r="D342" s="2" t="s">
        <v>729</v>
      </c>
      <c r="E342" s="2" t="s">
        <v>218</v>
      </c>
      <c r="F342" s="2" t="s">
        <v>102</v>
      </c>
      <c r="H342" s="2" t="s">
        <v>51</v>
      </c>
      <c r="I342" s="5">
        <v>5</v>
      </c>
      <c r="J342" s="6">
        <v>11</v>
      </c>
      <c r="K342" s="6">
        <v>35</v>
      </c>
      <c r="L342" s="6">
        <v>70</v>
      </c>
      <c r="M342" s="5">
        <v>14</v>
      </c>
      <c r="N342" s="5"/>
      <c r="O342" s="5">
        <v>18</v>
      </c>
      <c r="P342" s="5" t="s">
        <v>752</v>
      </c>
      <c r="Q342" s="5">
        <v>1</v>
      </c>
    </row>
    <row r="343" spans="1:18" x14ac:dyDescent="0.25">
      <c r="A343" s="2" t="s">
        <v>625</v>
      </c>
      <c r="B343" s="2" t="s">
        <v>578</v>
      </c>
      <c r="C343" s="2" t="s">
        <v>729</v>
      </c>
      <c r="D343" s="2" t="s">
        <v>729</v>
      </c>
      <c r="E343" s="2" t="s">
        <v>218</v>
      </c>
      <c r="F343" s="2" t="s">
        <v>102</v>
      </c>
      <c r="G343" s="2">
        <v>4.03</v>
      </c>
      <c r="H343" s="2" t="s">
        <v>51</v>
      </c>
      <c r="I343" s="5">
        <v>15</v>
      </c>
      <c r="J343" s="6">
        <v>30</v>
      </c>
      <c r="K343" s="6">
        <v>90</v>
      </c>
      <c r="L343" s="6">
        <v>180</v>
      </c>
      <c r="M343" s="5">
        <v>1</v>
      </c>
      <c r="N343" s="5">
        <v>5</v>
      </c>
      <c r="O343" s="5">
        <v>32</v>
      </c>
      <c r="P343" s="7" t="s">
        <v>744</v>
      </c>
      <c r="Q343" s="5">
        <v>10</v>
      </c>
      <c r="R343" s="2" t="s">
        <v>843</v>
      </c>
    </row>
    <row r="344" spans="1:18" x14ac:dyDescent="0.25">
      <c r="A344" s="2" t="s">
        <v>625</v>
      </c>
      <c r="B344" s="2" t="s">
        <v>579</v>
      </c>
      <c r="C344" s="2" t="s">
        <v>729</v>
      </c>
      <c r="D344" s="2" t="s">
        <v>729</v>
      </c>
      <c r="E344" s="2" t="s">
        <v>218</v>
      </c>
      <c r="F344" s="2" t="s">
        <v>102</v>
      </c>
      <c r="G344" s="2">
        <v>3.13</v>
      </c>
      <c r="H344" s="2" t="s">
        <v>51</v>
      </c>
      <c r="I344" s="5">
        <v>15</v>
      </c>
      <c r="J344" s="6">
        <v>30</v>
      </c>
      <c r="K344" s="6">
        <v>90</v>
      </c>
      <c r="L344" s="6">
        <v>180</v>
      </c>
      <c r="M344" s="5">
        <v>1</v>
      </c>
      <c r="N344" s="5">
        <v>3</v>
      </c>
      <c r="O344" s="5">
        <v>32</v>
      </c>
      <c r="P344" s="7" t="s">
        <v>771</v>
      </c>
      <c r="Q344" s="5">
        <v>5</v>
      </c>
    </row>
    <row r="345" spans="1:18" x14ac:dyDescent="0.25">
      <c r="A345" s="2" t="s">
        <v>620</v>
      </c>
      <c r="B345" s="2" t="s">
        <v>580</v>
      </c>
      <c r="C345" s="2" t="s">
        <v>729</v>
      </c>
      <c r="D345" s="2" t="s">
        <v>729</v>
      </c>
      <c r="E345" s="2" t="s">
        <v>72</v>
      </c>
      <c r="F345" s="2" t="s">
        <v>73</v>
      </c>
      <c r="G345" s="2">
        <v>4</v>
      </c>
      <c r="H345" s="2" t="s">
        <v>46</v>
      </c>
      <c r="I345" s="5">
        <v>133</v>
      </c>
      <c r="J345" s="6">
        <v>266</v>
      </c>
      <c r="K345" s="6">
        <v>800</v>
      </c>
      <c r="L345" s="6">
        <v>1600</v>
      </c>
      <c r="M345" s="5">
        <v>2</v>
      </c>
      <c r="N345" s="5"/>
      <c r="O345" s="5">
        <v>5</v>
      </c>
      <c r="P345" s="5" t="s">
        <v>763</v>
      </c>
      <c r="Q345" s="5">
        <v>1</v>
      </c>
    </row>
    <row r="346" spans="1:18" x14ac:dyDescent="0.25">
      <c r="A346" s="2" t="s">
        <v>623</v>
      </c>
      <c r="B346" s="2" t="s">
        <v>581</v>
      </c>
      <c r="C346" s="2" t="s">
        <v>729</v>
      </c>
      <c r="D346" s="2" t="s">
        <v>729</v>
      </c>
      <c r="E346" s="2" t="s">
        <v>15</v>
      </c>
      <c r="F346" s="2" t="s">
        <v>16</v>
      </c>
      <c r="G346" s="2">
        <v>4.0999999999999996</v>
      </c>
      <c r="H346" s="2" t="s">
        <v>9</v>
      </c>
      <c r="I346" s="5">
        <v>66</v>
      </c>
      <c r="J346" s="6">
        <v>133</v>
      </c>
      <c r="K346" s="6">
        <v>400</v>
      </c>
      <c r="L346" s="6">
        <v>800</v>
      </c>
      <c r="M346" s="5">
        <v>1</v>
      </c>
      <c r="N346" s="5">
        <v>2</v>
      </c>
      <c r="O346" s="5">
        <v>30</v>
      </c>
      <c r="P346" s="9" t="s">
        <v>777</v>
      </c>
      <c r="Q346" s="5">
        <v>3</v>
      </c>
    </row>
    <row r="347" spans="1:18" x14ac:dyDescent="0.25">
      <c r="A347" s="2" t="s">
        <v>623</v>
      </c>
      <c r="B347" s="2" t="s">
        <v>582</v>
      </c>
      <c r="C347" s="2" t="s">
        <v>729</v>
      </c>
      <c r="D347" s="2" t="s">
        <v>729</v>
      </c>
      <c r="E347" s="2" t="s">
        <v>15</v>
      </c>
      <c r="F347" s="2" t="s">
        <v>16</v>
      </c>
      <c r="G347" s="2">
        <v>3.3</v>
      </c>
      <c r="H347" s="2" t="s">
        <v>9</v>
      </c>
      <c r="I347" s="5">
        <v>50</v>
      </c>
      <c r="J347" s="6">
        <v>100</v>
      </c>
      <c r="K347" s="6">
        <v>300</v>
      </c>
      <c r="L347" s="6">
        <v>600</v>
      </c>
      <c r="M347" s="5">
        <v>2</v>
      </c>
      <c r="N347" s="5">
        <v>3</v>
      </c>
      <c r="O347" s="5">
        <v>30</v>
      </c>
      <c r="P347" s="9" t="s">
        <v>777</v>
      </c>
      <c r="Q347" s="5">
        <v>3</v>
      </c>
    </row>
    <row r="348" spans="1:18" x14ac:dyDescent="0.25">
      <c r="A348" s="2" t="s">
        <v>623</v>
      </c>
      <c r="B348" s="2" t="s">
        <v>583</v>
      </c>
      <c r="C348" s="2" t="s">
        <v>729</v>
      </c>
      <c r="D348" s="2" t="s">
        <v>729</v>
      </c>
      <c r="E348" s="2" t="s">
        <v>15</v>
      </c>
      <c r="F348" s="2" t="s">
        <v>16</v>
      </c>
      <c r="G348" s="2">
        <v>3</v>
      </c>
      <c r="H348" s="2" t="s">
        <v>9</v>
      </c>
      <c r="I348" s="5">
        <v>41</v>
      </c>
      <c r="J348" s="6">
        <v>83</v>
      </c>
      <c r="K348" s="6">
        <v>250</v>
      </c>
      <c r="L348" s="6">
        <v>500</v>
      </c>
      <c r="M348" s="5">
        <v>2</v>
      </c>
      <c r="N348" s="5">
        <v>3</v>
      </c>
      <c r="O348" s="5">
        <v>30</v>
      </c>
      <c r="P348" s="9" t="s">
        <v>777</v>
      </c>
      <c r="Q348" s="5">
        <v>3</v>
      </c>
    </row>
    <row r="349" spans="1:18" x14ac:dyDescent="0.25">
      <c r="A349" s="2" t="s">
        <v>619</v>
      </c>
      <c r="B349" s="2" t="s">
        <v>584</v>
      </c>
      <c r="C349" s="2" t="s">
        <v>729</v>
      </c>
      <c r="D349" s="2" t="s">
        <v>729</v>
      </c>
      <c r="E349" s="2" t="s">
        <v>218</v>
      </c>
      <c r="F349" s="2" t="s">
        <v>102</v>
      </c>
      <c r="G349" s="2">
        <v>0.97</v>
      </c>
      <c r="H349" s="2" t="s">
        <v>51</v>
      </c>
      <c r="I349" s="5">
        <v>5</v>
      </c>
      <c r="J349" s="6">
        <v>11</v>
      </c>
      <c r="K349" s="6">
        <v>35</v>
      </c>
      <c r="L349" s="6">
        <v>70</v>
      </c>
      <c r="M349" s="5">
        <v>3</v>
      </c>
      <c r="N349" s="5"/>
      <c r="O349" s="5">
        <v>8</v>
      </c>
      <c r="P349" s="5" t="s">
        <v>752</v>
      </c>
      <c r="Q349" s="5">
        <v>1</v>
      </c>
    </row>
    <row r="350" spans="1:18" x14ac:dyDescent="0.25">
      <c r="A350" s="2" t="s">
        <v>619</v>
      </c>
      <c r="B350" s="2" t="s">
        <v>585</v>
      </c>
      <c r="C350" s="2" t="s">
        <v>729</v>
      </c>
      <c r="D350" s="2" t="s">
        <v>729</v>
      </c>
      <c r="E350" s="2" t="s">
        <v>218</v>
      </c>
      <c r="F350" s="2" t="s">
        <v>102</v>
      </c>
      <c r="G350" s="2">
        <v>0.75</v>
      </c>
      <c r="H350" s="2" t="s">
        <v>51</v>
      </c>
      <c r="I350" s="5">
        <v>6</v>
      </c>
      <c r="J350" s="6">
        <v>13</v>
      </c>
      <c r="K350" s="6">
        <v>40</v>
      </c>
      <c r="L350" s="6">
        <v>80</v>
      </c>
      <c r="M350" s="5">
        <v>3</v>
      </c>
      <c r="N350" s="5"/>
      <c r="O350" s="5">
        <v>15</v>
      </c>
      <c r="P350" s="5" t="s">
        <v>752</v>
      </c>
      <c r="Q350" s="5">
        <v>1</v>
      </c>
    </row>
    <row r="351" spans="1:18" x14ac:dyDescent="0.25">
      <c r="A351" s="2" t="s">
        <v>627</v>
      </c>
      <c r="B351" s="2" t="s">
        <v>586</v>
      </c>
      <c r="C351" s="2" t="s">
        <v>729</v>
      </c>
      <c r="D351" s="2" t="s">
        <v>729</v>
      </c>
      <c r="E351" s="2" t="s">
        <v>84</v>
      </c>
      <c r="F351" s="2" t="s">
        <v>83</v>
      </c>
      <c r="G351" s="2">
        <v>3.85</v>
      </c>
      <c r="H351" s="2" t="s">
        <v>46</v>
      </c>
      <c r="I351" s="5">
        <v>50</v>
      </c>
      <c r="J351" s="6">
        <v>100</v>
      </c>
      <c r="K351" s="6">
        <v>300</v>
      </c>
      <c r="L351" s="6">
        <v>600</v>
      </c>
      <c r="M351" s="5">
        <v>2</v>
      </c>
      <c r="N351" s="5"/>
      <c r="O351" s="5">
        <v>10</v>
      </c>
      <c r="P351" s="5" t="s">
        <v>752</v>
      </c>
      <c r="Q351" s="5">
        <v>1</v>
      </c>
      <c r="R351" s="2" t="s">
        <v>825</v>
      </c>
    </row>
    <row r="352" spans="1:18" x14ac:dyDescent="0.25">
      <c r="A352" s="2" t="s">
        <v>619</v>
      </c>
      <c r="B352" s="2" t="s">
        <v>587</v>
      </c>
      <c r="C352" s="2" t="s">
        <v>729</v>
      </c>
      <c r="D352" s="2" t="s">
        <v>729</v>
      </c>
      <c r="E352" s="2" t="s">
        <v>49</v>
      </c>
      <c r="F352" s="2" t="s">
        <v>588</v>
      </c>
      <c r="G352" s="2">
        <v>0.5</v>
      </c>
      <c r="H352" s="2" t="s">
        <v>51</v>
      </c>
      <c r="I352" s="5">
        <v>5</v>
      </c>
      <c r="J352" s="6">
        <v>11</v>
      </c>
      <c r="K352" s="6">
        <v>35</v>
      </c>
      <c r="L352" s="6">
        <v>70</v>
      </c>
      <c r="M352" s="5">
        <v>5</v>
      </c>
      <c r="N352" s="5"/>
      <c r="O352" s="5">
        <v>8</v>
      </c>
      <c r="P352" s="5" t="s">
        <v>752</v>
      </c>
      <c r="Q352" s="5">
        <v>1</v>
      </c>
      <c r="R352" s="2" t="s">
        <v>826</v>
      </c>
    </row>
    <row r="353" spans="1:18" x14ac:dyDescent="0.25">
      <c r="A353" s="2" t="s">
        <v>623</v>
      </c>
      <c r="B353" s="2" t="s">
        <v>589</v>
      </c>
      <c r="C353" s="2" t="s">
        <v>729</v>
      </c>
      <c r="D353" s="2" t="s">
        <v>729</v>
      </c>
      <c r="E353" s="2" t="s">
        <v>138</v>
      </c>
      <c r="F353" s="2" t="s">
        <v>137</v>
      </c>
      <c r="G353" s="2">
        <v>2.5</v>
      </c>
      <c r="H353" s="2" t="s">
        <v>52</v>
      </c>
      <c r="I353" s="5">
        <v>41</v>
      </c>
      <c r="J353" s="6">
        <v>83</v>
      </c>
      <c r="K353" s="6">
        <v>250</v>
      </c>
      <c r="L353" s="6">
        <v>500</v>
      </c>
      <c r="M353" s="5">
        <v>2</v>
      </c>
      <c r="N353" s="5">
        <v>3</v>
      </c>
      <c r="O353" s="5">
        <v>20</v>
      </c>
      <c r="P353" s="8" t="s">
        <v>768</v>
      </c>
      <c r="Q353" s="5">
        <v>3</v>
      </c>
    </row>
    <row r="354" spans="1:18" x14ac:dyDescent="0.25">
      <c r="A354" s="2" t="s">
        <v>620</v>
      </c>
      <c r="B354" s="2" t="s">
        <v>590</v>
      </c>
      <c r="C354" s="2" t="s">
        <v>729</v>
      </c>
      <c r="D354" s="2" t="s">
        <v>729</v>
      </c>
      <c r="E354" s="2" t="s">
        <v>138</v>
      </c>
      <c r="F354" s="2" t="s">
        <v>137</v>
      </c>
      <c r="G354" s="2">
        <v>2.6</v>
      </c>
      <c r="H354" s="2" t="s">
        <v>52</v>
      </c>
      <c r="I354" s="5">
        <v>50</v>
      </c>
      <c r="J354" s="6">
        <v>100</v>
      </c>
      <c r="K354" s="6">
        <v>300</v>
      </c>
      <c r="L354" s="6">
        <v>600</v>
      </c>
      <c r="M354" s="5">
        <v>2</v>
      </c>
      <c r="N354" s="5">
        <v>3</v>
      </c>
      <c r="O354" s="5">
        <v>20</v>
      </c>
      <c r="P354" s="7" t="s">
        <v>815</v>
      </c>
      <c r="Q354" s="5">
        <v>3</v>
      </c>
      <c r="R354" s="2" t="s">
        <v>824</v>
      </c>
    </row>
    <row r="355" spans="1:18" x14ac:dyDescent="0.25">
      <c r="A355" s="2" t="s">
        <v>624</v>
      </c>
      <c r="B355" s="2" t="s">
        <v>591</v>
      </c>
      <c r="C355" s="2" t="s">
        <v>729</v>
      </c>
      <c r="D355" s="2" t="s">
        <v>729</v>
      </c>
      <c r="E355" s="2" t="s">
        <v>184</v>
      </c>
      <c r="F355" s="2" t="s">
        <v>185</v>
      </c>
      <c r="G355" s="2">
        <v>2.9</v>
      </c>
      <c r="H355" s="2" t="s">
        <v>46</v>
      </c>
      <c r="I355" s="5">
        <v>5</v>
      </c>
      <c r="J355" s="6">
        <v>11</v>
      </c>
      <c r="K355" s="6">
        <v>35</v>
      </c>
      <c r="L355" s="6">
        <v>70</v>
      </c>
      <c r="M355" s="5">
        <v>3</v>
      </c>
      <c r="N355" s="5"/>
      <c r="O355" s="5">
        <v>7</v>
      </c>
      <c r="P355" s="5" t="s">
        <v>753</v>
      </c>
      <c r="Q355" s="5">
        <v>1</v>
      </c>
    </row>
    <row r="356" spans="1:18" x14ac:dyDescent="0.25">
      <c r="A356" s="2" t="s">
        <v>622</v>
      </c>
      <c r="B356" s="2" t="s">
        <v>592</v>
      </c>
      <c r="C356" s="2" t="s">
        <v>729</v>
      </c>
      <c r="D356" s="2" t="s">
        <v>729</v>
      </c>
      <c r="E356" s="2" t="s">
        <v>72</v>
      </c>
      <c r="F356" s="2" t="s">
        <v>73</v>
      </c>
      <c r="G356" s="2">
        <v>10.7</v>
      </c>
      <c r="H356" s="2" t="s">
        <v>46</v>
      </c>
      <c r="I356" s="5">
        <v>100</v>
      </c>
      <c r="J356" s="6">
        <v>200</v>
      </c>
      <c r="K356" s="6">
        <v>600</v>
      </c>
      <c r="L356" s="6">
        <v>1200</v>
      </c>
      <c r="M356" s="5"/>
      <c r="N356" s="5">
        <v>5</v>
      </c>
      <c r="O356" s="5">
        <v>25</v>
      </c>
      <c r="P356" s="5">
        <v>50</v>
      </c>
      <c r="Q356" s="5">
        <v>10</v>
      </c>
    </row>
    <row r="357" spans="1:18" x14ac:dyDescent="0.25">
      <c r="A357" s="2" t="s">
        <v>623</v>
      </c>
      <c r="B357" s="2" t="s">
        <v>593</v>
      </c>
      <c r="C357" s="2" t="s">
        <v>729</v>
      </c>
      <c r="D357" s="2" t="s">
        <v>729</v>
      </c>
      <c r="E357" s="2" t="s">
        <v>72</v>
      </c>
      <c r="F357" s="2" t="s">
        <v>73</v>
      </c>
      <c r="G357" s="2">
        <v>3.5</v>
      </c>
      <c r="H357" s="2" t="s">
        <v>46</v>
      </c>
      <c r="I357" s="5">
        <v>100</v>
      </c>
      <c r="J357" s="6">
        <v>200</v>
      </c>
      <c r="K357" s="6">
        <v>600</v>
      </c>
      <c r="L357" s="6">
        <v>1200</v>
      </c>
      <c r="M357" s="5">
        <v>2</v>
      </c>
      <c r="N357" s="5">
        <v>5</v>
      </c>
      <c r="O357" s="5">
        <v>30</v>
      </c>
      <c r="P357" s="9" t="s">
        <v>770</v>
      </c>
      <c r="Q357" s="5">
        <v>5</v>
      </c>
    </row>
    <row r="358" spans="1:18" x14ac:dyDescent="0.25">
      <c r="A358" s="2" t="s">
        <v>622</v>
      </c>
      <c r="B358" s="2" t="s">
        <v>594</v>
      </c>
      <c r="C358" s="2" t="s">
        <v>729</v>
      </c>
      <c r="D358" s="2" t="s">
        <v>729</v>
      </c>
      <c r="E358" s="2" t="s">
        <v>15</v>
      </c>
      <c r="F358" s="2" t="s">
        <v>16</v>
      </c>
      <c r="G358" s="2">
        <v>4.42</v>
      </c>
      <c r="H358" s="2" t="s">
        <v>9</v>
      </c>
      <c r="I358" s="5">
        <v>50</v>
      </c>
      <c r="J358" s="6">
        <v>100</v>
      </c>
      <c r="K358" s="6">
        <v>300</v>
      </c>
      <c r="L358" s="6">
        <v>600</v>
      </c>
      <c r="M358" s="5">
        <v>1</v>
      </c>
      <c r="N358" s="5">
        <v>3</v>
      </c>
      <c r="O358" s="5">
        <v>30</v>
      </c>
      <c r="P358" s="7" t="s">
        <v>772</v>
      </c>
      <c r="Q358" s="5">
        <v>5</v>
      </c>
    </row>
    <row r="359" spans="1:18" x14ac:dyDescent="0.25">
      <c r="A359" s="2" t="s">
        <v>625</v>
      </c>
      <c r="B359" s="2" t="s">
        <v>595</v>
      </c>
      <c r="C359" s="2" t="s">
        <v>729</v>
      </c>
      <c r="D359" s="2" t="s">
        <v>729</v>
      </c>
      <c r="E359" s="2" t="s">
        <v>132</v>
      </c>
      <c r="F359" s="2" t="s">
        <v>127</v>
      </c>
      <c r="G359" s="2">
        <v>3.5</v>
      </c>
      <c r="H359" s="2" t="s">
        <v>51</v>
      </c>
      <c r="I359" s="5">
        <v>7</v>
      </c>
      <c r="J359" s="6">
        <v>15</v>
      </c>
      <c r="K359" s="6">
        <v>45</v>
      </c>
      <c r="L359" s="6">
        <v>90</v>
      </c>
      <c r="M359" s="5">
        <v>1</v>
      </c>
      <c r="N359" s="5">
        <v>3</v>
      </c>
      <c r="O359" s="5">
        <v>30</v>
      </c>
      <c r="P359" s="7" t="s">
        <v>772</v>
      </c>
      <c r="Q359" s="5">
        <v>5</v>
      </c>
    </row>
    <row r="360" spans="1:18" x14ac:dyDescent="0.25">
      <c r="A360" s="2" t="s">
        <v>625</v>
      </c>
      <c r="B360" s="2" t="s">
        <v>595</v>
      </c>
      <c r="C360" s="2" t="s">
        <v>729</v>
      </c>
      <c r="D360" s="2" t="s">
        <v>729</v>
      </c>
      <c r="E360" s="2" t="s">
        <v>218</v>
      </c>
      <c r="F360" s="2" t="s">
        <v>102</v>
      </c>
      <c r="G360" s="2">
        <v>3.5</v>
      </c>
      <c r="H360" s="2" t="s">
        <v>51</v>
      </c>
      <c r="I360" s="5">
        <v>5</v>
      </c>
      <c r="J360" s="6">
        <v>10</v>
      </c>
      <c r="K360" s="6">
        <v>30</v>
      </c>
      <c r="L360" s="6">
        <v>60</v>
      </c>
      <c r="M360" s="5">
        <v>1</v>
      </c>
      <c r="N360" s="5">
        <v>3</v>
      </c>
      <c r="O360" s="5">
        <v>40</v>
      </c>
      <c r="P360" s="7" t="s">
        <v>780</v>
      </c>
      <c r="Q360" s="5">
        <v>5</v>
      </c>
    </row>
    <row r="361" spans="1:18" x14ac:dyDescent="0.25">
      <c r="A361" s="2" t="s">
        <v>620</v>
      </c>
      <c r="B361" s="2" t="s">
        <v>596</v>
      </c>
      <c r="C361" s="2" t="s">
        <v>729</v>
      </c>
      <c r="D361" s="2" t="s">
        <v>729</v>
      </c>
      <c r="E361" s="2" t="s">
        <v>171</v>
      </c>
      <c r="F361" s="2" t="s">
        <v>172</v>
      </c>
      <c r="G361" s="2">
        <v>10.199999999999999</v>
      </c>
      <c r="H361" s="2" t="s">
        <v>173</v>
      </c>
      <c r="I361" s="5">
        <v>166</v>
      </c>
      <c r="J361" s="6">
        <v>333</v>
      </c>
      <c r="K361" s="6">
        <v>1000</v>
      </c>
      <c r="L361" s="6">
        <v>2000</v>
      </c>
      <c r="M361" s="5">
        <v>2</v>
      </c>
      <c r="N361" s="5"/>
      <c r="O361" s="5">
        <v>5</v>
      </c>
      <c r="P361" s="5" t="s">
        <v>752</v>
      </c>
      <c r="Q361" s="5">
        <v>1</v>
      </c>
    </row>
    <row r="362" spans="1:18" x14ac:dyDescent="0.25">
      <c r="A362" s="2" t="s">
        <v>623</v>
      </c>
      <c r="B362" s="2" t="s">
        <v>597</v>
      </c>
      <c r="C362" s="2" t="s">
        <v>729</v>
      </c>
      <c r="D362" s="2" t="s">
        <v>729</v>
      </c>
      <c r="E362" s="2" t="s">
        <v>15</v>
      </c>
      <c r="F362" s="2" t="s">
        <v>16</v>
      </c>
      <c r="G362" s="2">
        <v>3.5</v>
      </c>
      <c r="H362" s="2" t="s">
        <v>9</v>
      </c>
      <c r="I362" s="5">
        <v>50</v>
      </c>
      <c r="J362" s="6">
        <v>100</v>
      </c>
      <c r="K362" s="6">
        <v>300</v>
      </c>
      <c r="L362" s="6">
        <v>600</v>
      </c>
      <c r="M362" s="5">
        <v>2</v>
      </c>
      <c r="N362" s="5"/>
      <c r="O362" s="5">
        <v>30</v>
      </c>
      <c r="P362" s="5" t="s">
        <v>752</v>
      </c>
      <c r="Q362" s="5">
        <v>0</v>
      </c>
    </row>
    <row r="363" spans="1:18" x14ac:dyDescent="0.25">
      <c r="A363" s="2" t="s">
        <v>622</v>
      </c>
      <c r="B363" s="2" t="s">
        <v>598</v>
      </c>
      <c r="C363" s="2" t="s">
        <v>729</v>
      </c>
      <c r="D363" s="2" t="s">
        <v>729</v>
      </c>
      <c r="E363" s="2" t="s">
        <v>70</v>
      </c>
      <c r="F363" s="2" t="s">
        <v>71</v>
      </c>
      <c r="G363" s="2">
        <v>49</v>
      </c>
      <c r="H363" s="2" t="s">
        <v>43</v>
      </c>
      <c r="I363" s="5">
        <v>125</v>
      </c>
      <c r="J363" s="6">
        <v>250</v>
      </c>
      <c r="K363" s="6">
        <v>750</v>
      </c>
      <c r="L363" s="6">
        <v>1500</v>
      </c>
      <c r="M363" s="5"/>
      <c r="N363" s="5">
        <v>10</v>
      </c>
      <c r="O363" s="5">
        <v>250</v>
      </c>
      <c r="P363" s="5">
        <v>60</v>
      </c>
      <c r="Q363" s="5">
        <v>20</v>
      </c>
    </row>
    <row r="364" spans="1:18" x14ac:dyDescent="0.25">
      <c r="A364" s="2" t="s">
        <v>625</v>
      </c>
      <c r="B364" s="2" t="s">
        <v>599</v>
      </c>
      <c r="C364" s="2" t="s">
        <v>729</v>
      </c>
      <c r="D364" s="2" t="s">
        <v>729</v>
      </c>
      <c r="E364" s="2" t="s">
        <v>218</v>
      </c>
      <c r="F364" s="2" t="s">
        <v>102</v>
      </c>
      <c r="G364" s="2">
        <v>2.95</v>
      </c>
      <c r="H364" s="2" t="s">
        <v>51</v>
      </c>
      <c r="I364" s="5">
        <v>16</v>
      </c>
      <c r="J364" s="6">
        <v>33</v>
      </c>
      <c r="K364" s="6">
        <v>100</v>
      </c>
      <c r="L364" s="6">
        <v>200</v>
      </c>
      <c r="M364" s="5">
        <v>1</v>
      </c>
      <c r="N364" s="5">
        <v>3</v>
      </c>
      <c r="O364" s="5">
        <v>36</v>
      </c>
      <c r="P364" s="7" t="s">
        <v>766</v>
      </c>
      <c r="Q364" s="5">
        <v>5</v>
      </c>
    </row>
    <row r="365" spans="1:18" x14ac:dyDescent="0.25">
      <c r="A365" s="2" t="s">
        <v>625</v>
      </c>
      <c r="B365" s="2" t="s">
        <v>600</v>
      </c>
      <c r="C365" s="2" t="s">
        <v>729</v>
      </c>
      <c r="D365" s="2" t="s">
        <v>729</v>
      </c>
      <c r="E365" s="2" t="s">
        <v>26</v>
      </c>
      <c r="F365" s="2" t="s">
        <v>27</v>
      </c>
      <c r="G365" s="2">
        <v>2.6</v>
      </c>
      <c r="H365" s="2" t="s">
        <v>29</v>
      </c>
      <c r="I365" s="5">
        <v>10</v>
      </c>
      <c r="J365" s="6">
        <v>20</v>
      </c>
      <c r="K365" s="6">
        <v>60</v>
      </c>
      <c r="L365" s="6">
        <v>120</v>
      </c>
      <c r="M365" s="5"/>
      <c r="N365" s="5">
        <v>10</v>
      </c>
      <c r="O365" s="5">
        <v>177</v>
      </c>
      <c r="P365" s="5">
        <v>100</v>
      </c>
      <c r="Q365" s="5">
        <v>20</v>
      </c>
    </row>
    <row r="366" spans="1:18" x14ac:dyDescent="0.25">
      <c r="A366" s="2" t="s">
        <v>620</v>
      </c>
      <c r="B366" s="2" t="s">
        <v>601</v>
      </c>
      <c r="C366" s="2" t="s">
        <v>729</v>
      </c>
      <c r="D366" s="2" t="s">
        <v>729</v>
      </c>
      <c r="E366" s="2" t="s">
        <v>138</v>
      </c>
      <c r="F366" s="2" t="s">
        <v>137</v>
      </c>
      <c r="G366" s="2">
        <v>2.7</v>
      </c>
      <c r="H366" s="2" t="s">
        <v>52</v>
      </c>
      <c r="I366" s="5">
        <v>91</v>
      </c>
      <c r="J366" s="6">
        <v>183</v>
      </c>
      <c r="K366" s="6">
        <v>550</v>
      </c>
      <c r="L366" s="6">
        <v>1100</v>
      </c>
      <c r="M366" s="5">
        <v>1</v>
      </c>
      <c r="N366" s="5"/>
      <c r="O366" s="5">
        <v>20</v>
      </c>
      <c r="P366" s="5" t="s">
        <v>752</v>
      </c>
      <c r="Q366" s="5">
        <v>1</v>
      </c>
    </row>
    <row r="367" spans="1:18" x14ac:dyDescent="0.25">
      <c r="A367" s="2" t="s">
        <v>627</v>
      </c>
      <c r="B367" s="2" t="s">
        <v>602</v>
      </c>
      <c r="C367" s="2" t="s">
        <v>729</v>
      </c>
      <c r="D367" s="2" t="s">
        <v>729</v>
      </c>
      <c r="E367" s="2" t="s">
        <v>487</v>
      </c>
      <c r="F367" s="2" t="s">
        <v>90</v>
      </c>
      <c r="G367" s="2">
        <v>4.9800000000000004</v>
      </c>
      <c r="H367" s="2" t="s">
        <v>44</v>
      </c>
      <c r="I367" s="5">
        <v>33</v>
      </c>
      <c r="J367" s="6">
        <v>66</v>
      </c>
      <c r="K367" s="6">
        <v>200</v>
      </c>
      <c r="L367" s="6">
        <v>400</v>
      </c>
      <c r="M367" s="5">
        <v>2</v>
      </c>
      <c r="N367" s="5"/>
      <c r="O367" s="5">
        <v>10</v>
      </c>
      <c r="P367" s="5" t="s">
        <v>752</v>
      </c>
      <c r="Q367" s="5">
        <v>1</v>
      </c>
      <c r="R367" s="2" t="s">
        <v>844</v>
      </c>
    </row>
    <row r="368" spans="1:18" x14ac:dyDescent="0.25">
      <c r="A368" s="2" t="s">
        <v>620</v>
      </c>
      <c r="B368" s="2" t="s">
        <v>603</v>
      </c>
      <c r="C368" s="2" t="s">
        <v>729</v>
      </c>
      <c r="D368" s="2" t="s">
        <v>729</v>
      </c>
      <c r="E368" s="2" t="s">
        <v>198</v>
      </c>
      <c r="F368" s="2" t="s">
        <v>199</v>
      </c>
      <c r="G368" s="2">
        <v>6.95</v>
      </c>
      <c r="H368" s="2" t="s">
        <v>47</v>
      </c>
      <c r="I368" s="5">
        <v>83</v>
      </c>
      <c r="J368" s="6">
        <v>166</v>
      </c>
      <c r="K368" s="6">
        <v>500</v>
      </c>
      <c r="L368" s="6">
        <v>1000</v>
      </c>
      <c r="M368" s="5">
        <v>2</v>
      </c>
      <c r="N368" s="5"/>
      <c r="O368" s="5">
        <v>6</v>
      </c>
      <c r="P368" s="5" t="s">
        <v>755</v>
      </c>
      <c r="Q368" s="5">
        <v>1</v>
      </c>
    </row>
    <row r="369" spans="1:18" x14ac:dyDescent="0.25">
      <c r="A369" s="2" t="s">
        <v>625</v>
      </c>
      <c r="B369" s="2" t="s">
        <v>604</v>
      </c>
      <c r="C369" s="2" t="s">
        <v>729</v>
      </c>
      <c r="D369" s="2" t="s">
        <v>729</v>
      </c>
      <c r="E369" s="2" t="s">
        <v>218</v>
      </c>
      <c r="F369" s="2" t="s">
        <v>102</v>
      </c>
      <c r="G369" s="2">
        <v>2.8</v>
      </c>
      <c r="H369" s="2" t="s">
        <v>51</v>
      </c>
      <c r="I369" s="5">
        <v>12</v>
      </c>
      <c r="J369" s="6">
        <v>25</v>
      </c>
      <c r="K369" s="6">
        <v>75</v>
      </c>
      <c r="L369" s="6">
        <v>150</v>
      </c>
      <c r="M369" s="5">
        <v>1</v>
      </c>
      <c r="N369" s="5">
        <v>3</v>
      </c>
      <c r="O369" s="5">
        <v>32</v>
      </c>
      <c r="P369" s="9" t="s">
        <v>807</v>
      </c>
      <c r="Q369" s="5">
        <v>5</v>
      </c>
    </row>
    <row r="370" spans="1:18" x14ac:dyDescent="0.25">
      <c r="A370" s="2" t="s">
        <v>625</v>
      </c>
      <c r="B370" s="2" t="s">
        <v>605</v>
      </c>
      <c r="C370" s="2" t="s">
        <v>729</v>
      </c>
      <c r="D370" s="2" t="s">
        <v>729</v>
      </c>
      <c r="E370" s="2" t="s">
        <v>218</v>
      </c>
      <c r="F370" s="2" t="s">
        <v>102</v>
      </c>
      <c r="G370" s="2">
        <v>3</v>
      </c>
      <c r="H370" s="2" t="s">
        <v>51</v>
      </c>
      <c r="I370" s="5">
        <v>25</v>
      </c>
      <c r="J370" s="6">
        <v>50</v>
      </c>
      <c r="K370" s="6">
        <v>150</v>
      </c>
      <c r="L370" s="6">
        <v>300</v>
      </c>
      <c r="M370" s="5">
        <v>1</v>
      </c>
      <c r="N370" s="5">
        <v>3</v>
      </c>
      <c r="O370" s="5">
        <v>32</v>
      </c>
      <c r="P370" s="9" t="s">
        <v>807</v>
      </c>
      <c r="Q370" s="5">
        <v>5</v>
      </c>
    </row>
    <row r="371" spans="1:18" x14ac:dyDescent="0.25">
      <c r="A371" s="2" t="s">
        <v>619</v>
      </c>
      <c r="B371" s="2" t="s">
        <v>606</v>
      </c>
      <c r="C371" s="2" t="s">
        <v>729</v>
      </c>
      <c r="D371" s="2" t="s">
        <v>729</v>
      </c>
      <c r="E371" s="2" t="s">
        <v>218</v>
      </c>
      <c r="F371" s="2" t="s">
        <v>102</v>
      </c>
      <c r="G371" s="2">
        <v>0.88</v>
      </c>
      <c r="H371" s="2" t="s">
        <v>51</v>
      </c>
      <c r="I371" s="5">
        <v>5</v>
      </c>
      <c r="J371" s="6">
        <v>11</v>
      </c>
      <c r="K371" s="6">
        <v>35</v>
      </c>
      <c r="L371" s="6">
        <v>70</v>
      </c>
      <c r="M371" s="5">
        <v>3</v>
      </c>
      <c r="N371" s="5"/>
      <c r="O371" s="5">
        <v>8</v>
      </c>
      <c r="P371" s="5" t="s">
        <v>752</v>
      </c>
      <c r="Q371" s="5">
        <v>1</v>
      </c>
    </row>
    <row r="372" spans="1:18" x14ac:dyDescent="0.25">
      <c r="A372" s="2" t="s">
        <v>625</v>
      </c>
      <c r="B372" s="2" t="s">
        <v>607</v>
      </c>
      <c r="C372" s="2" t="s">
        <v>729</v>
      </c>
      <c r="D372" s="2" t="s">
        <v>729</v>
      </c>
      <c r="E372" s="2" t="s">
        <v>218</v>
      </c>
      <c r="F372" s="2" t="s">
        <v>102</v>
      </c>
      <c r="G372" s="2">
        <v>2.87</v>
      </c>
      <c r="H372" s="2" t="s">
        <v>51</v>
      </c>
      <c r="I372" s="5">
        <v>5</v>
      </c>
      <c r="J372" s="6">
        <v>11</v>
      </c>
      <c r="K372" s="6">
        <v>35</v>
      </c>
      <c r="L372" s="6">
        <v>70</v>
      </c>
      <c r="M372" s="5">
        <v>1</v>
      </c>
      <c r="N372" s="5">
        <v>3</v>
      </c>
      <c r="O372" s="5">
        <v>25</v>
      </c>
      <c r="P372" s="9" t="s">
        <v>807</v>
      </c>
      <c r="Q372" s="5">
        <v>5</v>
      </c>
    </row>
    <row r="373" spans="1:18" x14ac:dyDescent="0.25">
      <c r="A373" s="2" t="s">
        <v>625</v>
      </c>
      <c r="B373" s="2" t="s">
        <v>608</v>
      </c>
      <c r="C373" s="2" t="s">
        <v>729</v>
      </c>
      <c r="D373" s="2" t="s">
        <v>729</v>
      </c>
      <c r="E373" s="2" t="s">
        <v>218</v>
      </c>
      <c r="F373" s="2" t="s">
        <v>102</v>
      </c>
      <c r="G373" s="2">
        <v>3.15</v>
      </c>
      <c r="H373" s="2" t="s">
        <v>51</v>
      </c>
      <c r="I373" s="5">
        <v>5</v>
      </c>
      <c r="J373" s="6">
        <v>11</v>
      </c>
      <c r="K373" s="6">
        <v>35</v>
      </c>
      <c r="L373" s="6">
        <v>70</v>
      </c>
      <c r="M373" s="5">
        <v>1</v>
      </c>
      <c r="N373" s="5">
        <v>3</v>
      </c>
      <c r="O373" s="5">
        <v>25</v>
      </c>
      <c r="P373" s="9" t="s">
        <v>780</v>
      </c>
      <c r="Q373" s="5">
        <v>5</v>
      </c>
    </row>
    <row r="374" spans="1:18" x14ac:dyDescent="0.25">
      <c r="A374" s="2" t="s">
        <v>625</v>
      </c>
      <c r="B374" s="2" t="s">
        <v>609</v>
      </c>
      <c r="C374" s="2" t="s">
        <v>729</v>
      </c>
      <c r="D374" s="2" t="s">
        <v>729</v>
      </c>
      <c r="E374" s="2" t="s">
        <v>218</v>
      </c>
      <c r="F374" s="2" t="s">
        <v>102</v>
      </c>
      <c r="G374" s="2">
        <v>3.1</v>
      </c>
      <c r="H374" s="2" t="s">
        <v>51</v>
      </c>
      <c r="I374" s="5">
        <v>5</v>
      </c>
      <c r="J374" s="6">
        <v>11</v>
      </c>
      <c r="K374" s="6">
        <v>35</v>
      </c>
      <c r="L374" s="6">
        <v>70</v>
      </c>
      <c r="M374" s="5">
        <v>1</v>
      </c>
      <c r="N374" s="5">
        <v>3</v>
      </c>
      <c r="O374" s="5">
        <v>20</v>
      </c>
      <c r="P374" s="9" t="s">
        <v>780</v>
      </c>
      <c r="Q374" s="5">
        <v>5</v>
      </c>
    </row>
    <row r="375" spans="1:18" x14ac:dyDescent="0.25">
      <c r="A375" s="2" t="s">
        <v>620</v>
      </c>
      <c r="B375" s="2" t="s">
        <v>610</v>
      </c>
      <c r="C375" s="2" t="s">
        <v>729</v>
      </c>
      <c r="D375" s="2" t="s">
        <v>729</v>
      </c>
      <c r="E375" s="2" t="s">
        <v>156</v>
      </c>
      <c r="F375" s="2" t="s">
        <v>157</v>
      </c>
      <c r="G375" s="2">
        <v>12.9</v>
      </c>
      <c r="H375" s="2" t="s">
        <v>158</v>
      </c>
      <c r="I375" s="5">
        <v>183</v>
      </c>
      <c r="J375" s="6">
        <v>366</v>
      </c>
      <c r="K375" s="6">
        <v>1100</v>
      </c>
      <c r="L375" s="6">
        <v>2200</v>
      </c>
      <c r="M375" s="5">
        <v>2</v>
      </c>
      <c r="N375" s="5"/>
      <c r="O375" s="5">
        <v>2</v>
      </c>
      <c r="P375" s="5" t="s">
        <v>749</v>
      </c>
      <c r="Q375" s="5">
        <v>1</v>
      </c>
    </row>
    <row r="376" spans="1:18" x14ac:dyDescent="0.25">
      <c r="A376" s="2" t="s">
        <v>620</v>
      </c>
      <c r="B376" s="2" t="s">
        <v>611</v>
      </c>
      <c r="C376" s="2" t="s">
        <v>729</v>
      </c>
      <c r="D376" s="2" t="s">
        <v>729</v>
      </c>
      <c r="E376" s="2" t="s">
        <v>72</v>
      </c>
      <c r="F376" s="2" t="s">
        <v>73</v>
      </c>
      <c r="G376" s="2">
        <v>4.76</v>
      </c>
      <c r="H376" s="2" t="s">
        <v>21</v>
      </c>
      <c r="I376" s="5">
        <v>133</v>
      </c>
      <c r="J376" s="6">
        <v>266</v>
      </c>
      <c r="K376" s="6">
        <v>800</v>
      </c>
      <c r="L376" s="6">
        <v>1600</v>
      </c>
      <c r="M376" s="5">
        <v>2</v>
      </c>
      <c r="N376" s="5"/>
      <c r="O376" s="5">
        <v>20</v>
      </c>
      <c r="P376" s="5" t="s">
        <v>755</v>
      </c>
      <c r="Q376" s="5">
        <v>1</v>
      </c>
    </row>
    <row r="377" spans="1:18" x14ac:dyDescent="0.25">
      <c r="A377" s="2" t="s">
        <v>622</v>
      </c>
      <c r="B377" s="2" t="s">
        <v>736</v>
      </c>
      <c r="C377" s="2" t="s">
        <v>729</v>
      </c>
      <c r="D377" s="2" t="s">
        <v>729</v>
      </c>
      <c r="E377" s="2" t="s">
        <v>487</v>
      </c>
      <c r="F377" s="2" t="s">
        <v>90</v>
      </c>
      <c r="G377" s="2">
        <v>12</v>
      </c>
      <c r="H377" s="2" t="s">
        <v>738</v>
      </c>
      <c r="I377" s="6">
        <v>200</v>
      </c>
      <c r="J377" s="6">
        <v>400</v>
      </c>
      <c r="K377" s="6">
        <v>1200</v>
      </c>
      <c r="L377" s="6">
        <v>2400</v>
      </c>
      <c r="M377" s="4">
        <v>1</v>
      </c>
      <c r="N377" s="11">
        <v>25</v>
      </c>
      <c r="O377" s="12">
        <v>75</v>
      </c>
      <c r="P377" s="13" t="s">
        <v>744</v>
      </c>
      <c r="Q377" s="4">
        <v>50</v>
      </c>
      <c r="R377" s="2" t="s">
        <v>820</v>
      </c>
    </row>
    <row r="378" spans="1:18" x14ac:dyDescent="0.25">
      <c r="A378" s="2" t="s">
        <v>622</v>
      </c>
      <c r="B378" s="2" t="s">
        <v>737</v>
      </c>
      <c r="C378" s="2" t="s">
        <v>729</v>
      </c>
      <c r="D378" s="2" t="s">
        <v>729</v>
      </c>
      <c r="E378" s="2" t="s">
        <v>487</v>
      </c>
      <c r="F378" s="2" t="s">
        <v>90</v>
      </c>
      <c r="G378" s="2">
        <v>11.5</v>
      </c>
      <c r="H378" s="2" t="s">
        <v>738</v>
      </c>
      <c r="I378" s="6">
        <v>366</v>
      </c>
      <c r="J378" s="6">
        <v>733</v>
      </c>
      <c r="K378" s="6">
        <v>2200</v>
      </c>
      <c r="L378" s="6">
        <v>4400</v>
      </c>
      <c r="N378" s="11">
        <v>50</v>
      </c>
      <c r="O378" s="12">
        <v>250</v>
      </c>
      <c r="P378" s="4">
        <v>50</v>
      </c>
      <c r="Q378" s="4">
        <v>100</v>
      </c>
      <c r="R378" s="2" t="s">
        <v>821</v>
      </c>
    </row>
    <row r="379" spans="1:18" x14ac:dyDescent="0.25">
      <c r="A379" s="2" t="s">
        <v>623</v>
      </c>
      <c r="B379" s="2" t="s">
        <v>733</v>
      </c>
      <c r="C379" s="2" t="s">
        <v>729</v>
      </c>
      <c r="D379" s="2" t="s">
        <v>729</v>
      </c>
      <c r="E379" s="2" t="s">
        <v>745</v>
      </c>
      <c r="F379" s="2" t="s">
        <v>88</v>
      </c>
      <c r="G379" s="2">
        <v>4.0999999999999996</v>
      </c>
      <c r="H379" s="2" t="s">
        <v>20</v>
      </c>
      <c r="I379" s="6">
        <v>33</v>
      </c>
      <c r="J379" s="6">
        <v>66</v>
      </c>
      <c r="K379" s="6">
        <v>200</v>
      </c>
      <c r="L379" s="6">
        <v>400</v>
      </c>
      <c r="M379" s="4">
        <v>2</v>
      </c>
      <c r="N379" s="11">
        <v>30</v>
      </c>
      <c r="O379" s="12">
        <v>30</v>
      </c>
      <c r="P379" s="13" t="s">
        <v>744</v>
      </c>
      <c r="Q379" s="4">
        <v>40</v>
      </c>
      <c r="R379" s="2" t="s">
        <v>822</v>
      </c>
    </row>
    <row r="380" spans="1:18" x14ac:dyDescent="0.25">
      <c r="A380" s="2" t="s">
        <v>625</v>
      </c>
      <c r="B380" s="2" t="s">
        <v>734</v>
      </c>
      <c r="C380" s="2" t="s">
        <v>729</v>
      </c>
      <c r="D380" s="2" t="s">
        <v>729</v>
      </c>
      <c r="E380" s="2" t="s">
        <v>218</v>
      </c>
      <c r="F380" s="2" t="s">
        <v>102</v>
      </c>
      <c r="G380" s="2">
        <v>3.27</v>
      </c>
      <c r="H380" s="2" t="s">
        <v>746</v>
      </c>
      <c r="I380" s="6">
        <v>13</v>
      </c>
      <c r="J380" s="6">
        <v>26</v>
      </c>
      <c r="K380" s="6">
        <v>80</v>
      </c>
      <c r="L380" s="6">
        <v>160</v>
      </c>
      <c r="N380" s="11">
        <v>15</v>
      </c>
      <c r="O380" s="12">
        <v>30</v>
      </c>
      <c r="P380" s="4">
        <v>50</v>
      </c>
      <c r="Q380" s="4">
        <v>30</v>
      </c>
      <c r="R380" s="2" t="s">
        <v>817</v>
      </c>
    </row>
    <row r="381" spans="1:18" x14ac:dyDescent="0.25">
      <c r="A381" s="2" t="s">
        <v>622</v>
      </c>
      <c r="B381" s="2" t="s">
        <v>747</v>
      </c>
      <c r="C381" s="2" t="s">
        <v>729</v>
      </c>
      <c r="D381" s="2" t="s">
        <v>729</v>
      </c>
      <c r="E381" s="2" t="s">
        <v>731</v>
      </c>
      <c r="F381" s="2" t="s">
        <v>730</v>
      </c>
      <c r="G381" s="2">
        <v>10.199999999999999</v>
      </c>
      <c r="H381" s="2" t="s">
        <v>20</v>
      </c>
      <c r="I381" s="6">
        <v>233</v>
      </c>
      <c r="J381" s="6">
        <v>466</v>
      </c>
      <c r="K381" s="6">
        <v>1400</v>
      </c>
      <c r="L381" s="6">
        <v>2800</v>
      </c>
      <c r="N381" s="11">
        <v>10</v>
      </c>
      <c r="O381" s="12">
        <v>20</v>
      </c>
      <c r="P381" s="4">
        <v>50</v>
      </c>
      <c r="Q381" s="4">
        <v>20</v>
      </c>
      <c r="R381" s="2" t="s">
        <v>819</v>
      </c>
    </row>
    <row r="382" spans="1:18" x14ac:dyDescent="0.25">
      <c r="A382" s="2" t="s">
        <v>627</v>
      </c>
      <c r="B382" s="2" t="s">
        <v>735</v>
      </c>
      <c r="C382" s="2" t="s">
        <v>729</v>
      </c>
      <c r="D382" s="2" t="s">
        <v>729</v>
      </c>
      <c r="E382" s="2" t="s">
        <v>731</v>
      </c>
      <c r="F382" s="2" t="s">
        <v>730</v>
      </c>
      <c r="G382" s="2">
        <v>3.8</v>
      </c>
      <c r="H382" s="2" t="s">
        <v>20</v>
      </c>
      <c r="I382" s="6">
        <v>66</v>
      </c>
      <c r="J382" s="6">
        <v>133</v>
      </c>
      <c r="K382" s="6">
        <v>400</v>
      </c>
      <c r="L382" s="6">
        <v>800</v>
      </c>
      <c r="M382" s="4">
        <v>2</v>
      </c>
      <c r="N382" s="11"/>
      <c r="O382" s="12">
        <v>6</v>
      </c>
      <c r="P382" s="4" t="s">
        <v>749</v>
      </c>
      <c r="Q382" s="4">
        <v>1</v>
      </c>
      <c r="R382" s="2" t="s">
        <v>818</v>
      </c>
    </row>
    <row r="383" spans="1:18" x14ac:dyDescent="0.25">
      <c r="A383" s="2" t="s">
        <v>619</v>
      </c>
      <c r="B383" s="2" t="s">
        <v>750</v>
      </c>
      <c r="C383" s="2" t="s">
        <v>729</v>
      </c>
      <c r="D383" s="2" t="s">
        <v>729</v>
      </c>
      <c r="E383" s="2" t="s">
        <v>86</v>
      </c>
      <c r="F383" s="2" t="s">
        <v>87</v>
      </c>
      <c r="G383" s="2">
        <v>0.56999999999999995</v>
      </c>
      <c r="H383" s="2" t="s">
        <v>751</v>
      </c>
      <c r="I383" s="6">
        <v>5</v>
      </c>
      <c r="J383" s="6">
        <v>10</v>
      </c>
      <c r="K383" s="6">
        <v>30</v>
      </c>
      <c r="L383" s="6">
        <v>60</v>
      </c>
      <c r="M383" s="4">
        <v>3</v>
      </c>
      <c r="O383" s="12">
        <v>7</v>
      </c>
      <c r="P383" s="4" t="s">
        <v>752</v>
      </c>
      <c r="Q383" s="4">
        <v>1</v>
      </c>
      <c r="R383" s="2" t="s">
        <v>823</v>
      </c>
    </row>
  </sheetData>
  <autoFilter ref="A1:L376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Munition</vt:lpstr>
      <vt:lpstr>Weapon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Jerome Doussot</dc:creator>
  <cp:lastModifiedBy>ARNAUD</cp:lastModifiedBy>
  <dcterms:created xsi:type="dcterms:W3CDTF">2026-03-10T16:49:41Z</dcterms:created>
  <dcterms:modified xsi:type="dcterms:W3CDTF">2026-03-12T14:00:37Z</dcterms:modified>
</cp:coreProperties>
</file>